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JACOB\Downloads\"/>
    </mc:Choice>
  </mc:AlternateContent>
  <bookViews>
    <workbookView xWindow="-120" yWindow="-120" windowWidth="29040" windowHeight="15840" activeTab="3"/>
  </bookViews>
  <sheets>
    <sheet name="Chapter 1-47 (2)" sheetId="6" r:id="rId1"/>
    <sheet name="INDEX" sheetId="3" r:id="rId2"/>
    <sheet name="Abbreviations" sheetId="2" r:id="rId3"/>
    <sheet name="Chapter 1-47" sheetId="4" r:id="rId4"/>
    <sheet name="Sheet4" sheetId="5" r:id="rId5"/>
  </sheets>
  <definedNames>
    <definedName name="_xlnm.Print_Area" localSheetId="0">'Chapter 1-47 (2)'!$A$1:$I$1016</definedName>
    <definedName name="_xlnm.Print_Area" localSheetId="3">'Chapter 1-47'!$A$1:$E$1013</definedName>
  </definedNames>
  <calcPr/>
</workbook>
</file>

<file path=xl/calcChain.xml><?xml version="1.0" encoding="utf-8"?>
<calcChain xmlns="http://schemas.openxmlformats.org/spreadsheetml/2006/main">
  <c i="4" l="1" r="J59"/>
  <c i="6" r="F991"/>
  <c r="H991"/>
  <c r="F990"/>
  <c r="H990"/>
  <c r="F989"/>
  <c r="H989"/>
  <c r="F988"/>
  <c r="H988"/>
  <c r="F987"/>
  <c r="H987"/>
  <c r="F986"/>
  <c r="H986"/>
  <c r="F985"/>
  <c r="H985"/>
  <c r="F984"/>
  <c r="H984"/>
  <c r="F983"/>
  <c r="H983"/>
  <c r="F982"/>
  <c r="H982"/>
  <c r="F981"/>
  <c r="H981"/>
  <c r="F980"/>
  <c r="H980"/>
  <c r="F979"/>
  <c r="H979"/>
  <c r="F978"/>
  <c r="H978"/>
  <c r="F977"/>
  <c r="H977"/>
  <c r="F974"/>
  <c r="H974"/>
  <c r="F973"/>
  <c r="H973"/>
  <c r="F972"/>
  <c r="H972"/>
  <c r="F971"/>
  <c r="H971"/>
  <c r="F970"/>
  <c r="H970"/>
  <c r="F969"/>
  <c r="H969"/>
  <c r="F968"/>
  <c r="H968"/>
  <c r="F967"/>
  <c r="H967"/>
  <c r="F966"/>
  <c r="H966"/>
  <c r="F965"/>
  <c r="H965"/>
  <c r="F964"/>
  <c r="H964"/>
  <c r="F963"/>
  <c r="H963"/>
  <c r="F962"/>
  <c r="H962"/>
  <c r="F961"/>
  <c r="H961"/>
  <c r="F960"/>
  <c r="H960"/>
  <c r="F959"/>
  <c r="H959"/>
  <c r="F958"/>
  <c r="H958"/>
  <c r="F957"/>
  <c r="H957"/>
  <c r="F956"/>
  <c r="H956"/>
  <c r="F955"/>
  <c r="H955"/>
  <c r="F954"/>
  <c r="H954"/>
  <c r="F953"/>
  <c r="H953"/>
  <c r="F952"/>
  <c r="H952"/>
  <c r="F951"/>
  <c r="H951"/>
  <c r="F950"/>
  <c r="H950"/>
  <c r="F949"/>
  <c r="H949"/>
  <c r="F948"/>
  <c r="H948"/>
  <c r="F947"/>
  <c r="H947"/>
  <c r="F946"/>
  <c r="H946"/>
  <c r="F945"/>
  <c r="H945"/>
  <c r="F944"/>
  <c r="H944"/>
  <c r="F943"/>
  <c r="H943"/>
  <c r="F942"/>
  <c r="H942"/>
  <c r="F941"/>
  <c r="H941"/>
  <c r="F940"/>
  <c r="H940"/>
  <c r="F939"/>
  <c r="H939"/>
  <c r="F938"/>
  <c r="H938"/>
  <c r="F937"/>
  <c r="H937"/>
  <c r="F936"/>
  <c r="H936"/>
  <c r="F935"/>
  <c r="H935"/>
  <c r="F934"/>
  <c r="H934"/>
  <c r="F933"/>
  <c r="H933"/>
  <c r="F932"/>
  <c r="H932"/>
  <c r="F931"/>
  <c r="H931"/>
  <c r="F930"/>
  <c r="H930"/>
  <c r="F929"/>
  <c r="H929"/>
  <c r="F928"/>
  <c r="H928"/>
  <c r="F927"/>
  <c r="H927"/>
  <c r="F926"/>
  <c r="H926"/>
  <c r="F925"/>
  <c r="H925"/>
  <c r="F924"/>
  <c r="H924"/>
  <c r="F923"/>
  <c r="H923"/>
  <c r="F922"/>
  <c r="H922"/>
  <c r="F919"/>
  <c r="H919"/>
  <c r="F918"/>
  <c r="H918"/>
  <c r="F917"/>
  <c r="H917"/>
  <c r="F916"/>
  <c r="H916"/>
  <c r="F915"/>
  <c r="H915"/>
  <c r="F914"/>
  <c r="H914"/>
  <c r="F913"/>
  <c r="H913"/>
  <c r="F912"/>
  <c r="H912"/>
  <c r="F911"/>
  <c r="H911"/>
  <c r="F910"/>
  <c r="H910"/>
  <c r="F909"/>
  <c r="H909"/>
  <c r="F908"/>
  <c r="H908"/>
  <c r="F907"/>
  <c r="H907"/>
  <c r="F906"/>
  <c r="H906"/>
  <c r="F905"/>
  <c r="H905"/>
  <c r="F904"/>
  <c r="H904"/>
  <c r="F903"/>
  <c r="H903"/>
  <c r="F902"/>
  <c r="H902"/>
  <c r="F901"/>
  <c r="H901"/>
  <c r="F900"/>
  <c r="H900"/>
  <c r="F899"/>
  <c r="H899"/>
  <c r="F898"/>
  <c r="H898"/>
  <c r="F897"/>
  <c r="H897"/>
  <c r="F896"/>
  <c r="H896"/>
  <c r="F895"/>
  <c r="H895"/>
  <c r="F892"/>
  <c r="H892"/>
  <c r="F891"/>
  <c r="H891"/>
  <c r="F890"/>
  <c r="H890"/>
  <c r="F889"/>
  <c r="H889"/>
  <c r="F888"/>
  <c r="H888"/>
  <c r="F887"/>
  <c r="H887"/>
  <c r="F886"/>
  <c r="H886"/>
  <c r="F885"/>
  <c r="H885"/>
  <c r="F884"/>
  <c r="H884"/>
  <c r="F882"/>
  <c r="H882"/>
  <c r="F881"/>
  <c r="H881"/>
  <c r="F880"/>
  <c r="H880"/>
  <c r="F878"/>
  <c r="H878"/>
  <c r="F877"/>
  <c r="H877"/>
  <c r="F874"/>
  <c r="H874"/>
  <c r="F873"/>
  <c r="H873"/>
  <c r="F872"/>
  <c r="H872"/>
  <c r="F871"/>
  <c r="H871"/>
  <c r="F870"/>
  <c r="H870"/>
  <c r="F869"/>
  <c r="H869"/>
  <c r="F868"/>
  <c r="H868"/>
  <c r="J867"/>
  <c r="F867"/>
  <c r="H867"/>
  <c r="J866"/>
  <c r="F866"/>
  <c r="H866"/>
  <c r="J865"/>
  <c r="F865"/>
  <c r="H865"/>
  <c r="F864"/>
  <c r="H864"/>
  <c r="F863"/>
  <c r="H863"/>
  <c r="F862"/>
  <c r="H862"/>
  <c r="F861"/>
  <c r="H861"/>
  <c r="F860"/>
  <c r="H860"/>
  <c r="F859"/>
  <c r="H859"/>
  <c r="F856"/>
  <c r="H856"/>
  <c r="F855"/>
  <c r="H855"/>
  <c r="F854"/>
  <c r="H854"/>
  <c r="F851"/>
  <c r="H851"/>
  <c r="F850"/>
  <c r="H850"/>
  <c r="F849"/>
  <c r="H849"/>
  <c r="F848"/>
  <c r="H848"/>
  <c r="F847"/>
  <c r="H847"/>
  <c r="F846"/>
  <c r="H846"/>
  <c r="F845"/>
  <c r="H845"/>
  <c r="F844"/>
  <c r="H844"/>
  <c r="F843"/>
  <c r="H843"/>
  <c r="F842"/>
  <c r="H842"/>
  <c r="F841"/>
  <c r="H841"/>
  <c r="F840"/>
  <c r="H840"/>
  <c r="F839"/>
  <c r="H839"/>
  <c r="F838"/>
  <c r="H838"/>
  <c r="F837"/>
  <c r="H837"/>
  <c r="F834"/>
  <c r="H834"/>
  <c r="F833"/>
  <c r="H833"/>
  <c r="F832"/>
  <c r="H832"/>
  <c r="F829"/>
  <c r="H829"/>
  <c r="F828"/>
  <c r="H828"/>
  <c r="F827"/>
  <c r="H827"/>
  <c r="F826"/>
  <c r="H826"/>
  <c r="F825"/>
  <c r="H825"/>
  <c r="F824"/>
  <c r="H824"/>
  <c r="F823"/>
  <c r="H823"/>
  <c r="F822"/>
  <c r="H822"/>
  <c r="F821"/>
  <c r="H821"/>
  <c r="F820"/>
  <c r="H820"/>
  <c r="F819"/>
  <c r="H819"/>
  <c r="F818"/>
  <c r="H818"/>
  <c r="F817"/>
  <c r="H817"/>
  <c r="F816"/>
  <c r="H816"/>
  <c r="F815"/>
  <c r="H815"/>
  <c r="F814"/>
  <c r="H814"/>
  <c r="F813"/>
  <c r="H813"/>
  <c r="F812"/>
  <c r="H812"/>
  <c r="F811"/>
  <c r="H811"/>
  <c r="F810"/>
  <c r="H810"/>
  <c r="F809"/>
  <c r="H809"/>
  <c r="F808"/>
  <c r="H808"/>
  <c r="F807"/>
  <c r="H807"/>
  <c r="F806"/>
  <c r="H806"/>
  <c r="F805"/>
  <c r="H805"/>
  <c r="F804"/>
  <c r="H804"/>
  <c r="F803"/>
  <c r="H803"/>
  <c r="F802"/>
  <c r="H802"/>
  <c r="F801"/>
  <c r="H801"/>
  <c r="F800"/>
  <c r="H800"/>
  <c r="F799"/>
  <c r="H799"/>
  <c r="F798"/>
  <c r="H798"/>
  <c r="F797"/>
  <c r="H797"/>
  <c r="F796"/>
  <c r="H796"/>
  <c r="F795"/>
  <c r="H795"/>
  <c r="F794"/>
  <c r="H794"/>
  <c r="F793"/>
  <c r="H793"/>
  <c r="F792"/>
  <c r="H792"/>
  <c r="F791"/>
  <c r="H791"/>
  <c r="F790"/>
  <c r="H790"/>
  <c r="F789"/>
  <c r="H789"/>
  <c r="F788"/>
  <c r="H788"/>
  <c r="F787"/>
  <c r="H787"/>
  <c r="F786"/>
  <c r="H786"/>
  <c r="F785"/>
  <c r="H785"/>
  <c r="F784"/>
  <c r="H784"/>
  <c r="F783"/>
  <c r="H783"/>
  <c r="F782"/>
  <c r="H782"/>
  <c r="F781"/>
  <c r="H781"/>
  <c r="F780"/>
  <c r="H780"/>
  <c r="F779"/>
  <c r="H779"/>
  <c r="F778"/>
  <c r="H778"/>
  <c r="F777"/>
  <c r="H777"/>
  <c r="F776"/>
  <c r="H776"/>
  <c r="F775"/>
  <c r="H775"/>
  <c r="F774"/>
  <c r="H774"/>
  <c r="F773"/>
  <c r="H773"/>
  <c r="F772"/>
  <c r="H772"/>
  <c r="F771"/>
  <c r="H771"/>
  <c r="F770"/>
  <c r="H770"/>
  <c r="F769"/>
  <c r="H769"/>
  <c r="F768"/>
  <c r="H768"/>
  <c r="F767"/>
  <c r="H767"/>
  <c r="F766"/>
  <c r="H766"/>
  <c r="F765"/>
  <c r="H765"/>
  <c r="F764"/>
  <c r="H764"/>
  <c r="F763"/>
  <c r="H763"/>
  <c r="F762"/>
  <c r="H762"/>
  <c r="F761"/>
  <c r="H761"/>
  <c r="F760"/>
  <c r="H760"/>
  <c r="F759"/>
  <c r="H759"/>
  <c r="F758"/>
  <c r="H758"/>
  <c r="F757"/>
  <c r="H757"/>
  <c r="F756"/>
  <c r="H756"/>
  <c r="H755"/>
  <c r="F753"/>
  <c r="H753"/>
  <c r="F752"/>
  <c r="H752"/>
  <c r="F751"/>
  <c r="H751"/>
  <c r="F750"/>
  <c r="H750"/>
  <c r="F749"/>
  <c r="H749"/>
  <c r="F748"/>
  <c r="H748"/>
  <c r="F747"/>
  <c r="H747"/>
  <c r="F746"/>
  <c r="H746"/>
  <c r="F745"/>
  <c r="H745"/>
  <c r="F744"/>
  <c r="H744"/>
  <c r="F743"/>
  <c r="H743"/>
  <c r="F742"/>
  <c r="H742"/>
  <c r="F741"/>
  <c r="H741"/>
  <c r="F740"/>
  <c r="H740"/>
  <c r="F739"/>
  <c r="H739"/>
  <c r="F738"/>
  <c r="H738"/>
  <c r="F737"/>
  <c r="H737"/>
  <c r="F735"/>
  <c r="H735"/>
  <c r="F734"/>
  <c r="H734"/>
  <c r="F733"/>
  <c r="H733"/>
  <c r="F732"/>
  <c r="H732"/>
  <c r="F731"/>
  <c r="H731"/>
  <c r="F730"/>
  <c r="H730"/>
  <c r="F729"/>
  <c r="H729"/>
  <c r="F728"/>
  <c r="H728"/>
  <c r="F727"/>
  <c r="H727"/>
  <c r="F725"/>
  <c r="H725"/>
  <c r="F724"/>
  <c r="H724"/>
  <c r="F723"/>
  <c r="H723"/>
  <c r="F722"/>
  <c r="H722"/>
  <c r="F721"/>
  <c r="H721"/>
  <c r="F720"/>
  <c r="H720"/>
  <c r="F719"/>
  <c r="H719"/>
  <c r="F718"/>
  <c r="H718"/>
  <c r="F714"/>
  <c r="H714"/>
  <c r="F713"/>
  <c r="H713"/>
  <c r="F710"/>
  <c r="H710"/>
  <c r="F709"/>
  <c r="H709"/>
  <c r="F708"/>
  <c r="H708"/>
  <c r="F707"/>
  <c r="H707"/>
  <c r="F706"/>
  <c r="H706"/>
  <c r="F703"/>
  <c r="H703"/>
  <c r="F702"/>
  <c r="H702"/>
  <c r="F701"/>
  <c r="H701"/>
  <c r="F700"/>
  <c r="H700"/>
  <c r="F699"/>
  <c r="H699"/>
  <c r="F698"/>
  <c r="H698"/>
  <c r="F697"/>
  <c r="H697"/>
  <c r="F696"/>
  <c r="H696"/>
  <c r="F695"/>
  <c r="H695"/>
  <c r="F694"/>
  <c r="H694"/>
  <c r="F693"/>
  <c r="H693"/>
  <c r="F692"/>
  <c r="H692"/>
  <c r="F691"/>
  <c r="H691"/>
  <c r="F688"/>
  <c r="H688"/>
  <c r="F687"/>
  <c r="H687"/>
  <c r="F686"/>
  <c r="H686"/>
  <c r="F685"/>
  <c r="H685"/>
  <c r="F684"/>
  <c r="H684"/>
  <c r="F683"/>
  <c r="H683"/>
  <c r="F682"/>
  <c r="H682"/>
  <c r="F681"/>
  <c r="H681"/>
  <c r="F680"/>
  <c r="H680"/>
  <c r="F679"/>
  <c r="H679"/>
  <c r="F678"/>
  <c r="H678"/>
  <c r="F677"/>
  <c r="H677"/>
  <c r="F676"/>
  <c r="H676"/>
  <c r="F675"/>
  <c r="H675"/>
  <c r="F674"/>
  <c r="H674"/>
  <c r="F673"/>
  <c r="H673"/>
  <c r="F672"/>
  <c r="H672"/>
  <c r="F671"/>
  <c r="H671"/>
  <c r="F670"/>
  <c r="H670"/>
  <c r="F669"/>
  <c r="H669"/>
  <c r="F668"/>
  <c r="H668"/>
  <c r="F667"/>
  <c r="H667"/>
  <c r="F664"/>
  <c r="H664"/>
  <c r="F663"/>
  <c r="H663"/>
  <c r="F662"/>
  <c r="H662"/>
  <c r="F661"/>
  <c r="H661"/>
  <c r="F660"/>
  <c r="H660"/>
  <c r="F659"/>
  <c r="H659"/>
  <c r="F658"/>
  <c r="H658"/>
  <c r="F657"/>
  <c r="H657"/>
  <c r="F654"/>
  <c r="H654"/>
  <c r="F653"/>
  <c r="H653"/>
  <c r="F652"/>
  <c r="H652"/>
  <c r="F651"/>
  <c r="H651"/>
  <c r="F650"/>
  <c r="H650"/>
  <c r="F649"/>
  <c r="H649"/>
  <c r="F648"/>
  <c r="H648"/>
  <c r="F647"/>
  <c r="H647"/>
  <c r="F646"/>
  <c r="H646"/>
  <c r="F645"/>
  <c r="H645"/>
  <c r="F644"/>
  <c r="H644"/>
  <c r="F643"/>
  <c r="H643"/>
  <c r="F642"/>
  <c r="H642"/>
  <c r="F641"/>
  <c r="H641"/>
  <c r="F640"/>
  <c r="H640"/>
  <c r="F637"/>
  <c r="H637"/>
  <c r="F636"/>
  <c r="H636"/>
  <c r="F635"/>
  <c r="H635"/>
  <c r="F634"/>
  <c r="H634"/>
  <c r="F633"/>
  <c r="H633"/>
  <c r="F632"/>
  <c r="H632"/>
  <c r="F629"/>
  <c r="H629"/>
  <c r="F628"/>
  <c r="H628"/>
  <c r="F627"/>
  <c r="H627"/>
  <c r="F626"/>
  <c r="H626"/>
  <c r="F625"/>
  <c r="H625"/>
  <c r="F624"/>
  <c r="H624"/>
  <c r="F623"/>
  <c r="H623"/>
  <c r="F622"/>
  <c r="H622"/>
  <c r="F621"/>
  <c r="H621"/>
  <c r="F620"/>
  <c r="H620"/>
  <c r="F619"/>
  <c r="H619"/>
  <c r="F618"/>
  <c r="H618"/>
  <c r="F617"/>
  <c r="H617"/>
  <c r="F616"/>
  <c r="H616"/>
  <c r="F615"/>
  <c r="H615"/>
  <c r="F614"/>
  <c r="H614"/>
  <c r="F613"/>
  <c r="H613"/>
  <c r="F612"/>
  <c r="H612"/>
  <c r="F611"/>
  <c r="H611"/>
  <c r="F610"/>
  <c r="H610"/>
  <c r="F609"/>
  <c r="H609"/>
  <c r="F608"/>
  <c r="H608"/>
  <c r="F607"/>
  <c r="H607"/>
  <c r="F606"/>
  <c r="H606"/>
  <c r="F605"/>
  <c r="H605"/>
  <c r="F604"/>
  <c r="H604"/>
  <c r="F603"/>
  <c r="H603"/>
  <c r="F602"/>
  <c r="H602"/>
  <c r="F601"/>
  <c r="H601"/>
  <c r="F599"/>
  <c r="H599"/>
  <c r="F598"/>
  <c r="H598"/>
  <c r="F597"/>
  <c r="H597"/>
  <c r="F596"/>
  <c r="H596"/>
  <c r="F595"/>
  <c r="H595"/>
  <c r="F594"/>
  <c r="H594"/>
  <c r="F593"/>
  <c r="H593"/>
  <c r="F592"/>
  <c r="H592"/>
  <c r="F591"/>
  <c r="H591"/>
  <c r="F590"/>
  <c r="H590"/>
  <c r="F589"/>
  <c r="H589"/>
  <c r="F588"/>
  <c r="H588"/>
  <c r="F587"/>
  <c r="H587"/>
  <c r="F586"/>
  <c r="H586"/>
  <c r="F585"/>
  <c r="H585"/>
  <c r="F584"/>
  <c r="H584"/>
  <c r="F581"/>
  <c r="H581"/>
  <c r="F580"/>
  <c r="H580"/>
  <c r="F579"/>
  <c r="H579"/>
  <c r="F578"/>
  <c r="H578"/>
  <c r="F575"/>
  <c r="H575"/>
  <c r="F574"/>
  <c r="H574"/>
  <c r="F573"/>
  <c r="H573"/>
  <c r="F572"/>
  <c r="H572"/>
  <c r="F571"/>
  <c r="H571"/>
  <c r="F570"/>
  <c r="H570"/>
  <c r="F567"/>
  <c r="H567"/>
  <c r="F566"/>
  <c r="H566"/>
  <c r="F565"/>
  <c r="H565"/>
  <c r="F564"/>
  <c r="H564"/>
  <c r="F561"/>
  <c r="H561"/>
  <c r="F560"/>
  <c r="H560"/>
  <c r="F559"/>
  <c r="H559"/>
  <c r="F558"/>
  <c r="H558"/>
  <c r="F557"/>
  <c r="H557"/>
  <c r="F556"/>
  <c r="H556"/>
  <c r="F555"/>
  <c r="H555"/>
  <c r="F554"/>
  <c r="H554"/>
  <c r="F553"/>
  <c r="H553"/>
  <c r="F552"/>
  <c r="H552"/>
  <c r="F551"/>
  <c r="H551"/>
  <c r="F549"/>
  <c r="H549"/>
  <c r="F548"/>
  <c r="H548"/>
  <c r="F547"/>
  <c r="H547"/>
  <c r="F546"/>
  <c r="H546"/>
  <c r="F545"/>
  <c r="H545"/>
  <c r="F544"/>
  <c r="H544"/>
  <c r="F543"/>
  <c r="H543"/>
  <c r="F542"/>
  <c r="H542"/>
  <c r="F541"/>
  <c r="H541"/>
  <c r="F539"/>
  <c r="H539"/>
  <c r="F538"/>
  <c r="H538"/>
  <c r="F537"/>
  <c r="H537"/>
  <c r="F534"/>
  <c r="H534"/>
  <c r="F533"/>
  <c r="H533"/>
  <c r="F532"/>
  <c r="H532"/>
  <c r="F531"/>
  <c r="H531"/>
  <c r="F530"/>
  <c r="H530"/>
  <c r="F529"/>
  <c r="H529"/>
  <c r="F528"/>
  <c r="H528"/>
  <c r="F527"/>
  <c r="H527"/>
  <c r="F526"/>
  <c r="H526"/>
  <c r="F525"/>
  <c r="H525"/>
  <c r="F524"/>
  <c r="H524"/>
  <c r="F523"/>
  <c r="H523"/>
  <c r="F522"/>
  <c r="H522"/>
  <c r="F521"/>
  <c r="H521"/>
  <c r="F518"/>
  <c r="H518"/>
  <c r="F517"/>
  <c r="H517"/>
  <c r="F516"/>
  <c r="H516"/>
  <c r="F515"/>
  <c r="H515"/>
  <c r="F513"/>
  <c r="H513"/>
  <c r="F512"/>
  <c r="H512"/>
  <c r="F510"/>
  <c r="H510"/>
  <c r="F509"/>
  <c r="H509"/>
  <c r="F508"/>
  <c r="H508"/>
  <c r="F506"/>
  <c r="H506"/>
  <c r="F505"/>
  <c r="H505"/>
  <c r="F504"/>
  <c r="H504"/>
  <c r="F503"/>
  <c r="H503"/>
  <c r="F502"/>
  <c r="H502"/>
  <c r="F501"/>
  <c r="H501"/>
  <c r="F500"/>
  <c r="H500"/>
  <c r="F499"/>
  <c r="H499"/>
  <c r="F498"/>
  <c r="H498"/>
  <c r="F497"/>
  <c r="H497"/>
  <c r="F496"/>
  <c r="H496"/>
  <c r="F495"/>
  <c r="H495"/>
  <c r="F494"/>
  <c r="H494"/>
  <c r="F493"/>
  <c r="H493"/>
  <c r="F492"/>
  <c r="H492"/>
  <c r="F491"/>
  <c r="H491"/>
  <c r="F490"/>
  <c r="H490"/>
  <c r="F489"/>
  <c r="H489"/>
  <c r="F488"/>
  <c r="H488"/>
  <c r="F487"/>
  <c r="H487"/>
  <c r="F486"/>
  <c r="H486"/>
  <c r="F485"/>
  <c r="H485"/>
  <c r="F484"/>
  <c r="H484"/>
  <c r="F483"/>
  <c r="H483"/>
  <c r="F482"/>
  <c r="H482"/>
  <c r="F477"/>
  <c r="H477"/>
  <c r="F476"/>
  <c r="H476"/>
  <c r="F475"/>
  <c r="H475"/>
  <c r="F474"/>
  <c r="H474"/>
  <c r="F473"/>
  <c r="H473"/>
  <c r="F472"/>
  <c r="H472"/>
  <c r="F471"/>
  <c r="H471"/>
  <c r="F470"/>
  <c r="H470"/>
  <c r="F469"/>
  <c r="H469"/>
  <c r="F468"/>
  <c r="H468"/>
  <c r="F467"/>
  <c r="H467"/>
  <c r="F466"/>
  <c r="H466"/>
  <c r="F465"/>
  <c r="H465"/>
  <c r="F464"/>
  <c r="H464"/>
  <c r="F463"/>
  <c r="H463"/>
  <c r="F462"/>
  <c r="H462"/>
  <c r="F461"/>
  <c r="H461"/>
  <c r="F460"/>
  <c r="H460"/>
  <c r="F459"/>
  <c r="H459"/>
  <c r="F458"/>
  <c r="H458"/>
  <c r="F457"/>
  <c r="H457"/>
  <c r="F456"/>
  <c r="H456"/>
  <c r="F455"/>
  <c r="H455"/>
  <c r="F454"/>
  <c r="H454"/>
  <c r="F453"/>
  <c r="H453"/>
  <c r="F452"/>
  <c r="H452"/>
  <c r="F451"/>
  <c r="H451"/>
  <c r="F450"/>
  <c r="H450"/>
  <c r="F449"/>
  <c r="H449"/>
  <c r="F448"/>
  <c r="H448"/>
  <c r="F447"/>
  <c r="H447"/>
  <c r="F446"/>
  <c r="H446"/>
  <c r="F445"/>
  <c r="H445"/>
  <c r="F444"/>
  <c r="H444"/>
  <c r="F443"/>
  <c r="H443"/>
  <c r="F442"/>
  <c r="H442"/>
  <c r="F441"/>
  <c r="H441"/>
  <c r="F440"/>
  <c r="H440"/>
  <c r="F439"/>
  <c r="H439"/>
  <c r="F438"/>
  <c r="H438"/>
  <c r="F437"/>
  <c r="H437"/>
  <c r="F436"/>
  <c r="H436"/>
  <c r="F435"/>
  <c r="H435"/>
  <c r="F434"/>
  <c r="H434"/>
  <c r="F433"/>
  <c r="H433"/>
  <c r="F432"/>
  <c r="H432"/>
  <c r="F431"/>
  <c r="H431"/>
  <c r="F430"/>
  <c r="H430"/>
  <c r="F429"/>
  <c r="H429"/>
  <c r="F428"/>
  <c r="H428"/>
  <c r="F427"/>
  <c r="H427"/>
  <c r="F426"/>
  <c r="H426"/>
  <c r="F423"/>
  <c r="H423"/>
  <c r="F422"/>
  <c r="H422"/>
  <c r="F421"/>
  <c r="H421"/>
  <c r="F420"/>
  <c r="H420"/>
  <c r="F419"/>
  <c r="H419"/>
  <c r="F418"/>
  <c r="H418"/>
  <c r="F417"/>
  <c r="H417"/>
  <c r="F416"/>
  <c r="H416"/>
  <c r="F415"/>
  <c r="H415"/>
  <c r="F414"/>
  <c r="H414"/>
  <c r="F413"/>
  <c r="H413"/>
  <c r="F412"/>
  <c r="H412"/>
  <c r="F411"/>
  <c r="H411"/>
  <c r="F410"/>
  <c r="H410"/>
  <c r="F409"/>
  <c r="H409"/>
  <c r="F408"/>
  <c r="H408"/>
  <c r="F405"/>
  <c r="H405"/>
  <c r="F404"/>
  <c r="H404"/>
  <c r="F403"/>
  <c r="H403"/>
  <c r="F402"/>
  <c r="H402"/>
  <c r="F401"/>
  <c r="H401"/>
  <c r="F400"/>
  <c r="H400"/>
  <c r="F399"/>
  <c r="H399"/>
  <c r="F398"/>
  <c r="H398"/>
  <c r="F397"/>
  <c r="H397"/>
  <c r="F396"/>
  <c r="H396"/>
  <c r="F395"/>
  <c r="H395"/>
  <c r="F394"/>
  <c r="H394"/>
  <c r="F393"/>
  <c r="H393"/>
  <c r="F392"/>
  <c r="H392"/>
  <c r="F391"/>
  <c r="H391"/>
  <c r="F390"/>
  <c r="H390"/>
  <c r="F389"/>
  <c r="H389"/>
  <c r="F388"/>
  <c r="H388"/>
  <c r="F387"/>
  <c r="H387"/>
  <c r="F386"/>
  <c r="H386"/>
  <c r="F385"/>
  <c r="H385"/>
  <c r="F384"/>
  <c r="H384"/>
  <c r="F383"/>
  <c r="H383"/>
  <c r="F382"/>
  <c r="H382"/>
  <c r="F381"/>
  <c r="H381"/>
  <c r="F380"/>
  <c r="H380"/>
  <c r="F379"/>
  <c r="H379"/>
  <c r="F378"/>
  <c r="H378"/>
  <c r="F377"/>
  <c r="H377"/>
  <c r="F376"/>
  <c r="H376"/>
  <c r="F374"/>
  <c r="H374"/>
  <c r="F373"/>
  <c r="H373"/>
  <c r="F371"/>
  <c r="H371"/>
  <c r="F369"/>
  <c r="H369"/>
  <c r="F368"/>
  <c r="H368"/>
  <c r="F367"/>
  <c r="H367"/>
  <c r="F366"/>
  <c r="H366"/>
  <c r="F365"/>
  <c r="H365"/>
  <c r="F364"/>
  <c r="H364"/>
  <c r="F363"/>
  <c r="H363"/>
  <c r="F362"/>
  <c r="H362"/>
  <c r="F361"/>
  <c r="H361"/>
  <c r="F360"/>
  <c r="H360"/>
  <c r="F359"/>
  <c r="H359"/>
  <c r="F358"/>
  <c r="H358"/>
  <c r="F357"/>
  <c r="H357"/>
  <c r="F356"/>
  <c r="H356"/>
  <c r="F355"/>
  <c r="H355"/>
  <c r="F354"/>
  <c r="H354"/>
  <c r="F353"/>
  <c r="H353"/>
  <c r="F352"/>
  <c r="H352"/>
  <c r="F351"/>
  <c r="H351"/>
  <c r="F350"/>
  <c r="H350"/>
  <c r="F349"/>
  <c r="H349"/>
  <c r="F348"/>
  <c r="H348"/>
  <c r="F347"/>
  <c r="H347"/>
  <c r="F346"/>
  <c r="H346"/>
  <c r="F345"/>
  <c r="H345"/>
  <c r="F344"/>
  <c r="H344"/>
  <c r="F343"/>
  <c r="H343"/>
  <c r="F342"/>
  <c r="H342"/>
  <c r="F341"/>
  <c r="H341"/>
  <c r="F340"/>
  <c r="H340"/>
  <c r="F339"/>
  <c r="H339"/>
  <c r="F338"/>
  <c r="H338"/>
  <c r="F337"/>
  <c r="H337"/>
  <c r="F336"/>
  <c r="H336"/>
  <c r="F335"/>
  <c r="H335"/>
  <c r="F334"/>
  <c r="H334"/>
  <c r="F333"/>
  <c r="H333"/>
  <c r="F332"/>
  <c r="H332"/>
  <c r="F331"/>
  <c r="H331"/>
  <c r="F330"/>
  <c r="H330"/>
  <c r="F329"/>
  <c r="H329"/>
  <c r="F328"/>
  <c r="H328"/>
  <c r="F327"/>
  <c r="H327"/>
  <c r="F326"/>
  <c r="H326"/>
  <c r="F325"/>
  <c r="H325"/>
  <c r="F324"/>
  <c r="H324"/>
  <c r="F323"/>
  <c r="H323"/>
  <c r="F322"/>
  <c r="H322"/>
  <c r="F321"/>
  <c r="H321"/>
  <c r="F320"/>
  <c r="H320"/>
  <c r="F319"/>
  <c r="H319"/>
  <c r="F318"/>
  <c r="H318"/>
  <c r="F317"/>
  <c r="H317"/>
  <c r="F316"/>
  <c r="H316"/>
  <c r="F315"/>
  <c r="H315"/>
  <c r="F314"/>
  <c r="H314"/>
  <c r="F313"/>
  <c r="H313"/>
  <c r="F312"/>
  <c r="H312"/>
  <c r="F311"/>
  <c r="H311"/>
  <c r="F310"/>
  <c r="H310"/>
  <c r="F309"/>
  <c r="H309"/>
  <c r="F308"/>
  <c r="H308"/>
  <c r="F307"/>
  <c r="H307"/>
  <c r="F306"/>
  <c r="H306"/>
  <c r="F305"/>
  <c r="H305"/>
  <c r="F304"/>
  <c r="H304"/>
  <c r="F303"/>
  <c r="H303"/>
  <c r="F302"/>
  <c r="H302"/>
  <c r="F301"/>
  <c r="H301"/>
  <c r="F300"/>
  <c r="H300"/>
  <c r="F299"/>
  <c r="H299"/>
  <c r="F298"/>
  <c r="H298"/>
  <c r="F297"/>
  <c r="H297"/>
  <c r="F296"/>
  <c r="H296"/>
  <c r="F295"/>
  <c r="H295"/>
  <c r="F294"/>
  <c r="H294"/>
  <c r="F293"/>
  <c r="H293"/>
  <c r="F292"/>
  <c r="H292"/>
  <c r="F291"/>
  <c r="H291"/>
  <c r="F290"/>
  <c r="H290"/>
  <c r="F289"/>
  <c r="H289"/>
  <c r="F288"/>
  <c r="H288"/>
  <c r="F287"/>
  <c r="H287"/>
  <c r="F286"/>
  <c r="H286"/>
  <c r="F285"/>
  <c r="H285"/>
  <c r="F284"/>
  <c r="H284"/>
  <c r="F283"/>
  <c r="H283"/>
  <c r="F282"/>
  <c r="H282"/>
  <c r="F281"/>
  <c r="H281"/>
  <c r="F280"/>
  <c r="H280"/>
  <c r="F279"/>
  <c r="H279"/>
  <c r="F278"/>
  <c r="H278"/>
  <c r="F277"/>
  <c r="H277"/>
  <c r="F276"/>
  <c r="H276"/>
  <c r="F275"/>
  <c r="H275"/>
  <c r="F274"/>
  <c r="H274"/>
  <c r="F273"/>
  <c r="H273"/>
  <c r="F272"/>
  <c r="H272"/>
  <c r="F271"/>
  <c r="H271"/>
  <c r="F270"/>
  <c r="H270"/>
  <c r="F269"/>
  <c r="H269"/>
  <c r="F268"/>
  <c r="H268"/>
  <c r="F267"/>
  <c r="H267"/>
  <c r="F266"/>
  <c r="H266"/>
  <c r="F265"/>
  <c r="H265"/>
  <c r="F264"/>
  <c r="H264"/>
  <c r="F263"/>
  <c r="H263"/>
  <c r="F262"/>
  <c r="H262"/>
  <c r="F261"/>
  <c r="H261"/>
  <c r="F260"/>
  <c r="H260"/>
  <c r="F259"/>
  <c r="H259"/>
  <c r="F258"/>
  <c r="H258"/>
  <c r="F257"/>
  <c r="H257"/>
  <c r="F256"/>
  <c r="H256"/>
  <c r="F255"/>
  <c r="H255"/>
  <c r="F254"/>
  <c r="H254"/>
  <c r="H253"/>
  <c r="F252"/>
  <c r="H252"/>
  <c r="F251"/>
  <c r="H251"/>
  <c r="F250"/>
  <c r="H250"/>
  <c r="F249"/>
  <c r="H249"/>
  <c r="F248"/>
  <c r="H248"/>
  <c r="F247"/>
  <c r="H247"/>
  <c r="F246"/>
  <c r="H246"/>
  <c r="F245"/>
  <c r="H245"/>
  <c r="F244"/>
  <c r="H244"/>
  <c r="F243"/>
  <c r="H243"/>
  <c r="F242"/>
  <c r="H242"/>
  <c r="F241"/>
  <c r="H241"/>
  <c r="F240"/>
  <c r="H240"/>
  <c r="F239"/>
  <c r="H239"/>
  <c r="F238"/>
  <c r="H238"/>
  <c r="F237"/>
  <c r="H237"/>
  <c r="F236"/>
  <c r="H236"/>
  <c r="F235"/>
  <c r="H235"/>
  <c r="F234"/>
  <c r="H234"/>
  <c r="F233"/>
  <c r="H233"/>
  <c r="F232"/>
  <c r="H232"/>
  <c r="F231"/>
  <c r="H231"/>
  <c r="F230"/>
  <c r="H230"/>
  <c r="F229"/>
  <c r="H229"/>
  <c r="F228"/>
  <c r="H228"/>
  <c r="F227"/>
  <c r="H227"/>
  <c r="F226"/>
  <c r="H226"/>
  <c r="F225"/>
  <c r="H225"/>
  <c r="F224"/>
  <c r="H224"/>
  <c r="F223"/>
  <c r="H223"/>
  <c r="F222"/>
  <c r="H222"/>
  <c r="F221"/>
  <c r="H221"/>
  <c r="F220"/>
  <c r="H220"/>
  <c r="F219"/>
  <c r="H219"/>
  <c r="F218"/>
  <c r="H218"/>
  <c r="F217"/>
  <c r="H217"/>
  <c r="F215"/>
  <c r="H215"/>
  <c r="F214"/>
  <c r="H214"/>
  <c r="F213"/>
  <c r="H213"/>
  <c r="F212"/>
  <c r="H212"/>
  <c r="F211"/>
  <c r="H211"/>
  <c r="F210"/>
  <c r="H210"/>
  <c r="F209"/>
  <c r="H209"/>
  <c r="F208"/>
  <c r="H208"/>
  <c r="F207"/>
  <c r="H207"/>
  <c r="F206"/>
  <c r="H206"/>
  <c r="F205"/>
  <c r="H205"/>
  <c r="F204"/>
  <c r="H204"/>
  <c r="F203"/>
  <c r="H203"/>
  <c r="F202"/>
  <c r="H202"/>
  <c r="F201"/>
  <c r="H201"/>
  <c r="F200"/>
  <c r="H200"/>
  <c r="F199"/>
  <c r="H199"/>
  <c r="F198"/>
  <c r="H198"/>
  <c r="F197"/>
  <c r="H197"/>
  <c r="F196"/>
  <c r="H196"/>
  <c r="F195"/>
  <c r="H195"/>
  <c r="F194"/>
  <c r="H194"/>
  <c r="F193"/>
  <c r="H193"/>
  <c r="F192"/>
  <c r="H192"/>
  <c r="F191"/>
  <c r="H191"/>
  <c r="F190"/>
  <c r="H190"/>
  <c r="F189"/>
  <c r="H189"/>
  <c r="F188"/>
  <c r="H188"/>
  <c r="F187"/>
  <c r="H187"/>
  <c r="F186"/>
  <c r="H186"/>
  <c r="F185"/>
  <c r="H185"/>
  <c r="F184"/>
  <c r="H184"/>
  <c r="F183"/>
  <c r="H183"/>
  <c r="F182"/>
  <c r="H182"/>
  <c r="F181"/>
  <c r="H181"/>
  <c r="F180"/>
  <c r="H180"/>
  <c r="F179"/>
  <c r="H179"/>
  <c r="F178"/>
  <c r="H178"/>
  <c r="F177"/>
  <c r="H177"/>
  <c r="F176"/>
  <c r="H176"/>
  <c r="F175"/>
  <c r="H175"/>
  <c r="F174"/>
  <c r="H174"/>
  <c r="F173"/>
  <c r="H173"/>
  <c r="F172"/>
  <c r="H172"/>
  <c r="F171"/>
  <c r="H171"/>
  <c r="F170"/>
  <c r="H170"/>
  <c r="F169"/>
  <c r="H169"/>
  <c r="F168"/>
  <c r="H168"/>
  <c r="F167"/>
  <c r="H167"/>
  <c r="F166"/>
  <c r="H166"/>
  <c r="F165"/>
  <c r="H165"/>
  <c r="F164"/>
  <c r="H164"/>
  <c r="F163"/>
  <c r="H163"/>
  <c r="F162"/>
  <c r="H162"/>
  <c r="F161"/>
  <c r="H161"/>
  <c r="F160"/>
  <c r="H160"/>
  <c r="F159"/>
  <c r="H159"/>
  <c r="F158"/>
  <c r="H158"/>
  <c r="F154"/>
  <c r="H154"/>
  <c r="F153"/>
  <c r="H153"/>
  <c r="F152"/>
  <c r="H152"/>
  <c r="F151"/>
  <c r="H151"/>
  <c r="F150"/>
  <c r="H150"/>
  <c r="F149"/>
  <c r="H149"/>
  <c r="F148"/>
  <c r="H148"/>
  <c r="F147"/>
  <c r="H147"/>
  <c r="F146"/>
  <c r="H146"/>
  <c r="F145"/>
  <c r="H145"/>
  <c r="F144"/>
  <c r="H144"/>
  <c r="F143"/>
  <c r="H143"/>
  <c r="F142"/>
  <c r="H142"/>
  <c r="F141"/>
  <c r="H141"/>
  <c r="F140"/>
  <c r="H140"/>
  <c r="F139"/>
  <c r="H139"/>
  <c r="F138"/>
  <c r="H138"/>
  <c r="F137"/>
  <c r="H137"/>
  <c r="F136"/>
  <c r="H136"/>
  <c r="F135"/>
  <c r="H135"/>
  <c r="F134"/>
  <c r="H134"/>
  <c r="F133"/>
  <c r="H133"/>
  <c r="F129"/>
  <c r="H129"/>
  <c r="F128"/>
  <c r="H128"/>
  <c r="F127"/>
  <c r="H127"/>
  <c r="F126"/>
  <c r="H126"/>
  <c r="F125"/>
  <c r="H125"/>
  <c r="F124"/>
  <c r="H124"/>
  <c r="F123"/>
  <c r="H123"/>
  <c r="F122"/>
  <c r="H122"/>
  <c r="F121"/>
  <c r="H121"/>
  <c r="F120"/>
  <c r="H120"/>
  <c r="F119"/>
  <c r="H119"/>
  <c r="F118"/>
  <c r="H118"/>
  <c r="F117"/>
  <c r="H117"/>
  <c r="F116"/>
  <c r="H116"/>
  <c r="F115"/>
  <c r="H115"/>
  <c r="F114"/>
  <c r="H114"/>
  <c r="F113"/>
  <c r="H113"/>
  <c r="F112"/>
  <c r="H112"/>
  <c r="F111"/>
  <c r="H111"/>
  <c r="F110"/>
  <c r="H110"/>
  <c r="F109"/>
  <c r="H109"/>
  <c r="F108"/>
  <c r="H108"/>
  <c r="F107"/>
  <c r="H107"/>
  <c r="F106"/>
  <c r="H106"/>
  <c r="F105"/>
  <c r="H105"/>
  <c r="F104"/>
  <c r="H104"/>
  <c r="F103"/>
  <c r="H103"/>
  <c r="F102"/>
  <c r="H102"/>
  <c r="F101"/>
  <c r="H101"/>
  <c r="F100"/>
  <c r="H100"/>
  <c r="F99"/>
  <c r="H99"/>
  <c r="F98"/>
  <c r="H98"/>
  <c r="F97"/>
  <c r="H97"/>
  <c r="F96"/>
  <c r="H96"/>
  <c r="F95"/>
  <c r="H95"/>
  <c r="F94"/>
  <c r="H94"/>
  <c r="F90"/>
  <c r="H90"/>
  <c r="F89"/>
  <c r="H89"/>
  <c r="F88"/>
  <c r="H88"/>
  <c r="F87"/>
  <c r="H87"/>
  <c r="F86"/>
  <c r="H86"/>
  <c r="F85"/>
  <c r="H85"/>
  <c r="F84"/>
  <c r="H84"/>
  <c r="F83"/>
  <c r="H83"/>
  <c r="F82"/>
  <c r="H82"/>
  <c r="F81"/>
  <c r="H81"/>
  <c r="F80"/>
  <c r="H80"/>
  <c r="F79"/>
  <c r="H79"/>
  <c r="F78"/>
  <c r="H78"/>
  <c r="F77"/>
  <c r="H77"/>
  <c r="F76"/>
  <c r="H76"/>
  <c r="F75"/>
  <c r="H75"/>
  <c r="F72"/>
  <c r="H72"/>
  <c r="F71"/>
  <c r="H71"/>
  <c r="F70"/>
  <c r="H70"/>
  <c r="F69"/>
  <c r="H69"/>
  <c r="F68"/>
  <c r="H68"/>
  <c r="F67"/>
  <c r="H67"/>
  <c r="F66"/>
  <c r="H66"/>
  <c r="F65"/>
  <c r="H65"/>
  <c r="F64"/>
  <c r="H64"/>
  <c r="F63"/>
  <c r="H63"/>
  <c r="N62"/>
  <c r="F62"/>
  <c r="H62"/>
  <c r="F59"/>
  <c r="H59"/>
  <c r="F58"/>
  <c r="H58"/>
  <c r="F57"/>
  <c r="H57"/>
  <c r="F56"/>
  <c r="H56"/>
  <c r="F55"/>
  <c r="H55"/>
  <c r="F54"/>
  <c r="H54"/>
  <c r="F53"/>
  <c r="H53"/>
  <c r="F52"/>
  <c r="H52"/>
  <c r="F51"/>
  <c r="H51"/>
  <c r="F50"/>
  <c r="H50"/>
  <c r="F46"/>
  <c r="H46"/>
  <c r="F45"/>
  <c r="H45"/>
  <c r="F44"/>
  <c r="H44"/>
  <c r="F43"/>
  <c r="H43"/>
  <c r="F42"/>
  <c r="H42"/>
  <c r="F41"/>
  <c r="H41"/>
  <c r="F40"/>
  <c r="H40"/>
  <c r="F39"/>
  <c r="H39"/>
  <c r="F38"/>
  <c r="H38"/>
  <c r="F37"/>
  <c r="H37"/>
  <c r="F36"/>
  <c r="H36"/>
  <c r="F35"/>
  <c r="H35"/>
  <c r="F34"/>
  <c r="H34"/>
  <c r="F33"/>
  <c r="H33"/>
  <c r="F32"/>
  <c r="H32"/>
  <c r="F31"/>
  <c r="H31"/>
  <c r="F30"/>
  <c r="H30"/>
  <c r="F29"/>
  <c r="H29"/>
  <c r="F28"/>
  <c r="H28"/>
  <c r="F27"/>
  <c r="H27"/>
  <c r="F26"/>
  <c r="H26"/>
  <c r="F25"/>
  <c r="H25"/>
  <c r="F24"/>
  <c r="H24"/>
  <c r="F23"/>
  <c r="H23"/>
  <c r="F22"/>
  <c r="H22"/>
  <c r="F21"/>
  <c r="H21"/>
  <c r="F20"/>
  <c r="H20"/>
  <c r="F19"/>
  <c r="H19"/>
  <c r="F18"/>
  <c r="H18"/>
  <c r="F17"/>
  <c r="H17"/>
  <c r="F16"/>
  <c r="H16"/>
  <c r="F15"/>
  <c r="H15"/>
  <c r="F14"/>
  <c r="H14"/>
  <c r="F13"/>
  <c r="H13"/>
  <c r="F12"/>
  <c r="H12"/>
  <c r="F11"/>
  <c r="H11"/>
  <c r="F10"/>
  <c r="H10"/>
  <c r="F9"/>
  <c r="H9"/>
  <c r="F8"/>
  <c r="H8"/>
  <c r="F7"/>
  <c r="H7"/>
</calcChain>
</file>

<file path=xl/sharedStrings.xml><?xml version="1.0" encoding="utf-8"?>
<sst xmlns="http://schemas.openxmlformats.org/spreadsheetml/2006/main">
  <si>
    <t>Sl. No.</t>
  </si>
  <si>
    <t>Description</t>
  </si>
  <si>
    <t>Qty</t>
  </si>
  <si>
    <t>Unit</t>
  </si>
  <si>
    <t>Rate in Rs.</t>
  </si>
  <si>
    <t>Cost in Rs.</t>
  </si>
  <si>
    <t>Total in Rs.</t>
  </si>
  <si>
    <t>Reference</t>
  </si>
  <si>
    <t>Cash</t>
  </si>
  <si>
    <t>Stock</t>
  </si>
  <si>
    <t xml:space="preserve"> A</t>
  </si>
  <si>
    <t xml:space="preserve">SUPPLY PORTION </t>
  </si>
  <si>
    <t>ITEM 
NO.</t>
  </si>
  <si>
    <t>DESCRIPTION OF THE ITEM</t>
  </si>
  <si>
    <t>UNIT</t>
  </si>
  <si>
    <t>RATE</t>
  </si>
  <si>
    <t>SOR ITEM 
NO.</t>
  </si>
  <si>
    <t>CHAPTER 1-SIGNAL UNIT</t>
  </si>
  <si>
    <r>
      <t xml:space="preserve">Supply of </t>
    </r>
    <r>
      <rPr>
        <rFont val="Arial"/>
        <b val="1"/>
        <sz val="10"/>
        <scheme val="none"/>
      </rPr>
      <t xml:space="preserve">CLS Post 140mm dia </t>
    </r>
    <r>
      <rPr>
        <rFont val="Arial"/>
        <sz val="10"/>
        <scheme val="none"/>
      </rPr>
      <t>to Specn No. IRS:S 6-81 Rev.3 or latest.</t>
    </r>
  </si>
  <si>
    <t>SOR 2024 Item No. 101</t>
  </si>
  <si>
    <t>(a)</t>
  </si>
  <si>
    <t>4.5m long</t>
  </si>
  <si>
    <t>No.</t>
  </si>
  <si>
    <t>SOR 2024 Item No. 101 (a)</t>
  </si>
  <si>
    <t>(b)</t>
  </si>
  <si>
    <t>3.5m long</t>
  </si>
  <si>
    <t>SOR 2024 Item No. 101 (b)</t>
  </si>
  <si>
    <r>
      <t xml:space="preserve">Supply of </t>
    </r>
    <r>
      <rPr>
        <rFont val="Arial"/>
        <b val="1"/>
        <sz val="10"/>
        <scheme val="none"/>
      </rPr>
      <t xml:space="preserve">CLS Ladder set </t>
    </r>
    <r>
      <rPr>
        <rFont val="Arial"/>
        <sz val="10"/>
        <scheme val="none"/>
      </rPr>
      <t>complete with staging/platform, supports, cast iron ladder base/Shoe.</t>
    </r>
  </si>
  <si>
    <t>SOR 2024 Item No.-102</t>
  </si>
  <si>
    <t>Ladder for 4.5m post as per DRG No. SA 23153, S 2033 or Latest</t>
  </si>
  <si>
    <t>Set</t>
  </si>
  <si>
    <t>SOR 2024 Item No.-102 (a)</t>
  </si>
  <si>
    <t>Ladder for 3.5m post as per DRG No. SA 23150, S 2033 or latest</t>
  </si>
  <si>
    <t>SOR 2024 Item No.-102 (b)</t>
  </si>
  <si>
    <r>
      <t xml:space="preserve">Supply of </t>
    </r>
    <r>
      <rPr>
        <rFont val="Arial"/>
        <b val="1"/>
        <sz val="10"/>
        <scheme val="none"/>
      </rPr>
      <t xml:space="preserve">Surface Base </t>
    </r>
    <r>
      <rPr>
        <rFont val="Arial"/>
        <sz val="10"/>
        <scheme val="none"/>
      </rPr>
      <t>140mm dia. CLS post as per Drg No. S 2011/M.</t>
    </r>
  </si>
  <si>
    <t>SOR 2024 Item No.-103</t>
  </si>
  <si>
    <r>
      <t xml:space="preserve">Supply of Metallic (MS) colour light </t>
    </r>
    <r>
      <rPr>
        <rFont val="Arial"/>
        <b val="1"/>
        <sz val="10"/>
        <scheme val="none"/>
      </rPr>
      <t>Signal Unit.</t>
    </r>
  </si>
  <si>
    <t>SOR 2024 Item No.-104</t>
  </si>
  <si>
    <t>2 aspect complete as per DRG No. SA. 23003/A/M (Adv.) with latest amendment and Specn No. IRS: S 26-64 or latest.</t>
  </si>
  <si>
    <t>SOR 2024 Item No.-104 (a)</t>
  </si>
  <si>
    <t>3 aspect complete as per DRG No. SA. 23002/A/M (Adv.) with latest amendment and Specn No. IRS: S 26-64 or latest.</t>
  </si>
  <si>
    <t>SOR 2024 Item No.-104 (b)</t>
  </si>
  <si>
    <t>(c)</t>
  </si>
  <si>
    <t>4 aspect complete as per DRG No. SA. 23001/A/M (Adv.) with latest amendment and Specn No. IRS: S 26-64 or latest.</t>
  </si>
  <si>
    <t>SOR 2024 Item No.-104 (c)</t>
  </si>
  <si>
    <r>
      <t xml:space="preserve">Supply of </t>
    </r>
    <r>
      <rPr>
        <rFont val="Arial"/>
        <b val="1"/>
        <sz val="10"/>
        <scheme val="none"/>
      </rPr>
      <t xml:space="preserve">FRP type colour light signal unit </t>
    </r>
    <r>
      <rPr>
        <rFont val="Arial"/>
        <sz val="10"/>
        <scheme val="none"/>
      </rPr>
      <t>as per RDSO Specn no. RDSO/SPN/ 194/2006 Rev. 2.0 or latest</t>
    </r>
  </si>
  <si>
    <t>SOR 2024 Item No-105</t>
  </si>
  <si>
    <t>2 aspect complete as per Drg No. SA 23003/A/M with latest amendment.</t>
  </si>
  <si>
    <t>SOR 2024 Item No-105 (a)</t>
  </si>
  <si>
    <t>3 aspect complete as per Drg No. SA 23002/A/M with latest amendment.</t>
  </si>
  <si>
    <t>SOR 2024 Item No-105 (b)</t>
  </si>
  <si>
    <t>4 aspect complete as per Drg No. SA 23001/A/M with latest amendment.</t>
  </si>
  <si>
    <t>SOR 2024 Item No-105 (c)</t>
  </si>
  <si>
    <r>
      <t xml:space="preserve">Supply of </t>
    </r>
    <r>
      <rPr>
        <rFont val="Arial"/>
        <b val="1"/>
        <sz val="10"/>
        <scheme val="none"/>
      </rPr>
      <t xml:space="preserve">Offset Bracket </t>
    </r>
    <r>
      <rPr>
        <rFont val="Arial"/>
        <sz val="10"/>
        <scheme val="none"/>
      </rPr>
      <t>to suit 140mm dia CLS post with two numbers of U bolts and nuts complete.</t>
    </r>
  </si>
  <si>
    <t>SOR 2024 Item No -106</t>
  </si>
  <si>
    <r>
      <t xml:space="preserve">Supply of </t>
    </r>
    <r>
      <rPr>
        <rFont val="Arial"/>
        <b val="1"/>
        <sz val="10"/>
        <scheme val="none"/>
      </rPr>
      <t xml:space="preserve">Calling On Signal Unit complete </t>
    </r>
    <r>
      <rPr>
        <rFont val="Arial"/>
        <sz val="10"/>
        <scheme val="none"/>
      </rPr>
      <t>with U Bolts as per RDSO Drg No. SA.24351 (Adv.) or latest.</t>
    </r>
  </si>
  <si>
    <t>SOR 2024 Item No -107</t>
  </si>
  <si>
    <r>
      <t xml:space="preserve">Supply of </t>
    </r>
    <r>
      <rPr>
        <rFont val="Arial"/>
        <b val="1"/>
        <sz val="10"/>
        <scheme val="none"/>
      </rPr>
      <t xml:space="preserve">Ground type position light shunt signal </t>
    </r>
    <r>
      <rPr>
        <rFont val="Arial"/>
        <sz val="10"/>
        <scheme val="none"/>
      </rPr>
      <t>complete with base, pipe, arrow mark and hoods as per RDSO Drg No. SA 23840 or latest.</t>
    </r>
  </si>
  <si>
    <t>SOR 2024 Item No -108</t>
  </si>
  <si>
    <r>
      <t xml:space="preserve">Supply of </t>
    </r>
    <r>
      <rPr>
        <rFont val="Arial"/>
        <b val="1"/>
        <sz val="10"/>
        <scheme val="none"/>
      </rPr>
      <t xml:space="preserve">Post type position light shunt signal </t>
    </r>
    <r>
      <rPr>
        <rFont val="Arial"/>
        <sz val="10"/>
        <scheme val="none"/>
      </rPr>
      <t>with hoods, arrow mark and offset bracket to suit 90mm sockets (CLS) with two numbers of ‘U’ bolts and nuts complete to fix shunt signal below main stop signal as per RDSO Drg No. SA 23840 or latest</t>
    </r>
  </si>
  <si>
    <t>SOR 2024 Item No -109</t>
  </si>
  <si>
    <r>
      <t xml:space="preserve">Supply of </t>
    </r>
    <r>
      <rPr>
        <rFont val="Arial"/>
        <b val="1"/>
        <sz val="10"/>
        <scheme val="none"/>
      </rPr>
      <t xml:space="preserve">Junction type/Direction type route indicator </t>
    </r>
    <r>
      <rPr>
        <rFont val="Arial"/>
        <sz val="10"/>
        <scheme val="none"/>
      </rPr>
      <t>as per Specn No. IRS:S 66-84 Amd. 1 or latest.</t>
    </r>
  </si>
  <si>
    <t>SOR 2024 Item No -110</t>
  </si>
  <si>
    <t>One way as per Drg No. SA 23401</t>
  </si>
  <si>
    <t>SOR 2024 Item No -110(a)</t>
  </si>
  <si>
    <t>Two way as per Drg No. SA 23402</t>
  </si>
  <si>
    <t>SOR 2024 Item No -110(b)</t>
  </si>
  <si>
    <t>Three way as per Drg No. SA 23403</t>
  </si>
  <si>
    <t>SOR 2024 Item No -110(c)</t>
  </si>
  <si>
    <t>(d)</t>
  </si>
  <si>
    <t>Four way to Drg No. SA.23404</t>
  </si>
  <si>
    <t>SOR 2024 Item No -110(d)</t>
  </si>
  <si>
    <t>(e)</t>
  </si>
  <si>
    <t>Five way as per Drg No. SA 23405</t>
  </si>
  <si>
    <t>SOR 2024 Item No -110(e)</t>
  </si>
  <si>
    <t>(f)</t>
  </si>
  <si>
    <t>Six way as per Drg No. SA 23406</t>
  </si>
  <si>
    <t>SOR 2024 Item No -110(f)</t>
  </si>
  <si>
    <r>
      <t xml:space="preserve">Supply of </t>
    </r>
    <r>
      <rPr>
        <rFont val="Arial"/>
        <b val="1"/>
        <sz val="10"/>
        <scheme val="none"/>
      </rPr>
      <t>LED type (White Colour) route indicator</t>
    </r>
  </si>
  <si>
    <t>SOR 2024 Item No -111</t>
  </si>
  <si>
    <t>One way</t>
  </si>
  <si>
    <t>SOR 2024 Item No -111(a)</t>
  </si>
  <si>
    <t>Two way</t>
  </si>
  <si>
    <t>SOR 2024 Item No -111(b)</t>
  </si>
  <si>
    <t>Four way</t>
  </si>
  <si>
    <t>SOR 2024 Item No -111(c)</t>
  </si>
  <si>
    <t>Six way</t>
  </si>
  <si>
    <t>SOR 2024 Item No -111(d)</t>
  </si>
  <si>
    <t>Supply of Colour LED Signal of various type working on 110V AC.</t>
  </si>
  <si>
    <t>SOR 2024 Item No - 112</t>
  </si>
  <si>
    <r>
      <rPr>
        <rFont val="Arial"/>
        <b val="1"/>
        <sz val="10"/>
        <scheme val="none"/>
      </rPr>
      <t>RED aspect</t>
    </r>
    <r>
      <rPr>
        <rFont val="Arial"/>
        <sz val="10"/>
        <scheme val="none"/>
      </rPr>
      <t>, Integrated type retro fittable in existing CLS housing and compatible with AC LED ECR as per RDSO Specn No. RDSO/SPN/199/2010 Rev.1.1 or latest.</t>
    </r>
  </si>
  <si>
    <t>SOR 2024 Item No - 112(a)</t>
  </si>
  <si>
    <r>
      <rPr>
        <rFont val="Arial"/>
        <b val="1"/>
        <sz val="10"/>
        <scheme val="none"/>
      </rPr>
      <t>Yellow aspect</t>
    </r>
    <r>
      <rPr>
        <rFont val="Arial"/>
        <sz val="10"/>
        <scheme val="none"/>
      </rPr>
      <t>, Integrated type retro fittable in existing CLS housing and compatible with AC LED ECR as per RDSO Specn No. RDSO/SPN/199/2010 Rev.1.1 or latest.</t>
    </r>
  </si>
  <si>
    <t>SOR 2024 Item No - 112(b)</t>
  </si>
  <si>
    <r>
      <rPr>
        <rFont val="Arial"/>
        <b val="1"/>
        <sz val="10"/>
        <scheme val="none"/>
      </rPr>
      <t xml:space="preserve">Green aspect, </t>
    </r>
    <r>
      <rPr>
        <rFont val="Arial"/>
        <sz val="10"/>
        <scheme val="none"/>
      </rPr>
      <t>Integrated type retro fittable in existing CLS housing and compatible with AC LED ECR as per RDSO Specn No. RDSO/SPN/199/2010 Rev.1.1 or latest.</t>
    </r>
  </si>
  <si>
    <t>SOR 2024 Item No - 112(c)</t>
  </si>
  <si>
    <r>
      <rPr>
        <rFont val="Arial"/>
        <b val="1"/>
        <sz val="10"/>
        <scheme val="none"/>
      </rPr>
      <t xml:space="preserve">Calling on aspect </t>
    </r>
    <r>
      <rPr>
        <rFont val="Arial"/>
        <sz val="10"/>
        <scheme val="none"/>
      </rPr>
      <t>with current regulator and health monitoring alarm unit with selection for use with conventional ECR or LED ECR to RDSO Specn RDSO/SPN/ 153/2023 rev.5.0 or Latest.</t>
    </r>
  </si>
  <si>
    <t>SOR 2024 Item No - 112(d)</t>
  </si>
  <si>
    <r>
      <rPr>
        <rFont val="Arial"/>
        <b val="1"/>
        <sz val="10"/>
        <scheme val="none"/>
      </rPr>
      <t xml:space="preserve">Signal Route aspect </t>
    </r>
    <r>
      <rPr>
        <rFont val="Arial"/>
        <sz val="10"/>
        <scheme val="none"/>
      </rPr>
      <t>with current regulator and health monitoring alarm unit with selection for use with conventional ECR or LED ECR to RDSO Specn No. RDSO/SPN/ 153/2023 rev.5.0 or Latest.</t>
    </r>
  </si>
  <si>
    <t>SOR 2024 Item No - 112(e)</t>
  </si>
  <si>
    <r>
      <rPr>
        <rFont val="Arial"/>
        <b val="1"/>
        <sz val="10"/>
        <scheme val="none"/>
      </rPr>
      <t xml:space="preserve">Shunt aspect </t>
    </r>
    <r>
      <rPr>
        <rFont val="Arial"/>
        <sz val="10"/>
        <scheme val="none"/>
      </rPr>
      <t>with current regulator and health monitoring alarm unit with selection for use with conventional ECR or LED ECR to RDSO Specn No. RDSO/SPN/153/2023 rev.5.0 or Latest.</t>
    </r>
  </si>
  <si>
    <t>SOR 2024 Item No - 112(f)</t>
  </si>
  <si>
    <r>
      <t xml:space="preserve">Supply of </t>
    </r>
    <r>
      <rPr>
        <rFont val="Arial"/>
        <b val="1"/>
        <sz val="10"/>
        <scheme val="none"/>
      </rPr>
      <t xml:space="preserve">Housing rack for 1-9 Multi lamp Route Indicator </t>
    </r>
    <r>
      <rPr>
        <rFont val="Arial"/>
        <sz val="10"/>
        <scheme val="none"/>
      </rPr>
      <t>of 2mm MS thick sheet with mounting socket on signal post (LED single digit).</t>
    </r>
  </si>
  <si>
    <t>SOR 2024 Item No -113</t>
  </si>
  <si>
    <r>
      <t xml:space="preserve">Supply of vitreous enamel coated board of 230mm dia. </t>
    </r>
    <r>
      <rPr>
        <rFont val="Arial"/>
        <b val="1"/>
        <sz val="10"/>
        <scheme val="none"/>
      </rPr>
      <t xml:space="preserve">(A, P, G, C, IB markers) </t>
    </r>
    <r>
      <rPr>
        <rFont val="Arial"/>
        <sz val="10"/>
        <scheme val="none"/>
      </rPr>
      <t xml:space="preserve">made of 2mm thick sheet as per following colour scheme: 1) 'G' marker – Yellow back  ground, black letters 2) Other boards - White background, black letters</t>
    </r>
  </si>
  <si>
    <t>SOR 2024 Item No -114</t>
  </si>
  <si>
    <r>
      <t xml:space="preserve">Supply of 280mmx102mmx2mm thickness vitreous enamel coating </t>
    </r>
    <r>
      <rPr>
        <rFont val="Arial"/>
        <b val="1"/>
        <sz val="10"/>
        <scheme val="none"/>
      </rPr>
      <t xml:space="preserve">arrow markers </t>
    </r>
    <r>
      <rPr>
        <rFont val="Arial"/>
        <sz val="10"/>
        <scheme val="none"/>
      </rPr>
      <t>board fabricated with MS clamp of size 40mmx6mm along with suitable bolts and nuts.</t>
    </r>
  </si>
  <si>
    <t>SOR 2024 Item No -115</t>
  </si>
  <si>
    <t>CHAPTER 2 - LOCATION BOX</t>
  </si>
  <si>
    <r>
      <t xml:space="preserve">Supply of GKP type </t>
    </r>
    <r>
      <rPr>
        <rFont val="Arial"/>
        <b val="1"/>
        <sz val="10"/>
        <scheme val="none"/>
      </rPr>
      <t>Location Boxes</t>
    </r>
  </si>
  <si>
    <t>SOR 2024 Item No - 201</t>
  </si>
  <si>
    <t>Full size as per Drg No. S&amp;T/MFT/T.2378</t>
  </si>
  <si>
    <t>SOR 2024 Item No - 201(a)</t>
  </si>
  <si>
    <t>Half size Drg No. S&amp;T/MFT/T.2378</t>
  </si>
  <si>
    <t>SOR 2024 Item No - 201(b)</t>
  </si>
  <si>
    <t>Quarter size Drg No. S&amp;T/MFT/T.2378</t>
  </si>
  <si>
    <t>SOR 2024 Item No - 201©</t>
  </si>
  <si>
    <r>
      <t xml:space="preserve">Supply of </t>
    </r>
    <r>
      <rPr>
        <rFont val="Arial"/>
        <b val="1"/>
        <sz val="10"/>
        <scheme val="none"/>
      </rPr>
      <t xml:space="preserve">‘E’type lock </t>
    </r>
    <r>
      <rPr>
        <rFont val="Arial"/>
        <sz val="10"/>
        <scheme val="none"/>
      </rPr>
      <t>of specified ward as per requirement with one key E-type lock to Drg No. SA3376/M or latest and Specn No. IRS: S30-64 or latest.</t>
    </r>
  </si>
  <si>
    <t>SOR 2024 Item No - 202</t>
  </si>
  <si>
    <t>Supply of relay fixing frame for full location box. The frame shall be of approximate size 940mmx150mm and made with powder coated MS angle of 25mmx25mmx3mm. The frame shall have suitable holes to fix in full location box.</t>
  </si>
  <si>
    <t>SOR 2024 Item No - 203</t>
  </si>
  <si>
    <r>
      <t xml:space="preserve">Supply of relay fixing </t>
    </r>
    <r>
      <rPr>
        <rFont val="Arial"/>
        <b val="1"/>
        <sz val="10"/>
        <scheme val="none"/>
      </rPr>
      <t>frame for half location box</t>
    </r>
    <r>
      <rPr>
        <rFont val="Arial"/>
        <sz val="10"/>
        <scheme val="none"/>
      </rPr>
      <t>. The frame should be of approximate size 470mmx150mm and made out with powder coated MS angle of 25mmx25mmx 3mm. The frame should have suitable holes to fix in half location box.</t>
    </r>
  </si>
  <si>
    <t>SOR 2024 Item No - 204</t>
  </si>
  <si>
    <r>
      <t xml:space="preserve">Supply of </t>
    </r>
    <r>
      <rPr>
        <rFont val="Arial"/>
        <b val="1"/>
        <sz val="10"/>
        <scheme val="none"/>
      </rPr>
      <t>Hylam sheet</t>
    </r>
    <r>
      <rPr>
        <rFont val="Arial"/>
        <sz val="10"/>
        <scheme val="none"/>
      </rPr>
      <t>, resin bonded, grade P3 as per IS specification IS 2036 of 1974 or latest of following size:</t>
    </r>
  </si>
  <si>
    <t>SOR 2024 Item No - 205</t>
  </si>
  <si>
    <t>Hylam Sheet of size: 2400mmx1200mmx 6mm.</t>
  </si>
  <si>
    <t>SOR 2024 Item No - 205(a)</t>
  </si>
  <si>
    <t>Hylam Sheet of size: 2400mmx600mm x6mm.</t>
  </si>
  <si>
    <t>SOR 2024 Item No - 205(b)</t>
  </si>
  <si>
    <t>Hylam Sheet of size: 2400mmx600mm x3mm.</t>
  </si>
  <si>
    <t>SOR 2024 Item No - 205 (c)</t>
  </si>
  <si>
    <r>
      <rPr>
        <rFont val="Arial"/>
        <b val="1"/>
        <sz val="12"/>
        <scheme val="none"/>
      </rPr>
      <t>CHAPTER 3 – POINT MACHINE</t>
    </r>
  </si>
  <si>
    <r>
      <t xml:space="preserve">Supply of </t>
    </r>
    <r>
      <rPr>
        <rFont val="Arial"/>
        <b val="1"/>
        <sz val="10"/>
        <scheme val="none"/>
      </rPr>
      <t xml:space="preserve">GI termination box </t>
    </r>
    <r>
      <rPr>
        <rFont val="Arial"/>
        <sz val="10"/>
        <scheme val="none"/>
      </rPr>
      <t>(10 SWG) for point machine of size 45 cmx23 cmx12 cm with double coat of enamel paint (outside: Black &amp; inside: white) along with 2 Nos. of MS angle of size 50x50x6mm of length 1000 mm each, 2 numbers of 40mm GI pipe of length 450 mm &amp; 150 mm with nuts/ washers and teak wood plank of size 40mm x25 mm for fixing of terminals.</t>
    </r>
  </si>
  <si>
    <t>SOR 2024 Item No - 301</t>
  </si>
  <si>
    <t>Supply of Ground connections for point machines.</t>
  </si>
  <si>
    <t>SOR 2024 Item No - 302</t>
  </si>
  <si>
    <t>Ground connections for universal point machine143 mm with ‘D’ type clamp for 52kg/60kg/90R rail as per Drg No. RDSO/ S3267-74</t>
  </si>
  <si>
    <t>SOR 2024 Item No - 302(a)</t>
  </si>
  <si>
    <t>Supply of complete set of ground connections for high thrust 220 mm stroke point machine along with insulation as per Drg No. RDSO/S3454 Alt.B dt 25-01-2023 or latest along with insulation.</t>
  </si>
  <si>
    <t>SOR 2024 Item No - 302(b)</t>
  </si>
  <si>
    <t xml:space="preserve">Supply of following ground connections suitable for220mm electric point machine &amp; thick web switch as per Drg No. RDSO/S-3454 AltB or latest
(a) Lock long rod as per RDSO Drg No. 3596 Alt-1    :1 no.
(b) Lock short rod as per RDSO Drg No. 3597     :1 no
(c) Detector long rod as per RDSO Drg No. 3594 Alt-1:1no
(d) Detector short rod as per RDSO Drg No. 3595 : 1no P Bracket: 2nos.</t>
  </si>
  <si>
    <t>SOR 2024 Item No - 302 (C )</t>
  </si>
  <si>
    <r>
      <t xml:space="preserve">Supply of </t>
    </r>
    <r>
      <rPr>
        <rFont val="Arial"/>
        <b val="1"/>
        <sz val="10"/>
        <scheme val="none"/>
      </rPr>
      <t>Insulations for Ground connections</t>
    </r>
  </si>
  <si>
    <t>SOR 2024 Item No - 303</t>
  </si>
  <si>
    <t>Insulations for ‘D’ clamp switch extension bracket to suit to universal point machine as per Drg No. RDSO/S3361-62 supplied by railways. One set consists of ‘D’ clamp insulation–2nos, Nylon insulation bushes – 4nos. and Nylon insulation washers–8Nos.)</t>
  </si>
  <si>
    <t>SOR 2024 Item No - 303(a)</t>
  </si>
  <si>
    <t>Drive lug insulation for universal point machine as per Drg No. RDSO/S 3361-62. (One set consists of one number central insulation plate, bushes–2 Nos. and washer–4 Nos.)</t>
  </si>
  <si>
    <t>SOR 2024 Item No - 303(b)</t>
  </si>
  <si>
    <t xml:space="preserve">Insulations  for  the  ground  connection  for  point  machine comprising of the following:
1) Switch extension piece insulation -1 set (Each set comprising of S3265 -1 no; S 3266-1 No; S23199-2 No and S8640-4 No.)
2)  Stretcher  bar  insulation-3 sets  (Each  set  consisting  of T10367-1 No., T10368-2 No., T10371-4 No.)
3) Gauge tie plate insulations-4 sets (Each set consisting of T 10372- 1 No, T10368 -3 No and T10371-6 No.)
4) Drive lug insulation-1set (Each set consisting of S 8804 - 1 No., S 8813 -2 No. and S 8640-4 No.) complete with bushes.</t>
  </si>
  <si>
    <t>SOR 2024 Item No - 303(c)</t>
  </si>
  <si>
    <r>
      <rPr>
        <rFont val="Arial"/>
        <b val="1"/>
        <sz val="10"/>
        <scheme val="none"/>
      </rPr>
      <t xml:space="preserve">Note- </t>
    </r>
    <r>
      <rPr>
        <rFont val="Arial"/>
        <sz val="10"/>
        <scheme val="none"/>
      </rPr>
      <t>The type of insulation required will be specified by engineer in-charge of the work depending on the type of machine proposed (Universal/PTJ Make) as per specification.</t>
    </r>
  </si>
  <si>
    <t xml:space="preserve">Ground connection insulations for thick web switch layout facing point (BG) for 52 Kg/60 Kg rail fitted with high thrust point machine comprising of the following:
1.   Bush as per Drg No. S3463-1no.and Washer as per Drg No. S8640-2no.for drive (throw) rod
2.   Bush as per Drg No.S 23199-1no and Washer as per Drg No. S 8640-2no for short detector rod.
3.   Bush as per Drg No.S 23199-1no and Washer as per Drg No.S 8640-2no for long detector rod.
4.   Bush as per Drg No.S 22179-1no and Washer as per Drg No. S 8640-2no for short lock rod.
5.   Bush as per Drg No.S 22179-1no and Washer as per Drg No .S 8640-2no for long lock rod.
6.   Bush 'B' as per Drg No.S 8912 for LH lock slide-1 no.
7.   Bush 'B' as per Drg No.S 8912 for LH lock arm-2 no.
8.   Bush 'B' as per Drg No.S 8912 for RH lock arm -2 no.
9.   Bush 'B' as per Drg No.S 8912 for RH lock slide-1no.
10. Bush as per Drg No.S 23199 -4no and washer as per Drg No.S 8640-4no for LH lock slide.
11. Insulating Plate LH as per Drg No.S 3404 RDSO/S 3593- 1no.
12. Insulating Plate RH as per Drg No.S 3404 RDSO/S 3592- 1no.
13. Bush as per Drg No.S 23199-4no and washer as per Drg No.S 8640-4no for RH lock slide.</t>
  </si>
  <si>
    <t>SOR 2024 Item No - 303 (d)</t>
  </si>
  <si>
    <r>
      <rPr>
        <rFont val="Arial"/>
        <b val="1"/>
        <sz val="10"/>
        <scheme val="none"/>
      </rPr>
      <t>CHAPTER 4 – TRACK CIRCUIT</t>
    </r>
  </si>
  <si>
    <r>
      <t xml:space="preserve">Supply of </t>
    </r>
    <r>
      <rPr>
        <rFont val="Arial"/>
        <b val="1"/>
        <sz val="10"/>
        <scheme val="none"/>
      </rPr>
      <t xml:space="preserve">Track feed battery charger </t>
    </r>
    <r>
      <rPr>
        <rFont val="Arial"/>
        <sz val="10"/>
        <scheme val="none"/>
      </rPr>
      <t>to work on 110V AC for charging 1 or 2 or 3 or 4 lead acid cell of 80AH (10 Amps) used in track circuit as per RDSO Specn No. IRS.S.89/2013 Ver 1.0 latest.</t>
    </r>
  </si>
  <si>
    <t>SOR 2024 Item No - 401</t>
  </si>
  <si>
    <r>
      <t xml:space="preserve">Supply of </t>
    </r>
    <r>
      <rPr>
        <rFont val="Arial"/>
        <b val="1"/>
        <sz val="10"/>
        <scheme val="none"/>
      </rPr>
      <t xml:space="preserve">Track lead junction boxes </t>
    </r>
    <r>
      <rPr>
        <rFont val="Arial"/>
        <sz val="10"/>
        <scheme val="none"/>
      </rPr>
      <t>fibre glass as per Drg No.CWM-00597 of F.R.P material to and Specn IRS:S 23 along with fixtures i.e., one MS angle 50mmx50mmx5 mm, 0.9m long, two numbers of G.I pipes of 25 mm dia, 500 mm long along with nuts and bolts and 500 mm long (grommet bushes, 60 mm ARA terminals-2 No’s).</t>
    </r>
  </si>
  <si>
    <t>SOR 2024 Item No - 402</t>
  </si>
  <si>
    <r>
      <t xml:space="preserve">Supply of Galvanised </t>
    </r>
    <r>
      <rPr>
        <rFont val="Arial"/>
        <b val="1"/>
        <sz val="10"/>
        <scheme val="none"/>
      </rPr>
      <t>Wire rope 6/19 steel</t>
    </r>
    <r>
      <rPr>
        <rFont val="Arial"/>
        <sz val="10"/>
        <scheme val="none"/>
      </rPr>
      <t>, 6 mm dia with fibre core as per Specn IS 3459/2004 or latest.</t>
    </r>
  </si>
  <si>
    <t>Meter</t>
  </si>
  <si>
    <t>SOR 2024 Item No - 403</t>
  </si>
  <si>
    <t>Supply of Galvanised Wire rope 6/19 steel, 6 mm dia with fibre core as per Specn IS 3459/2004 or latest, with PVC sheathing 2 mm thick, type 6 compound IS 5831/1979 or latest (outer dia10 mm).</t>
  </si>
  <si>
    <t>SOR 2024 Item No - 404</t>
  </si>
  <si>
    <r>
      <t xml:space="preserve">Supply of </t>
    </r>
    <r>
      <rPr>
        <rFont val="Arial"/>
        <b val="1"/>
        <sz val="10"/>
        <scheme val="none"/>
      </rPr>
      <t xml:space="preserve">B type chokes </t>
    </r>
    <r>
      <rPr>
        <rFont val="Arial"/>
        <sz val="10"/>
        <scheme val="none"/>
      </rPr>
      <t>to as per Specn IRS: S65- 83 Amd.1 or latest.</t>
    </r>
  </si>
  <si>
    <t>SOR 2024 Item No - 405</t>
  </si>
  <si>
    <r>
      <t xml:space="preserve">Supply of </t>
    </r>
    <r>
      <rPr>
        <rFont val="Arial"/>
        <b val="1"/>
        <sz val="10"/>
        <scheme val="none"/>
      </rPr>
      <t xml:space="preserve">Stationary low maintenance secondary lead acid cells </t>
    </r>
    <r>
      <rPr>
        <rFont val="Arial"/>
        <sz val="10"/>
        <scheme val="none"/>
      </rPr>
      <t>as per RDSO Specn IRS: S88-2004 or latest. This includes supply of inter cell connectors, bolts, nuts, acid level indicating floats and vent plugs.</t>
    </r>
  </si>
  <si>
    <t>SOR 2024 Item No - 406</t>
  </si>
  <si>
    <t>2V, 80AH</t>
  </si>
  <si>
    <t>SOR 2024 Item No - 406 (a)</t>
  </si>
  <si>
    <t>2V, 120AH</t>
  </si>
  <si>
    <t>SOR 2024 Item No - 406(b)</t>
  </si>
  <si>
    <t>2V, 200AH</t>
  </si>
  <si>
    <t>SOR 2024 Item No - 406 (c)</t>
  </si>
  <si>
    <t>2V, 300AH</t>
  </si>
  <si>
    <t>SOR 2024 Item No - 406 (d)</t>
  </si>
  <si>
    <t>Supply of Hydrometer as per IS: 3104 (Part II)-1982 or latest</t>
  </si>
  <si>
    <t>SOR 2024 Item No -407</t>
  </si>
  <si>
    <r>
      <t xml:space="preserve">Supply of </t>
    </r>
    <r>
      <rPr>
        <rFont val="Arial"/>
        <b val="1"/>
        <sz val="10"/>
        <scheme val="none"/>
      </rPr>
      <t xml:space="preserve">Distilled water </t>
    </r>
    <r>
      <rPr>
        <rFont val="Arial"/>
        <sz val="10"/>
        <scheme val="none"/>
      </rPr>
      <t>for topping of secondary cells as per Specn IS 1106 or latest.</t>
    </r>
  </si>
  <si>
    <t>Ltr.</t>
  </si>
  <si>
    <t>SOR 2024 Item No -408</t>
  </si>
  <si>
    <r>
      <t xml:space="preserve">Supply of </t>
    </r>
    <r>
      <rPr>
        <rFont val="Arial"/>
        <b val="1"/>
        <sz val="10"/>
        <scheme val="none"/>
      </rPr>
      <t xml:space="preserve">Porcelain insulators </t>
    </r>
    <r>
      <rPr>
        <rFont val="Arial"/>
        <sz val="10"/>
        <scheme val="none"/>
      </rPr>
      <t>for secondary lead acid cells.</t>
    </r>
  </si>
  <si>
    <t>SOR 2024 Item No -409</t>
  </si>
  <si>
    <r>
      <t xml:space="preserve">Supply of titanium coated </t>
    </r>
    <r>
      <rPr>
        <rFont val="Arial"/>
        <b val="1"/>
        <sz val="10"/>
        <scheme val="none"/>
      </rPr>
      <t xml:space="preserve">7.2 mm drill bits </t>
    </r>
    <r>
      <rPr>
        <rFont val="Arial"/>
        <sz val="10"/>
        <scheme val="none"/>
      </rPr>
      <t>of Bosch/ Addision make.</t>
    </r>
  </si>
  <si>
    <t>SOR 2024 Item No -410</t>
  </si>
  <si>
    <r>
      <t xml:space="preserve">Supply of </t>
    </r>
    <r>
      <rPr>
        <rFont val="Arial"/>
        <b val="1"/>
        <sz val="10"/>
        <scheme val="none"/>
      </rPr>
      <t xml:space="preserve">Channel bond pins 7mm dia </t>
    </r>
    <r>
      <rPr>
        <rFont val="Arial"/>
        <sz val="10"/>
        <scheme val="none"/>
      </rPr>
      <t>single groove as per Specn IRS: S 17-75 Amd.1 or latest.</t>
    </r>
  </si>
  <si>
    <t>SOR 2024 Item No -411</t>
  </si>
  <si>
    <t>Supply of Track Feed Regulating Resistance disk type 0Ω to 30Ω as per Drg No. SA 20161 66/M or latest. To be procured from RDSO approved firms.</t>
  </si>
  <si>
    <t>SOR 2024 Item No -412</t>
  </si>
  <si>
    <r>
      <rPr>
        <rFont val="Arial"/>
        <b val="1"/>
        <sz val="14"/>
        <scheme val="none"/>
      </rPr>
      <t>CHAPTER 5 – RELAYS</t>
    </r>
  </si>
  <si>
    <t>Relays-Metal to Carbon</t>
  </si>
  <si>
    <t>Supply of Plug-in type miniature tractive armature Non-AC immune, DC neutral line relay complete with plug board, retaining clip/ATC Clip and connectors as per Specn BRS 930, IRS:S 23-88 Amd.1 or latest, IRS: S 34-68 Amd.6 or latest, IRS: S 67-85 Amd.3 or latest (as applicable).</t>
  </si>
  <si>
    <t>SOR 2024 Item No - 501</t>
  </si>
  <si>
    <t>QN1- 8F/8B, 24 V DC. The interlocking code: ABCDF.</t>
  </si>
  <si>
    <t>SOR 2024 Item No - 501(a)</t>
  </si>
  <si>
    <t>QN1-12F/4B, 24 V DC. The interlocking code: ABCDE.</t>
  </si>
  <si>
    <t>SOR 2024 Item No - 501(b)</t>
  </si>
  <si>
    <t>QN1-8F/8B, 50V.The interlocking code: ABDEF.</t>
  </si>
  <si>
    <t>SOR 2024 Item No - 501(c)</t>
  </si>
  <si>
    <t>QN1-12F/4B, 50V. The interlocking code: ABCEF.</t>
  </si>
  <si>
    <t>SOR 2024 Item No - 501(d)</t>
  </si>
  <si>
    <t>QS3-4F/4B, 12 V DC. The interlocking code: CDEKX</t>
  </si>
  <si>
    <t>SOR 2024 Item No - 501(e)</t>
  </si>
  <si>
    <t>QB3-6F/2B, 12 V DC. The interlocking code: ABFGX.</t>
  </si>
  <si>
    <t>SOR 2024 Item No - 501 (f)</t>
  </si>
  <si>
    <t>(g)</t>
  </si>
  <si>
    <t>QNN1-4F/4B, 24 V DC, The interlocking code: ACEHJ.</t>
  </si>
  <si>
    <t>SOR 2024 Item No - 501 (g)</t>
  </si>
  <si>
    <t>Supply of 24V DC plug-in type miniature tractive armature, AC immune relay complete with plug board, retaining clip/ ATC Clip and connectors as per IRS: S 23-88 Amd.1 or latest, IRS: S 34-68 Amd.6 or latest, IRS: S 60-78 Amd.1 or latest, IRS: S 67-85 Amd.3 or latest (as applicable).</t>
  </si>
  <si>
    <t>SOR 2024 Item No - 502</t>
  </si>
  <si>
    <t xml:space="preserve">QBCA1 - 2HF/4B, Interlocking Code:   BCEJK as per Specn BRS 943 or latest</t>
  </si>
  <si>
    <t>SOR 2024 Item No - 502(a)</t>
  </si>
  <si>
    <t>QNA1- 8F/8B, Interlocking Code: ABDGH as per Specn BRS 931 A or latest</t>
  </si>
  <si>
    <t>SOR 2024 Item No - 502(b)</t>
  </si>
  <si>
    <t>QNA1-12F/4B, DC Neutral Line Relay, Interlocking Code: ABDFH as per Specn BRS 931 A or latest</t>
  </si>
  <si>
    <t>SOR 2024 Item No - 502 (c)</t>
  </si>
  <si>
    <t>QNA1K - 6F/6B, Interlocking Code: CDEKY as per Specn BRS 931 A or latest and RDSO letter No. STS/E/Relays/UEA (PI) dated 30/05/97 (Annexure-II).</t>
  </si>
  <si>
    <t>SOR 2024 Item No - 502 (d)</t>
  </si>
  <si>
    <t>QSPA1 - 8F/4B, The interlocking code: ABDEJ, Spec BRS 933A or latest.</t>
  </si>
  <si>
    <t>SOR 2024 Item No - 502 (e)</t>
  </si>
  <si>
    <t>Supply of AC immune, plug-in type, Style 'QTA2', 2F/1B DC Neutral track relay for railway signalling track circuits with coil resistance 9 ohm, complete with plug board, retaining clip and connectors as per specifications: BRS 939A &amp; 966 or latest, IRS:S 23-88 Amd.1 or latest, IRS: S 34-68 Amd.6 or latest, IRS: S 67-85 Amd.3 or latest (as applicable) with interlocking code FGHKX.</t>
  </si>
  <si>
    <t>SOR 2024 Item No - 503</t>
  </si>
  <si>
    <t>Supply of ECR 4F/4B' for 110V AC lit LED signals, complete with plug board, retaining clip and connectors as per RDSO Specn No. STS/E/Relays/AC Lit LED Signal/09-2002 Amd.1 or latest, BRS 941A, IRS: S 23-88 Amd.1 or latest, IRS: S34-68 Amd.6 or latest, IRS: S 67-85 Amd.3 or latest (as applicable). The interlocking code for this unit shall be ABDHK (with ATC clips).</t>
  </si>
  <si>
    <t>SOR 2024 Item No - 504</t>
  </si>
  <si>
    <r>
      <t xml:space="preserve">Supply of </t>
    </r>
    <r>
      <rPr>
        <rFont val="Arial"/>
        <b val="1"/>
        <sz val="10"/>
        <scheme val="none"/>
      </rPr>
      <t xml:space="preserve">Failsafe electronic flasher </t>
    </r>
    <r>
      <rPr>
        <rFont val="Arial"/>
        <sz val="10"/>
        <scheme val="none"/>
      </rPr>
      <t>device 24V DC, 3A as per RDSO Specn No. RDSO /SPN/173/2002 Amd.2 or latest.</t>
    </r>
  </si>
  <si>
    <t>SOR 2024 Item No - 505</t>
  </si>
  <si>
    <r>
      <t xml:space="preserve">Supply of Q series </t>
    </r>
    <r>
      <rPr>
        <rFont val="Arial"/>
        <b val="1"/>
        <sz val="10"/>
        <scheme val="none"/>
      </rPr>
      <t xml:space="preserve">Magnetically Latched (QL1) type </t>
    </r>
    <r>
      <rPr>
        <rFont val="Arial"/>
        <sz val="10"/>
        <scheme val="none"/>
      </rPr>
      <t>Relay, 24V DC, complete with plug board with connectors and retaining clips confirming to BRS 935A and RDSO Specn IRS S:34 &amp; IRS S:23 or latest.</t>
    </r>
  </si>
  <si>
    <t>SOR 2024 Item No - 506</t>
  </si>
  <si>
    <t>QL1- 11F/4B, The interlocking code: ABDEG</t>
  </si>
  <si>
    <t>SOR 2024 Item No - 506 (a)</t>
  </si>
  <si>
    <t>QL1- 8F/6B ,The interlocking code: ABCEG</t>
  </si>
  <si>
    <t>SOR 2024 Item No - 506 (b)</t>
  </si>
  <si>
    <r>
      <t xml:space="preserve">Supply of </t>
    </r>
    <r>
      <rPr>
        <rFont val="Arial"/>
        <b val="1"/>
        <sz val="10"/>
        <scheme val="none"/>
      </rPr>
      <t xml:space="preserve">Fail-Safe Electronic Time Delay Device </t>
    </r>
    <r>
      <rPr>
        <rFont val="Arial"/>
        <sz val="10"/>
        <scheme val="none"/>
      </rPr>
      <t>mounted on Q series relay band enclosed within Q series relay cover complete with plug board, retaining clip and connectors as per Specn No. IRS: 61-2000 Amd.3 or latest, IRS: S23-88 Amd.1 or latest, IRS: S 34-68 Amd.6 or latest IRS 67-85 (as applicable). The device shall work on 24V DC and shall give 24V DC output after the specified time delay.</t>
    </r>
  </si>
  <si>
    <t>SOR 2024 Item No - 507</t>
  </si>
  <si>
    <t>Time delay of 10 seconds. Interlocking code: AFNKY.</t>
  </si>
  <si>
    <t>SOR 2024 Item No - 507(a)</t>
  </si>
  <si>
    <t>Time delay of 30 seconds. Interlocking code: AFLKY.</t>
  </si>
  <si>
    <t>SOR 2024 Item No - 507(b)</t>
  </si>
  <si>
    <t>Time delay of 60 seconds. Interlocking code: AFHKY.</t>
  </si>
  <si>
    <t>SOR 2024 Item No - 507(c)</t>
  </si>
  <si>
    <t>Time delay of 120 seconds. Interlocking code: AFGKY.</t>
  </si>
  <si>
    <t>SOR 2024 Item No - 507 (d)</t>
  </si>
  <si>
    <t>Relays - Metal to Metal</t>
  </si>
  <si>
    <t>Supply of Point chain group of Siemens make or functional equivalent with base plate as per Specn RSSK 3515/3, IRS: S 46-74 Amd.1 or latest.</t>
  </si>
  <si>
    <t>SOR 2024 Item No -508</t>
  </si>
  <si>
    <t>Supply of RRI point group of Siemens make or functional equivalent with base plate as per Specn RSSK 3515/19, IRS: S 46-74 Amd.1 or latest.</t>
  </si>
  <si>
    <t>SOR 2024 Item No -509</t>
  </si>
  <si>
    <t>Supply of PI point group of Siemens make or functional equivalent with base plate as per Specn RSSK 31/0001, IRS: S 46-74 Amd. 1 or latest.</t>
  </si>
  <si>
    <t>SOR 2024 Item No -510</t>
  </si>
  <si>
    <t>Supply of route group of Siemens make or functional equivalent with base plate as per Specn RSSK 31/0002, IRS: S 46-74 Amd.1 or latest.</t>
  </si>
  <si>
    <t>SOR 2024 Item No -511</t>
  </si>
  <si>
    <t>Supply of signal group, 2 aspect of Siemens make or functional equivalent with base plate as per Specn RSSK 3525/2, IRS: S 46-74 Amd.1 or latest.</t>
  </si>
  <si>
    <t>SOR 2024 Item No -512</t>
  </si>
  <si>
    <t>Supply of signal group, 3 aspect of Siemens make or functional equivalent with base plate as per Specn RSSK 3525/46, IRS: S 46-74 Amd.1 or latest.</t>
  </si>
  <si>
    <t>SOR 2024 Item No -513</t>
  </si>
  <si>
    <t>Supply of shunt signal group of Siemens make or functional equivalent with base plate as per Specn RSSK 3526/67, IRS: S 46-74 Amd.1 or latest.</t>
  </si>
  <si>
    <t>SOR 2024 Item No -514</t>
  </si>
  <si>
    <t>Supply of plug-in type non-AC immune, 60V DC neutral line relay (K50 relays of Siemens make or functional equivalent) with contact configuration 4F/4B, 5F/3B, 6F/2B with base plate as required by site in-charge as per Specn RSSK 30/0011, IRS: S 46-74 Amd.1 or latest. The relay housing shall contain two miniature identical relays in a mini group. To be procured from RDSO approved firms.</t>
  </si>
  <si>
    <t>SOR 2024 Item No -515</t>
  </si>
  <si>
    <t>Supply of plug-in type, mechanically interlocked Siemens type or functional equivalent, two 60V DC neutral line relays in mini group housing with contact configuration 4F/4B along with base plate as per Specn RSSK 30/0012, IRS: S 46-74 Amd.1 or latest. To be procured from RDSO approved firms.</t>
  </si>
  <si>
    <t>SOR 2024 Item No -516</t>
  </si>
  <si>
    <t>Supply of plug-in type AC immune, 60V DC neutral line relay (K50 relays of Siemens make or functional equivalent) with contact configuration 4F/4B with base plate as per Specn RSSK 30/0078, IRS: S 46-74 Amd.1 or latest. The relay housing shall contain two miniature identical relays in a mini group. To be procured from RDSO approved firms.</t>
  </si>
  <si>
    <t>SOR 2024 Item No -517</t>
  </si>
  <si>
    <t>CHAPTER 6 - RELAY RACKS, TERMINAL BLOCKS AND FUSES</t>
  </si>
  <si>
    <r>
      <t xml:space="preserve">Supply of powder coated </t>
    </r>
    <r>
      <rPr>
        <rFont val="Arial"/>
        <b val="1"/>
        <sz val="10"/>
        <scheme val="none"/>
      </rPr>
      <t xml:space="preserve">Relay rack universal type </t>
    </r>
    <r>
      <rPr>
        <rFont val="Arial"/>
        <sz val="10"/>
        <scheme val="none"/>
      </rPr>
      <t>as per Drg No. S&amp;T/MFT/291. The relay rack shall be supplied with scaffolding, stainless steel nuts and bolts for fixing the rack, supporting angles, frame mounting triangle base with ‘J’ bolts, insulation of required numbers and suitable inner frames to suit Q style relays/K50 pre wired tag blocks.</t>
    </r>
  </si>
  <si>
    <t>SOR 2024 Item No -601</t>
  </si>
  <si>
    <t>1 Way</t>
  </si>
  <si>
    <t>SOR 2024 Item No -601 (a)</t>
  </si>
  <si>
    <t>2 Way</t>
  </si>
  <si>
    <t>SOR 2024 Item No -601 (b)</t>
  </si>
  <si>
    <t>4 Way</t>
  </si>
  <si>
    <t>SOR 2024 Item No -601 ©</t>
  </si>
  <si>
    <r>
      <t xml:space="preserve">Supply of powder coated </t>
    </r>
    <r>
      <rPr>
        <rFont val="Arial"/>
        <b val="1"/>
        <sz val="10"/>
        <scheme val="none"/>
      </rPr>
      <t xml:space="preserve">Cable termination rack </t>
    </r>
    <r>
      <rPr>
        <rFont val="Arial"/>
        <sz val="10"/>
        <scheme val="none"/>
      </rPr>
      <t>of size 880mm x 2075mm made using 50mmx50mmx6mm (6mm thickness) MS angles. The cable termination rack shall be supplied with stainless steel nuts and bolts for fixing the rack, tripod bases and reel insulators (for K rack, P rack and power rack), cable ladder of 400mm width and 2075mm length with two angles of size 40mmx40mmx5mm (5mm thickness) and supporting flats of size 25mmx25mm. Suitable holes shall be drilled to fit hylam sheet as per standard practice</t>
    </r>
  </si>
  <si>
    <t>SOR 2024 Item No -602</t>
  </si>
  <si>
    <r>
      <t xml:space="preserve">Supply of </t>
    </r>
    <r>
      <rPr>
        <rFont val="Arial"/>
        <b val="1"/>
        <sz val="10"/>
        <scheme val="none"/>
      </rPr>
      <t>Terminal Block</t>
    </r>
  </si>
  <si>
    <t>SOR 2024 Item No -603</t>
  </si>
  <si>
    <t>Terminal block: 1 way Poly butylene Terephthalate (PBT) of size 60mm (link centre to centre) as per RDSO Drg No. SA23745/Alt.5 or latest, SA23746/Alt.5 or latest, S23747/Alt.5 and Specn IRS: S 75-2006 Rev. 2.0 (Tentative) or latest, IRS: S 23-88 Amd. 1 or latest.</t>
  </si>
  <si>
    <t>SOR 2024 Item No -603 (a)</t>
  </si>
  <si>
    <t>Terminal block: 6 way Poly butylene Terephthalate (PBT) of size 25mm (link centre to centre) as per RDSO Drg No. SA23756/Alt.3 or latest, S23757/Alt.4 or latest and Specn IRS: S 75-2006 Rev. 2.0 (Tentative) or latest, IRS: S 23-88 Amd. 1 or latest.</t>
  </si>
  <si>
    <t>SOR 2024 Item No -603 (b)</t>
  </si>
  <si>
    <t xml:space="preserve">Supply of modular terminal block (WAGO or similar) as per RDSO Specn RDSO/SPN/ 189/2004 Ver. 3.0 or latest consisting the following parts:
a)  2  conductor  disconnect  terminal  block  –  6  numbers
b) End/intermediate plate suitable for 2 conductor disconnect terminal - 1 number
c) Screw less end stop similar to WAGO Model No. 249-117 – 2 numbers
d)  Insulated  jumper  WAGO  Model  280-402 – 5  numbers
e) Din Rail - 0.1 metre per set (in length of 1 metre for every ten set).</t>
  </si>
  <si>
    <t>SOR 2024 Item No -603 (c)</t>
  </si>
  <si>
    <r>
      <t xml:space="preserve">Supply of </t>
    </r>
    <r>
      <rPr>
        <rFont val="Arial"/>
        <b val="1"/>
        <sz val="10"/>
        <scheme val="none"/>
      </rPr>
      <t xml:space="preserve">mini WSB markers </t>
    </r>
    <r>
      <rPr>
        <rFont val="Arial"/>
        <sz val="10"/>
        <scheme val="none"/>
      </rPr>
      <t>for modular terminals WAGO Model No. or similar - 100 Nos.</t>
    </r>
  </si>
  <si>
    <t>SOR 2024 Item No -604</t>
  </si>
  <si>
    <t>Supply of non-deteriorating type of fuse holders and fuse links 240V AC/DC as per Specn IRS: S 78-2006 or latest, IS 13703 (Part 2):1993 knife edge type fuse of E1 fuse link type (up to 20A)</t>
  </si>
  <si>
    <t>SOR 2024 Item No -605</t>
  </si>
  <si>
    <t>Fuse holder 20A capacity</t>
  </si>
  <si>
    <t>SOR 2024 Item No -605(a)</t>
  </si>
  <si>
    <t>Fuse link 1A/2A/6A/10A/16A/20A as specified by Engineer In charge.</t>
  </si>
  <si>
    <t>SOR 2024 Item No -605 (b)</t>
  </si>
  <si>
    <r>
      <t xml:space="preserve">Supply of </t>
    </r>
    <r>
      <rPr>
        <rFont val="Arial"/>
        <b val="1"/>
        <sz val="10"/>
        <scheme val="none"/>
      </rPr>
      <t xml:space="preserve">Fuse Auto Changeover system </t>
    </r>
    <r>
      <rPr>
        <rFont val="Arial"/>
        <sz val="10"/>
        <scheme val="none"/>
      </rPr>
      <t xml:space="preserve">of various types of fuses with audio visual indication as per Specn  RDSO/SPN/209/ 2012 Ver. 2.0 or latest. One module shall be able to cater for 32 numbers of fuses</t>
    </r>
  </si>
  <si>
    <t>SOR 2024 Item No 606</t>
  </si>
  <si>
    <r>
      <rPr>
        <rFont val="Arial"/>
        <b val="1"/>
        <sz val="10"/>
        <scheme val="none"/>
      </rPr>
      <t>CHAPTER 7 –WIRES &amp; CABLES</t>
    </r>
  </si>
  <si>
    <t>Supply of 60 core Indoor Cable with 0.6mm conductor diameter as per Specn IS 694: 2010 or latest, IRS: S 76-89 Amd.3 or latest.</t>
  </si>
  <si>
    <t>Km.</t>
  </si>
  <si>
    <t>SOR 2024 Item No 701</t>
  </si>
  <si>
    <r>
      <t xml:space="preserve">Supply of </t>
    </r>
    <r>
      <rPr>
        <rFont val="Arial"/>
        <b val="1"/>
        <sz val="10"/>
        <scheme val="none"/>
      </rPr>
      <t>PVC insulated Wire Coils</t>
    </r>
  </si>
  <si>
    <t>SOR 2024 Item No 702</t>
  </si>
  <si>
    <t>Multi-strand, single core, copper conductor 16/0.2 (16 wires, diameter of each wire is 0.20mm) (0.5sq.mm) wire coil as per Specn IS 694:2010 or latest, IRS: S 76-89 Amd.3 or latest. Length of coil should be 100m. Colour of coil to be specified by Engineer in charge.</t>
  </si>
  <si>
    <t>Coil</t>
  </si>
  <si>
    <t>SOR 2024 Item No 702 (a)</t>
  </si>
  <si>
    <t>Multi-strand, single core, copper conductor 28/0.3 (28 wires, diameter of each wire 0.30mm) flexible wire coil as per Specn IS 694:2010 or latest, IRS: S 76-89 Amd.3 or latest. Length of coil should be 100m. Colour to be specified by Engineer in charge.</t>
  </si>
  <si>
    <t>SOR 2024 Item No 702 (b)</t>
  </si>
  <si>
    <t>Supply of 35 Sq.mm PVC insulated multi-strand, single core, copper conductor 277/0.4 (277 wires, diameter of each wire is 0.4mm) cable as per IS:694 or latest, IRS: S 76-89 Amd.3 or latest. Cable to be supplied in 100-meter coil. Colour to be specified by Engineer in charge.</t>
  </si>
  <si>
    <t>SOR 2024 Item No 702 (c)</t>
  </si>
  <si>
    <t>Supply of 16 Sq.mm PVC insulated, multi-stand, single core, copper conductor 127/0.4 (127 wires, diameter of each wire is 0.4mm) cable as per IS: 694 or latest, IRS: S 76-89 Amd.3 or latest. Cable to be supplied in 100 meter coil. Colour to be specified by Engineer in charge.</t>
  </si>
  <si>
    <t>SOR 2024 Item No 702 (d)</t>
  </si>
  <si>
    <t>Supply of 10 Sq.mm PVC insulated, multi-strand, single core, copper conductor 140/0.3 (140 wires, diameter of conductor 0.3mm) cable as per IS: 694 or latest, IRS: S 76-89 Amd.3 or latest. Cable to be supplied in 100 meter coil.</t>
  </si>
  <si>
    <t>SOR 2024 Item No 702 (e)</t>
  </si>
  <si>
    <t>CHAPTER 8 – POWER SUPPLY AND EARTH LEAKAGE DETECTOR</t>
  </si>
  <si>
    <r>
      <t xml:space="preserve">Supply of </t>
    </r>
    <r>
      <rPr>
        <rFont val="Arial"/>
        <b val="1"/>
        <sz val="10"/>
        <scheme val="none"/>
      </rPr>
      <t xml:space="preserve">Battery Charger </t>
    </r>
    <r>
      <rPr>
        <rFont val="Arial"/>
        <sz val="10"/>
        <scheme val="none"/>
      </rPr>
      <t>of Various capacity</t>
    </r>
  </si>
  <si>
    <t>SOR 2024 Item No 801</t>
  </si>
  <si>
    <t>230V AC / 110V DC, 30A single phase, signalling / telecom. Installation as per Specn IRS: S 86-2000 Amd. 4 or latest.</t>
  </si>
  <si>
    <t>SOR 2024 Item No 801 (a)</t>
  </si>
  <si>
    <t>230V AC / 24-26-28V DC, 30A capacity as per Specn IRS: S 86-2000 Amd. 4 or latest.</t>
  </si>
  <si>
    <t>SOR 2024 Item No 801 (b)</t>
  </si>
  <si>
    <t>230V AC / 24-26-28V DC, 20A capacity as per Specn IRS: S 86-2000 Amd. 4 or latest.</t>
  </si>
  <si>
    <t>SOR 2024 Item No 801 (c)</t>
  </si>
  <si>
    <r>
      <t xml:space="preserve">Supply of </t>
    </r>
    <r>
      <rPr>
        <rFont val="Arial"/>
        <b val="1"/>
        <sz val="10"/>
        <scheme val="none"/>
      </rPr>
      <t xml:space="preserve">Transformer - Rectifier </t>
    </r>
    <r>
      <rPr>
        <rFont val="Arial"/>
        <sz val="10"/>
        <scheme val="none"/>
      </rPr>
      <t>as per Specn IRS: S 91-2014 Ver. 1.0 or latest.</t>
    </r>
  </si>
  <si>
    <t>SOR 2024 Item No 802</t>
  </si>
  <si>
    <t>Transformer-rectifier set with 110V AC input, 24V-30V DC output, 1A.</t>
  </si>
  <si>
    <t>SOR 2024 Item No 802(a)</t>
  </si>
  <si>
    <t>Transformer-rectifier set with 230V AC input, 24V-30V DC output, 5A.</t>
  </si>
  <si>
    <t>SOR 2024 Item No 802(b)</t>
  </si>
  <si>
    <r>
      <t xml:space="preserve">Supply of ON/OFF </t>
    </r>
    <r>
      <rPr>
        <rFont val="Arial"/>
        <b val="1"/>
        <sz val="10"/>
        <scheme val="none"/>
      </rPr>
      <t xml:space="preserve">Rotary Switches </t>
    </r>
    <r>
      <rPr>
        <rFont val="Arial"/>
        <sz val="10"/>
        <scheme val="none"/>
      </rPr>
      <t>of 16A rating 2/1 pole of reputed make like L&amp;T or Siemens.</t>
    </r>
  </si>
  <si>
    <t>SOR 2024 Item No 803</t>
  </si>
  <si>
    <r>
      <t xml:space="preserve">Supply of </t>
    </r>
    <r>
      <rPr>
        <rFont val="Arial"/>
        <b val="1"/>
        <sz val="10"/>
        <scheme val="none"/>
      </rPr>
      <t xml:space="preserve">Earth Leakage Detector (ELD) </t>
    </r>
    <r>
      <rPr>
        <rFont val="Arial"/>
        <sz val="10"/>
        <scheme val="none"/>
      </rPr>
      <t>with configuration specified by Engineer In charge and as per Specn RDSO/SPN/256/2002 or latest with insulated tester, test probes, Mounting stand and Fuse board to isolate from distribution board as per requirement of channels.</t>
    </r>
  </si>
  <si>
    <t>SOR 2024 Item No 804</t>
  </si>
  <si>
    <r>
      <rPr>
        <rFont val="Arial"/>
        <b val="1"/>
        <sz val="10"/>
        <scheme val="none"/>
      </rPr>
      <t xml:space="preserve">Four channel </t>
    </r>
    <r>
      <rPr>
        <rFont val="Arial"/>
        <sz val="10"/>
        <scheme val="none"/>
      </rPr>
      <t>Earth Leakage Detector.</t>
    </r>
  </si>
  <si>
    <t>SOR 2024 Item No 804 (a)</t>
  </si>
  <si>
    <r>
      <rPr>
        <rFont val="Arial"/>
        <b val="1"/>
        <sz val="10"/>
        <scheme val="none"/>
      </rPr>
      <t xml:space="preserve">Eight channel </t>
    </r>
    <r>
      <rPr>
        <rFont val="Arial"/>
        <sz val="10"/>
        <scheme val="none"/>
      </rPr>
      <t>Earth Leakage Detector.</t>
    </r>
  </si>
  <si>
    <t>SOR 2024 Item No 804 (b)</t>
  </si>
  <si>
    <r>
      <rPr>
        <rFont val="Arial"/>
        <b val="1"/>
        <sz val="10"/>
        <scheme val="none"/>
      </rPr>
      <t xml:space="preserve">Twelve channel </t>
    </r>
    <r>
      <rPr>
        <rFont val="Arial"/>
        <sz val="10"/>
        <scheme val="none"/>
      </rPr>
      <t>Earth Leakage Detector.</t>
    </r>
  </si>
  <si>
    <t>SOR 2024 Item No 804 (c)</t>
  </si>
  <si>
    <r>
      <t xml:space="preserve">Supply of </t>
    </r>
    <r>
      <rPr>
        <rFont val="Arial"/>
        <b val="1"/>
        <sz val="10"/>
        <scheme val="none"/>
      </rPr>
      <t xml:space="preserve">Control and Distribution panel for Colour Light Signalling </t>
    </r>
    <r>
      <rPr>
        <rFont val="Arial"/>
        <sz val="10"/>
        <scheme val="none"/>
      </rPr>
      <t>supply in 25kV AC traction system suitable to work on 3 input supplies 10kVA AT, 240V AC single phase, 50Hz, 60A capacity as per Specn TI/SPC/PSI/CLS/0020 with A &amp; C Slip 1 to 4 or latest, CORE approved Drg No. ASCOS/CORE/2005/01 Rev.02 or latest. The panel shall have automatic changeover facility and shall be supplied with one additional rotary switch and meter. The panel shall be of Suntron or similar make.</t>
    </r>
  </si>
  <si>
    <t>SOR 2024 Item No 805</t>
  </si>
  <si>
    <r>
      <t xml:space="preserve">Supply of </t>
    </r>
    <r>
      <rPr>
        <rFont val="Arial"/>
        <b val="1"/>
        <sz val="10"/>
        <scheme val="none"/>
      </rPr>
      <t xml:space="preserve">Control and Distribution panel for Colour Light Signalling </t>
    </r>
    <r>
      <rPr>
        <rFont val="Arial"/>
        <sz val="10"/>
        <scheme val="none"/>
      </rPr>
      <t>supply in 25kV AC traction system suitable to work on 3 supplies 25kVA AT, 240V AC single phase, 50Hz, 150A capacity specification TI/SPC/ PSI/CLS/0020 with A &amp; C Slip 1 to 4 or latest, CORE approved Drg No. ASCOS/25KVA/CORE/2007/01 Rev.01 or latest. The panel shall have automatic changeover facility and shall be supplied with one additional rotary switch and meter. The panel shall be of Suntron or similar make.</t>
    </r>
  </si>
  <si>
    <t>SOR 2024 Item No 806</t>
  </si>
  <si>
    <r>
      <rPr>
        <rFont val="Arial"/>
        <b val="1"/>
        <sz val="10"/>
        <scheme val="none"/>
      </rPr>
      <t>CHAPTER 9 – DOMINO PANEL AND DATALOGGER</t>
    </r>
  </si>
  <si>
    <r>
      <t xml:space="preserve">Supply of </t>
    </r>
    <r>
      <rPr>
        <rFont val="Arial"/>
        <b val="1"/>
        <sz val="10"/>
        <scheme val="none"/>
      </rPr>
      <t xml:space="preserve">Domino type operation cum indication panel </t>
    </r>
    <r>
      <rPr>
        <rFont val="Arial"/>
        <sz val="10"/>
        <scheme val="none"/>
      </rPr>
      <t xml:space="preserve">to suit 3/4 road station as per RDSO/SPN/186/2004 Rev.2 or latest with LED indicators for tracks, signals, points, crank handles etc. and knobs / push buttons for points and signal operation as per the panel diagram supplied by railway. The layout shall be painted with screen printing. Following spares shall be supplied with the panel:
1.  Knob/push buttons - 2 Nos.
2.  Domino with cancellation button - 1 No.
3.  Spare dominos of different types - 5 Nos.
4.  24V impulse counter - 2 Nos.
5.  Reminder caps - 10 Nos.
</t>
    </r>
    <r>
      <rPr>
        <rFont val="Arial"/>
        <b val="1"/>
        <sz val="10"/>
        <scheme val="none"/>
      </rPr>
      <t xml:space="preserve">Note: </t>
    </r>
    <r>
      <rPr>
        <rFont val="Arial"/>
        <sz val="10"/>
        <scheme val="none"/>
      </rPr>
      <t>Panel shall be supplied with neat internal wiring and bunching done from each domino to terminal block. Panel wiring particulars shall be submitted along with the panel at store of consignee for inspection. Knobs / push buttons to be procured from approved firms.</t>
    </r>
  </si>
  <si>
    <t>SOR 2024 Item No 901</t>
  </si>
  <si>
    <r>
      <t xml:space="preserve">Supply of </t>
    </r>
    <r>
      <rPr>
        <rFont val="Arial"/>
        <b val="1"/>
        <sz val="10"/>
        <scheme val="none"/>
      </rPr>
      <t xml:space="preserve">Domino type operation cum indication panel </t>
    </r>
    <r>
      <rPr>
        <rFont val="Arial"/>
        <sz val="10"/>
        <scheme val="none"/>
      </rPr>
      <t xml:space="preserve">to suit 5/6 road station as per RDSO/SPN/186/2004 Rev.2 or latest with LED indicators for tracks, signals, points, crank handles etc., and knobs / push buttons for points and signal operation as per the panel diagram supplied by railway. The layout shall be painted with screen printing. Following spares shall be supplied with the panel.
1.  Knob/push buttons - 4 No.
2.  Domino with cancellation button - 1 Nos.
3.  Spare dominos of different types - 7 Nos.
4.  24V impulse counter - 2 Nos.
5.  Reminder caps - 10 Nos.
</t>
    </r>
    <r>
      <rPr>
        <rFont val="Arial"/>
        <b val="1"/>
        <sz val="10"/>
        <scheme val="none"/>
      </rPr>
      <t xml:space="preserve">Note: </t>
    </r>
    <r>
      <rPr>
        <rFont val="Arial"/>
        <sz val="10"/>
        <scheme val="none"/>
      </rPr>
      <t>Panel shall be supplied with neat internal wiring and bunching done from each domino to terminal block. Panel wiring particulars shall be submitted along with the panel at store of consignee for inspection. Knobs / push buttons to be procured from approved firms.</t>
    </r>
  </si>
  <si>
    <t>SOR 2024 Item No 902</t>
  </si>
  <si>
    <t>Supply of spare domino for domino panel.</t>
  </si>
  <si>
    <t>SOR 2024 Item No 903</t>
  </si>
  <si>
    <t>Supply of spare counter block for domino panel.</t>
  </si>
  <si>
    <t>SOR 2024 Item No 904</t>
  </si>
  <si>
    <r>
      <t xml:space="preserve">Supply of </t>
    </r>
    <r>
      <rPr>
        <rFont val="Arial"/>
        <b val="1"/>
        <sz val="10"/>
        <scheme val="none"/>
      </rPr>
      <t xml:space="preserve">Data Logger </t>
    </r>
    <r>
      <rPr>
        <rFont val="Arial"/>
        <sz val="10"/>
        <scheme val="none"/>
      </rPr>
      <t>of following capacity for remote monitoring of signalling parameters and power supply arrangements with network as per Specn IRS: S 99- 2006 Amd. 3 or latest with 64 input digital card as a spare and fuse monitoring PCBs for monitoring at least fifty 2A fuses with inbuilt modem cards for networking.</t>
    </r>
  </si>
  <si>
    <t>SOR 2024 Item No 905</t>
  </si>
  <si>
    <t>Data Logger with 512 digital inputs and 32 analog inputs</t>
  </si>
  <si>
    <t>SOR 2024 Item No 905(a)</t>
  </si>
  <si>
    <t>Data Logger with 1024 digital inputs and 32 analog inputs.</t>
  </si>
  <si>
    <t>SOR 2024 Item No 905(b)</t>
  </si>
  <si>
    <t>Data Logger with 2048 digital inputs and 32 analog inputs.</t>
  </si>
  <si>
    <t>SOR 2024 Item No 905(c)</t>
  </si>
  <si>
    <t>Data Logger with 4096 digital inputs and 32 analog inputs.</t>
  </si>
  <si>
    <t>SOR 2024 Item No 905(d)</t>
  </si>
  <si>
    <r>
      <t xml:space="preserve">Supply of </t>
    </r>
    <r>
      <rPr>
        <rFont val="Arial"/>
        <b val="1"/>
        <sz val="10"/>
        <scheme val="none"/>
      </rPr>
      <t xml:space="preserve">Front-End Processor </t>
    </r>
    <r>
      <rPr>
        <rFont val="Arial"/>
        <sz val="10"/>
        <scheme val="none"/>
      </rPr>
      <t>with 12V / 4A charger and 12V, 42AH sealed, maintenance free (VRLA) battery as per Specn No. IRS: S 93-96 Amd. 1 or latest for networking of Data Loggers.</t>
    </r>
  </si>
  <si>
    <t>SOR 2024 Item No 906</t>
  </si>
  <si>
    <r>
      <t xml:space="preserve">Supply of </t>
    </r>
    <r>
      <rPr>
        <rFont val="Arial"/>
        <b val="1"/>
        <sz val="10"/>
        <scheme val="none"/>
      </rPr>
      <t xml:space="preserve">Remote Terminal Unit </t>
    </r>
    <r>
      <rPr>
        <rFont val="Arial"/>
        <sz val="10"/>
        <scheme val="none"/>
      </rPr>
      <t>with dual modem as per Specn IRS: S 99-2006 Amd. 3 or latest</t>
    </r>
  </si>
  <si>
    <t>SOR 2024 Item No 907</t>
  </si>
  <si>
    <t>Remote Terminal Unit with 32 digital inputs and 16 analog inputs.</t>
  </si>
  <si>
    <t>SOR 2024 Item No 907(a)</t>
  </si>
  <si>
    <t>Remote Terminal Unit with 64 digital inputs and 16 analog inputs.</t>
  </si>
  <si>
    <t>SOR 2024 Item No 907(b)</t>
  </si>
  <si>
    <t>Remote Terminal Unit with 128 digital inputs and 16 analog inputs.</t>
  </si>
  <si>
    <t>SOR 2024 Item No 907(c)</t>
  </si>
  <si>
    <t>Power supply and communication for RTU</t>
  </si>
  <si>
    <t>SOR 2024 Item No 908</t>
  </si>
  <si>
    <t xml:space="preserve">Supply of power supply arrangements for Remote Terminal Unit consisting of 2 numbers of 24V DC, 42AH sealed maintenance free (VRLA) batteries and 110V/28V DC, 7A charger as per Specn  IRS: S 93-96 Amd. 1 or latest.</t>
  </si>
  <si>
    <t>SOR 2024 Item No 908 (a)</t>
  </si>
  <si>
    <t>Supply of Dual card leased line modem for Remote Terminal Unit.</t>
  </si>
  <si>
    <t>SOR 2024 Item No 908(b)</t>
  </si>
  <si>
    <t>Supply of T-networking modem for Remote Terminal Unit connectivity.</t>
  </si>
  <si>
    <t>SOR 2024 Item No 908 (c)</t>
  </si>
  <si>
    <t>Supply of 4 wire leased line modem.</t>
  </si>
  <si>
    <t>Pair</t>
  </si>
  <si>
    <t>SOR 2024 Item No 908 (d)</t>
  </si>
  <si>
    <t xml:space="preserve">Supply   of   communication   and   other   accessories   for Data Logger</t>
  </si>
  <si>
    <t>SOR 2024 Item No 909</t>
  </si>
  <si>
    <t>Supply of 64 input digital card</t>
  </si>
  <si>
    <t>SOR 2024 Item No 909(a)</t>
  </si>
  <si>
    <t>Supply of Analog Input Scanner card 16 Ports (8 Port X 2)</t>
  </si>
  <si>
    <t>SOR 2024 Item No 909(b)</t>
  </si>
  <si>
    <t>Supply of 128 input tag block</t>
  </si>
  <si>
    <t>SOR 2024 Item No 909 ©</t>
  </si>
  <si>
    <t>Supply of 200 way tag block as per Specn IRS: S 77/2006 Rev. 1.0 or latest and Drg No. SA 24751 or latest.</t>
  </si>
  <si>
    <t>SOR 2024 Item No 909 (d)</t>
  </si>
  <si>
    <t>Supply of Digital Data Logger mother board to upgrade from 512 to 1024 digital inputs</t>
  </si>
  <si>
    <t>SOR 2024 Item No 909 (e)</t>
  </si>
  <si>
    <t>Supply of Dual Card internal modem.</t>
  </si>
  <si>
    <t>SOR 2024 Item No 909(f)</t>
  </si>
  <si>
    <t xml:space="preserve">Supply  of  Protocol  Converter  for  Electronic  Interlocking including software required for networking.</t>
  </si>
  <si>
    <t>SOR 2024 Item No 909(g)</t>
  </si>
  <si>
    <r>
      <t xml:space="preserve">Supply of 80 column </t>
    </r>
    <r>
      <rPr>
        <rFont val="Arial"/>
        <b val="1"/>
        <sz val="10"/>
        <scheme val="none"/>
      </rPr>
      <t xml:space="preserve">Dot Matrix Printer </t>
    </r>
    <r>
      <rPr>
        <rFont val="Arial"/>
        <sz val="10"/>
        <scheme val="none"/>
      </rPr>
      <t>Model No. Epson LQ300/LX300 or similar with serial port.</t>
    </r>
  </si>
  <si>
    <t>SOR 2024 Item No 910</t>
  </si>
  <si>
    <t>Supply and installation of Fault analysis terminal for analysis of fault and generating reports for data logger installed at stations with minimum 19 inch display terminal with i5 processor 4GB RAM, HDD 1 TB, Windows 10 Licensed or better.</t>
  </si>
  <si>
    <t>SOR 2024 Item No 911</t>
  </si>
  <si>
    <r>
      <t xml:space="preserve">Supply of </t>
    </r>
    <r>
      <rPr>
        <rFont val="Arial"/>
        <b val="1"/>
        <sz val="10"/>
        <scheme val="none"/>
      </rPr>
      <t xml:space="preserve">Safety Point Alarm </t>
    </r>
    <r>
      <rPr>
        <rFont val="Arial"/>
        <sz val="10"/>
        <scheme val="none"/>
      </rPr>
      <t>unit to alert ASM to set the points against the blocked line.</t>
    </r>
  </si>
  <si>
    <t>per station</t>
  </si>
  <si>
    <t>SOR 2024 Item No 912</t>
  </si>
  <si>
    <t>CHAPTER -10 - TELECOM EQUIPMENT</t>
  </si>
  <si>
    <r>
      <t xml:space="preserve">Supply of </t>
    </r>
    <r>
      <rPr>
        <rFont val="Arial"/>
        <b val="1"/>
        <sz val="10"/>
        <scheme val="none"/>
      </rPr>
      <t xml:space="preserve">Thermo shrink jointing kit </t>
    </r>
    <r>
      <rPr>
        <rFont val="Arial"/>
        <sz val="10"/>
        <scheme val="none"/>
      </rPr>
      <t>for jointing underground 0.9mm dia conductor 6 quad cable as per Specn IRS: TC 77-2012 Rev. 3 (Amd. 1 to Amd. 3) or latest.</t>
    </r>
  </si>
  <si>
    <t>SOR 2024 Item No 1001</t>
  </si>
  <si>
    <r>
      <t xml:space="preserve">Supply of </t>
    </r>
    <r>
      <rPr>
        <rFont val="Arial"/>
        <b val="1"/>
        <sz val="10"/>
        <scheme val="none"/>
      </rPr>
      <t xml:space="preserve">Various Telephones </t>
    </r>
    <r>
      <rPr>
        <rFont val="Arial"/>
        <sz val="10"/>
        <scheme val="none"/>
      </rPr>
      <t>and Telephone Power Supply unit</t>
    </r>
  </si>
  <si>
    <t>SOR 2024 Item No 1002</t>
  </si>
  <si>
    <t>Magneto Telephone with inbuilt battery, housing case, electro dynamic transducers as per IRS: TC 36-97 Amd. 2 or latest.</t>
  </si>
  <si>
    <t>SOR 2024 Item No 1002(a)</t>
  </si>
  <si>
    <t>4 wire train traffic control equipment with DTMF signalling way station equipment and way station control telephone as per Specn IRS : TC 60-2007 Amd. 1 or latest.</t>
  </si>
  <si>
    <t>SOR 2024 Item No 1002(b)</t>
  </si>
  <si>
    <t>Desk type 2 wire, 12 way DTMF selective calling group telephone (Selective Calling / Group Telephone) complete as per Specn IRS: TC 80-2000 Amd. 1 or latest with suitable power supply unit.</t>
  </si>
  <si>
    <t>SOR 2024 Item No 1002(c)</t>
  </si>
  <si>
    <t>Push button corded auto telephone with Caller ID facility of Beetel, Panasonic or Binatone make.</t>
  </si>
  <si>
    <t>SOR 2024 Item No 1002 (d)</t>
  </si>
  <si>
    <t xml:space="preserve">Signal post telephone Master and Slave unit fit for 25kV RE area of Tummala Electronics or Epsilon or similar make with following Specification:
1.  02 No’s of 8 ohms/45 watt/4 inch speakers
2.   Master unit with PTT facility
3.  Buzzers &amp; LED for calling indication
4.  Operating voltage +12V DC
5.   Double clamps for mounting on signal post
6.  Housing rugged weather proof metal housing
7.   Audio Power amplifier.</t>
  </si>
  <si>
    <t>SOR 2024 Item No 1002(e)</t>
  </si>
  <si>
    <t>LC Gate: Station Electronic Telephone unit for LC Gate, along with surge protection and line connection unit as per Specn No.RDSO/SPN/TC/51-2021 Rev. 1.0 or latest.</t>
  </si>
  <si>
    <t>SOR 2024 Item No 1002(f)</t>
  </si>
  <si>
    <t>LC Gate: Gate Electronic Telephone unit for LC Gate, along with surge protection and line connection unit as per Specn RDSO/SPN/TC/51-2021 Rev. 1.0 or latest.</t>
  </si>
  <si>
    <t>SOR 2024 Item No 1002(g)</t>
  </si>
  <si>
    <t>(h)</t>
  </si>
  <si>
    <t>LC Gate: Centralised power supply system with battery for Station and Gate Telephone.</t>
  </si>
  <si>
    <t>SOR 2024 Item No 1002(h)</t>
  </si>
  <si>
    <t>(i)</t>
  </si>
  <si>
    <t>Supply of Power Supply Unit for telecom installations of 2A output capacity as per Specn IRS: TC 72-97 Amd. 1 or latest with 12V / 7AH maintenance free battery.</t>
  </si>
  <si>
    <t>SOR 2024 Item No 1002(i)</t>
  </si>
  <si>
    <r>
      <t xml:space="preserve">Supply of </t>
    </r>
    <r>
      <rPr>
        <rFont val="Arial"/>
        <b val="1"/>
        <sz val="10"/>
        <scheme val="none"/>
      </rPr>
      <t>Various Telecom Cable</t>
    </r>
  </si>
  <si>
    <t>SOR 2024 item No.1003</t>
  </si>
  <si>
    <t>Switch board cable 5 Pair / 0.6mm dia. as per TEC 68080:2002 or latest.</t>
  </si>
  <si>
    <t>Km</t>
  </si>
  <si>
    <t>SOR 2024 item No.1003(a)</t>
  </si>
  <si>
    <t xml:space="preserve">Switch  board  cable  10  Pair  /  0.6mm  dia.  as  per  TEC 68080:2002 or latest.</t>
  </si>
  <si>
    <t>SOR 2024 item No.1003(b)</t>
  </si>
  <si>
    <t xml:space="preserve">Switch  board  cable  20  Pair  /  0.6mm  dia.  as  per  TEC 68080:2002 or latest GR WIR 0603 March 2002 or Latest</t>
  </si>
  <si>
    <t>SOR 2024 item No.1003(c)</t>
  </si>
  <si>
    <t>50 Pair cable of 0.5mm dia, polythene insulated, polythene sheathed, jelly filled underground telephone cable with poly aluminium moisture barrier, annealed copper conductor, polythene jacketed double steel tape armoured as per Specn IRS: TC 41/97 Amd. 3 or latest.</t>
  </si>
  <si>
    <t>SOR 2024 item No.1003(d)</t>
  </si>
  <si>
    <t>100 Pair cable 0.5mm dia polythene insulated, polythene sheathed, jelly filled underground telephone cable with poly aluminium moisture barrier, annealed copper conductor, polythene jacketed double steel tape armoured as per Specn IRS : TC 41/97 Amd. 3 or latest.</t>
  </si>
  <si>
    <t>SOR 2024 item No.1003(e)</t>
  </si>
  <si>
    <t>PVC Twin (Tinned Copper Conductor, Double ‘D’ Type) cable as per standard TEC 68100:2003 or latest.</t>
  </si>
  <si>
    <t>SOR 2024 item No.1003 (f)</t>
  </si>
  <si>
    <t>UTP CAT 6 Cable (Roll is 305 Mtr) of D.LINK/AMP/ KRONE or similar make</t>
  </si>
  <si>
    <t>SOR 2024 item No.1003 (g)</t>
  </si>
  <si>
    <t>*</t>
  </si>
  <si>
    <r>
      <t xml:space="preserve">Supply of </t>
    </r>
    <r>
      <rPr>
        <rFont val="Arial"/>
        <b val="1"/>
        <sz val="10"/>
        <scheme val="none"/>
      </rPr>
      <t xml:space="preserve">Krone Termination Box </t>
    </r>
    <r>
      <rPr>
        <rFont val="Arial"/>
        <sz val="10"/>
        <scheme val="none"/>
      </rPr>
      <t>complete with mounting</t>
    </r>
  </si>
  <si>
    <t>SOR 2024 item No.1004</t>
  </si>
  <si>
    <t>Krone termination of 20 pair</t>
  </si>
  <si>
    <t>SOR 2024 item No.1004(a)</t>
  </si>
  <si>
    <t>Krone termination of 50 pair</t>
  </si>
  <si>
    <t>SOR 2024 item No.1004(b)</t>
  </si>
  <si>
    <t>Krone termination of 100 pair</t>
  </si>
  <si>
    <t>SOR 2024 item No.1004(c)</t>
  </si>
  <si>
    <t>Krone insertion / extraction tool</t>
  </si>
  <si>
    <t>SOR 2024 item No.1004(d)</t>
  </si>
  <si>
    <r>
      <t xml:space="preserve">Supply of following type of </t>
    </r>
    <r>
      <rPr>
        <rFont val="Arial"/>
        <b val="1"/>
        <sz val="10"/>
        <scheme val="none"/>
      </rPr>
      <t xml:space="preserve">Terminal block </t>
    </r>
    <r>
      <rPr>
        <rFont val="Arial"/>
        <sz val="10"/>
        <scheme val="none"/>
      </rPr>
      <t>of Wago Make or Similar (with lever type disconnection &amp; reconnection facility) duly fitted in C.T. box of approved quality, suitable for termination of cable from 0.4mm to 0.9mm conductor.</t>
    </r>
  </si>
  <si>
    <t>SOR 2024 item No.11005</t>
  </si>
  <si>
    <t>10 pair</t>
  </si>
  <si>
    <t>SOR 2024 item No.1004 (a)</t>
  </si>
  <si>
    <t>24 pair</t>
  </si>
  <si>
    <t xml:space="preserve">SOR 2024 item No.1004  (b)</t>
  </si>
  <si>
    <r>
      <t xml:space="preserve">Supply of </t>
    </r>
    <r>
      <rPr>
        <rFont val="Arial"/>
        <b val="1"/>
        <sz val="10"/>
        <scheme val="none"/>
      </rPr>
      <t xml:space="preserve">VF Transformer </t>
    </r>
    <r>
      <rPr>
        <rFont val="Arial"/>
        <sz val="10"/>
        <scheme val="none"/>
      </rPr>
      <t>and accessories</t>
    </r>
  </si>
  <si>
    <t>SOR 2024 item No.1006</t>
  </si>
  <si>
    <t>Supply of VF Transformer with impedance ratio 470 : 600 ohms or 1120 : 600 (Type 4) or 1120 : 470 (Type 3) as per Specn IRS : TC 22-76 or latest.</t>
  </si>
  <si>
    <t>SOR 2024 item No.1006 (a)</t>
  </si>
  <si>
    <t>Supply of VF Transformer 2T assembly of type 2 with impedance ratio 470: 1120 ohms as per Specn IRS: TC 76 -2000 with Amd. 1 or latest.</t>
  </si>
  <si>
    <t>SOR 2024 item No.1006(b)</t>
  </si>
  <si>
    <r>
      <t xml:space="preserve">Supply of </t>
    </r>
    <r>
      <rPr>
        <rFont val="Arial"/>
        <b val="1"/>
        <sz val="10"/>
        <scheme val="none"/>
      </rPr>
      <t xml:space="preserve">Emergency Socket Box </t>
    </r>
    <r>
      <rPr>
        <rFont val="Arial"/>
        <sz val="10"/>
        <scheme val="none"/>
      </rPr>
      <t>and emergency socket pin</t>
    </r>
  </si>
  <si>
    <t>SOR 2024 item No.1007</t>
  </si>
  <si>
    <t>Supply of emergency socket box of FRP material as per Specn RDSO/SPN/TC/44/2002 Ver. 3.0 with Amd. 1, 2, 3, Corrigendum 1 or latest, Drg TCDO/RE/001/2002 Ver. 0.1 or latest, TCDO/RE/001/2002/1 with socket six pin flat</t>
  </si>
  <si>
    <t>SOR 2024 item No.1007(a)</t>
  </si>
  <si>
    <t>Supply of emergency socket six pin flat with 6 pin suitable plug as per Specn IRS: TC 42-87 with Amd. 1, 2, 3 or latest.</t>
  </si>
  <si>
    <t>SOR 2024 item No.1007 (b)</t>
  </si>
  <si>
    <r>
      <t xml:space="preserve">Supply of </t>
    </r>
    <r>
      <rPr>
        <rFont val="Arial"/>
        <b val="1"/>
        <sz val="10"/>
        <scheme val="none"/>
      </rPr>
      <t xml:space="preserve">Maintenance Free Batteries </t>
    </r>
    <r>
      <rPr>
        <rFont val="Arial"/>
        <sz val="10"/>
        <scheme val="none"/>
      </rPr>
      <t>of following capacity of AMARAJA/EXIDE/Panasonic or equivalent brand.</t>
    </r>
  </si>
  <si>
    <t>SOR 2024 item No.1008</t>
  </si>
  <si>
    <t>12 V /65 AH</t>
  </si>
  <si>
    <t>SOR 2024 item No.1008(a)</t>
  </si>
  <si>
    <t>12 V /75 AH</t>
  </si>
  <si>
    <t>SOR 2024 item No.1008(b)</t>
  </si>
  <si>
    <t>12V/100 AH</t>
  </si>
  <si>
    <t>SOR 2024 item No.1008 (c)</t>
  </si>
  <si>
    <r>
      <t xml:space="preserve">Supply of </t>
    </r>
    <r>
      <rPr>
        <rFont val="Arial"/>
        <b val="1"/>
        <sz val="10"/>
        <scheme val="none"/>
      </rPr>
      <t xml:space="preserve">OFC Related </t>
    </r>
    <r>
      <rPr>
        <rFont val="Arial"/>
        <sz val="10"/>
        <scheme val="none"/>
      </rPr>
      <t>items</t>
    </r>
  </si>
  <si>
    <t>SOR 2024 item No1009</t>
  </si>
  <si>
    <r>
      <t xml:space="preserve">Supply of Permanently lubricated </t>
    </r>
    <r>
      <rPr>
        <rFont val="Arial"/>
        <b val="1"/>
        <sz val="10"/>
        <scheme val="none"/>
      </rPr>
      <t xml:space="preserve">HDPE Duct </t>
    </r>
    <r>
      <rPr>
        <rFont val="Arial"/>
        <sz val="10"/>
        <scheme val="none"/>
      </rPr>
      <t>with outer diameter of 40mm and inner diameter of 33mm as per Specn RDSO/SPN/TC/45/2013 Revision 2.0. The length of the duct shall be 1km. Two end plugs shall be provided along with the drum.</t>
    </r>
  </si>
  <si>
    <t>SOR 2024 item No1009(a)</t>
  </si>
  <si>
    <t>Supply of Plastic couplers - Slip fit/push type for permanently lubricated HDPE duct.</t>
  </si>
  <si>
    <t>SOR 2024 item No1009(b)</t>
  </si>
  <si>
    <t>Supply of End plug for permanently lubricated HDPE duct.</t>
  </si>
  <si>
    <t>SOR 2024 item No1009(c)</t>
  </si>
  <si>
    <t>Supply of Cable sealing plugs for permanently lubricated HDPE duct.</t>
  </si>
  <si>
    <t>SOR 2024 item No1009(d)</t>
  </si>
  <si>
    <t>Supply of Rotary duct cutter suitable for cutting HDPE ducts of diameter 20mm to 42mm. The duct cutter shall have a facility of replaceable blades. The blades shall be of high carbon steel.</t>
  </si>
  <si>
    <t>SOR 2024 item No1009(e)</t>
  </si>
  <si>
    <t>Supply of appropriate OFC patch cords (1.5 meter long) as per direction of Engineer In charge, having insertion loss less than or equal to 0.1dB as per Telecommunication Engineering Centre (TEC) standard TEC 87070:2009 with GR TEC/T/OFC- OFJ/155/2013 or latest.</t>
  </si>
  <si>
    <t>SOR 2024 item No1009(f)</t>
  </si>
  <si>
    <t>Supply of OFC integrated access with following Specn.:
1. The device shall be of 1U or 1.5U height and shall be mountable in 19" rack
2. The device's optical module shall be integrated in the unit and shall support dual core OFC.
3. The device shall have four 100 Mbps Ethernet ports for surveillance / smoke detectors.
4. The device shall support an optical distance of up to 40km.
5. The device shall support six 2 Wire / 4 Wire ports (each port shall be configurable) to support axle counter/UFSBI/ control phone / EC / RTU applications, one TELNET / SNMP port, two RS232 ports and four potential free contacts.
6. The device shall support dual DC power supply from 18V DC to 72V DC.
7. The device shall support auto changeover feature on E&amp;M interfaces from copper (quad cable) to optic medium (OFC) and vice versa.
8. The device shall have programmable option as required for each port.</t>
  </si>
  <si>
    <t>SOR 2024 item No1009(g)</t>
  </si>
  <si>
    <t>Supply of Core Alignment Fusion Splicing Machine of model Fujikura 88S+ or Similar TEC Specn TEC/GR/OSM-01/04/SEP- 12 or latest.</t>
  </si>
  <si>
    <t>SOR 2024 item No1009(h)</t>
  </si>
  <si>
    <t>Supply of smart OTDR (35/37 DB) as per Specn TEC/GR/ TX/OTD-002/04/AUG-19 of Viavi of 100A series or Similar.</t>
  </si>
  <si>
    <t>SOR 2024 item No1009(i)</t>
  </si>
  <si>
    <t>(j)</t>
  </si>
  <si>
    <t>Supply of Laser Source meter as per Specn No TEC/GR/TX /OPM-001/04/NOV-13 of model Viavi OLS 35 or similar.</t>
  </si>
  <si>
    <t>SOR 2024 item No1009(j)</t>
  </si>
  <si>
    <t>(k)</t>
  </si>
  <si>
    <t>Supply of Power meter as per Specn No. TEC/GR/TX/ OPM- 001/04/NOV-13 of model Viavi OLS 35 or Similar.</t>
  </si>
  <si>
    <t>SOR 2024 item No1009(k)</t>
  </si>
  <si>
    <r>
      <t xml:space="preserve">Supply of </t>
    </r>
    <r>
      <rPr>
        <rFont val="Arial"/>
        <b val="1"/>
        <sz val="10"/>
        <scheme val="none"/>
      </rPr>
      <t>IP Based CCTV Camera</t>
    </r>
  </si>
  <si>
    <t>SOR 2024 item No1010</t>
  </si>
  <si>
    <t>Supply of IP based day and night high resolution camera spec with IP 66 rated water proof, dust proof for outside application with RDSO Specn RDSO/SPN/TC/65/2013 ver. 6 or latest.</t>
  </si>
  <si>
    <t>SOR 2024 item No1010 (a)</t>
  </si>
  <si>
    <t>Supply of 32 Channel NVR as per Specn RDSO/SPN/TC/ 65/2013 ver 6 or latest.</t>
  </si>
  <si>
    <t>SOR 2024 item No1010(b)</t>
  </si>
  <si>
    <t>Supply of network 8 port switch with Ethernet and SFP port rg 45 10m network interface, product, delink model or similar, dgs-1008d</t>
  </si>
  <si>
    <t>SOR 2024 item No1010(c)</t>
  </si>
  <si>
    <t>Supply of 2TB internal hard disc with power and SATA data cables suitable for 16 channel super NVR.</t>
  </si>
  <si>
    <t>SOR 2024 item No1010(d)</t>
  </si>
  <si>
    <t>Supply of 6TB internal hard disc with power and SATA data cables suitable for 16 channel super NVR.</t>
  </si>
  <si>
    <t>SOR 2024 item No1010(e)</t>
  </si>
  <si>
    <t>Supply of 10TB internal hard disc with power and SATA data cables suitable for 16 channel super NVR.</t>
  </si>
  <si>
    <t>SOR 2024 item No1010(f)</t>
  </si>
  <si>
    <t>Supply of 2 TB external hard disc of Seagate/WD or similar make</t>
  </si>
  <si>
    <t>SOR 2024 item No1010(g)</t>
  </si>
  <si>
    <r>
      <t xml:space="preserve">Supply of </t>
    </r>
    <r>
      <rPr>
        <rFont val="Arial"/>
        <b val="1"/>
        <sz val="10"/>
        <scheme val="none"/>
      </rPr>
      <t>Miscellaneous Telecom</t>
    </r>
    <r>
      <rPr>
        <rFont val="Arial"/>
        <sz val="10"/>
        <scheme val="none"/>
      </rPr>
      <t xml:space="preserve"> Items</t>
    </r>
  </si>
  <si>
    <t>SOR 2024 item 1011</t>
  </si>
  <si>
    <t>Supply of 2-conductor disconnect/test terminal blocks (WAGO) or similar with pivoting knife disconnect and test port as per Specn No. RDSO/SPN/189/2004 Ver. 3.0 or latest. WAGO Model No. 280-870 or similar.</t>
  </si>
  <si>
    <t>SOR 2024 item NO 1011 (a)</t>
  </si>
  <si>
    <t>Supply of 3 in 1 modular crimping tool for RJ45, RJ11, CAT-5 / CAT-6 Ethernet cable cutter crimping tool IMP make of Standard, D-Link, i-Ball, Belkin, Tech NXT, Fluke or Terabyte make.</t>
  </si>
  <si>
    <t>SOR 2024 item No 1011(b)</t>
  </si>
  <si>
    <t>Supply of single line RJ11 Rosette box.</t>
  </si>
  <si>
    <t>SOR 2024 item No 1011(c)</t>
  </si>
  <si>
    <t>Supply of Emergency Control Room Equipment as per Specn No. IRS: TC 61-93 with Amd. 1 and 2 or latest.</t>
  </si>
  <si>
    <t>SOR 2024 item No 1011(d)</t>
  </si>
  <si>
    <r>
      <t xml:space="preserve">Supply of </t>
    </r>
    <r>
      <rPr>
        <rFont val="Arial"/>
        <b val="1"/>
        <sz val="10"/>
        <scheme val="none"/>
      </rPr>
      <t xml:space="preserve">Ethernet to E1 Converter </t>
    </r>
    <r>
      <rPr>
        <rFont val="Arial"/>
        <sz val="10"/>
        <scheme val="none"/>
      </rPr>
      <t>(Ethernet port to G.703) with four Ethernet ports to one E1. The converter shall have the provision of dual AC / DC power supply.</t>
    </r>
  </si>
  <si>
    <t>SOR 2024 item No 1011(e)</t>
  </si>
  <si>
    <t>CHAPTER 11 - MECHANICAL SIGNALING ITEMS</t>
  </si>
  <si>
    <r>
      <t xml:space="preserve">Supply of </t>
    </r>
    <r>
      <rPr>
        <rFont val="Arial"/>
        <b val="1"/>
        <sz val="10"/>
        <scheme val="none"/>
      </rPr>
      <t xml:space="preserve">Electric Key Transmitter (EKT) </t>
    </r>
    <r>
      <rPr>
        <rFont val="Arial"/>
        <sz val="10"/>
        <scheme val="none"/>
      </rPr>
      <t>rotary type complete as per Drg No. SA 22601/Alt 4 or latest and Specn IRS: S 21-2001 Rev. 1.0 or latest. The ward number shall be as specified by the Engineer in-charge.</t>
    </r>
  </si>
  <si>
    <t>SOR 2024 item No 1101</t>
  </si>
  <si>
    <r>
      <t xml:space="preserve">Supply of </t>
    </r>
    <r>
      <rPr>
        <rFont val="Arial"/>
        <b val="1"/>
        <sz val="10"/>
        <scheme val="none"/>
      </rPr>
      <t xml:space="preserve">Electrical Point Detector and Lock </t>
    </r>
    <r>
      <rPr>
        <rFont val="Arial"/>
        <sz val="10"/>
        <scheme val="none"/>
      </rPr>
      <t>as per Specn IRS: S 49-74 or latest with cross protection arrangements.</t>
    </r>
  </si>
  <si>
    <t>SOR 2024 item No 1102</t>
  </si>
  <si>
    <r>
      <t xml:space="preserve">Supply of </t>
    </r>
    <r>
      <rPr>
        <rFont val="Arial"/>
        <b val="1"/>
        <sz val="10"/>
        <scheme val="none"/>
      </rPr>
      <t xml:space="preserve">Point Indicator Lamp </t>
    </r>
    <r>
      <rPr>
        <rFont val="Arial"/>
        <sz val="10"/>
        <scheme val="none"/>
      </rPr>
      <t>with base as per Specn IRS : S 27-64 with Amd. 1 or latest complete with all fittings.</t>
    </r>
  </si>
  <si>
    <t>SOR 2024 item No 1103</t>
  </si>
  <si>
    <r>
      <t xml:space="preserve">Supply of </t>
    </r>
    <r>
      <rPr>
        <rFont val="Arial"/>
        <b val="1"/>
        <sz val="10"/>
        <scheme val="none"/>
      </rPr>
      <t xml:space="preserve">Split Stretcher Bars </t>
    </r>
    <r>
      <rPr>
        <rFont val="Arial"/>
        <sz val="10"/>
        <scheme val="none"/>
      </rPr>
      <t>for Hand Plunger Lock as per Drg No. SA 3164/M or latest for BG.</t>
    </r>
  </si>
  <si>
    <t>SOR 2024 item No 1104</t>
  </si>
  <si>
    <t>Supply of Hand plunger lock 2 way complete</t>
  </si>
  <si>
    <t>SOR 2024 item No 1105</t>
  </si>
  <si>
    <t>Supply of ground connections for Electrical detector consisting of one long detector rod one short detector &amp; one lock detector rod.</t>
  </si>
  <si>
    <t>SOR 2024 item No 1106</t>
  </si>
  <si>
    <t>CHAPTER 13 - BLOCK AND IB RELATED ITEMS</t>
  </si>
  <si>
    <r>
      <t xml:space="preserve">Supply of </t>
    </r>
    <r>
      <rPr>
        <rFont val="Arial"/>
        <b val="1"/>
        <sz val="10"/>
        <scheme val="none"/>
      </rPr>
      <t xml:space="preserve">IB Resetting Panel </t>
    </r>
    <r>
      <rPr>
        <rFont val="Arial"/>
        <sz val="10"/>
        <scheme val="none"/>
      </rPr>
      <t>(made of Galvanized MS) of size 12” x 10” x 6” with two push button keys, one push button, two counters with four LEDs.</t>
    </r>
  </si>
  <si>
    <t xml:space="preserve">SOR 2024 item No  1301</t>
  </si>
  <si>
    <r>
      <t xml:space="preserve">Supply  of  </t>
    </r>
    <r>
      <rPr>
        <rFont val="Arial"/>
        <b val="1"/>
        <sz val="10"/>
        <scheme val="none"/>
      </rPr>
      <t xml:space="preserve">Filter  Unit  </t>
    </r>
    <r>
      <rPr>
        <rFont val="Arial"/>
        <sz val="10"/>
        <scheme val="none"/>
      </rPr>
      <t xml:space="preserve">for  use  in  conjunction  with  block instrument as per specification IRS: S 68-89 or latest.</t>
    </r>
  </si>
  <si>
    <t>SOR 2024 item No 1302</t>
  </si>
  <si>
    <r>
      <t xml:space="preserve">Supply of </t>
    </r>
    <r>
      <rPr>
        <rFont val="Arial"/>
        <b val="1"/>
        <sz val="10"/>
        <scheme val="none"/>
      </rPr>
      <t xml:space="preserve">Block Bell Equipment </t>
    </r>
    <r>
      <rPr>
        <rFont val="Arial"/>
        <sz val="10"/>
        <scheme val="none"/>
      </rPr>
      <t>as per specification IRS: TC 44-88 with Amd. 1 or latest.</t>
    </r>
  </si>
  <si>
    <t>SOR 2024 item No 1303</t>
  </si>
  <si>
    <r>
      <t xml:space="preserve">Supply of </t>
    </r>
    <r>
      <rPr>
        <rFont val="Arial"/>
        <b val="1"/>
        <sz val="10"/>
        <scheme val="none"/>
      </rPr>
      <t xml:space="preserve">Teak Wood Block Counter </t>
    </r>
    <r>
      <rPr>
        <rFont val="Arial"/>
        <sz val="10"/>
        <scheme val="none"/>
      </rPr>
      <t>suitable for DAIDO / NBT block instruments as per standard drawing. &amp; instructions of engineer in charge</t>
    </r>
  </si>
  <si>
    <t>SOR 2024 item No 1304</t>
  </si>
  <si>
    <t>CHAPTER 14 - DIGITAL AXLE COUNTER RELATED ITEMS</t>
  </si>
  <si>
    <r>
      <t xml:space="preserve">Supply of </t>
    </r>
    <r>
      <rPr>
        <rFont val="Arial"/>
        <b val="1"/>
        <sz val="10"/>
        <scheme val="none"/>
      </rPr>
      <t xml:space="preserve">Single Section Digital Axle Counter (SSDAC) </t>
    </r>
    <r>
      <rPr>
        <rFont val="Arial"/>
        <sz val="10"/>
        <scheme val="none"/>
      </rPr>
      <t>as per Specn No. RDSO/SPN/177/2012 Ver. 3.0 or latest within built event logger card.</t>
    </r>
  </si>
  <si>
    <t>SOR 2024 item No 1401</t>
  </si>
  <si>
    <t>Supply of spare cards for Single Section Digital Axle Counter or High Availability Single Section Digital Axle Counter as per Specn No. RDSO/SPN/177/2005 Ver. 2.0 or RDSO/SPN/177/2012 Ver. 3.0 or latest. The spare cards shall be supplied as per the make of SSDAC and to the version as specified by the engineer in-charge.</t>
  </si>
  <si>
    <t>SOR 2024 item No 1402</t>
  </si>
  <si>
    <t>Micro controller logic card (CPU Card)</t>
  </si>
  <si>
    <t>SOR 2024 item No 1402 (a)</t>
  </si>
  <si>
    <t>Modem card (Communication Card)</t>
  </si>
  <si>
    <t>SOR 2024 item No 1402(b)</t>
  </si>
  <si>
    <t>DC-DC converter card (Power Supply Module)</t>
  </si>
  <si>
    <t>SOR 2024 item No 1402(c)</t>
  </si>
  <si>
    <t>Signal conditioner card (Phase Detector Card)</t>
  </si>
  <si>
    <t>SOR 2024 item No 1402(d)</t>
  </si>
  <si>
    <t>Relay driver card</t>
  </si>
  <si>
    <t>SOR 2024 item No 1402 (e)</t>
  </si>
  <si>
    <t>Axle detectors (each set consists of 2 numbers Tx and 2 numbers Rx coils).</t>
  </si>
  <si>
    <t>SOR 2024 item No 1402(f)</t>
  </si>
  <si>
    <t>Reset box</t>
  </si>
  <si>
    <t>SOR 2024 item No 1402 (g)</t>
  </si>
  <si>
    <t>Event logger card</t>
  </si>
  <si>
    <t>SOR 2024 item No 1402 (h)</t>
  </si>
  <si>
    <t>Reset card for reset box</t>
  </si>
  <si>
    <t>SOR 2024 item No 1402 (i)</t>
  </si>
  <si>
    <r>
      <t xml:space="preserve">Supply of </t>
    </r>
    <r>
      <rPr>
        <rFont val="Arial"/>
        <b val="1"/>
        <sz val="10"/>
        <scheme val="none"/>
      </rPr>
      <t xml:space="preserve">High Availability Single Section Digital Axle Counter (HASSDAC) </t>
    </r>
    <r>
      <rPr>
        <rFont val="Arial"/>
        <sz val="10"/>
        <scheme val="none"/>
      </rPr>
      <t xml:space="preserve">system complete as per RDSO Specn No. RDSO/SPN/ 177/2012 Ver. 3.0 or latest. The system shall consist of the following:
a)  Track side high availability digital axle counter unit - 2 Nos.
b)  Axle detectors (Each set consists of web mounting type 2 Nos Tx coils and 2 numbers Rx coils) - 2 sets
c)  Vital relay box - 2 numbers. Each box shall be wired with following relays.
d)  Vital Relay QNA1K, 24V, 6F/6B - 2 Nos.
e)  Reset Relay QNA1K, 24V, 6F/6B - 1 No.
f)   Preparatory PR Relay QNN1, 24V, 6F/2B (Dual) - 1 No.
g)  Clamp with deflector plates and hardware - 4 Nos.
h)  Reset box Model No.259A - 2 Nos.
i)   Surge Voltage Protection Device Mounted on DIN 35 Rail - 2 Nos.</t>
    </r>
  </si>
  <si>
    <t>SOR 2024 item No 1403</t>
  </si>
  <si>
    <t>Supply of Spare Cards for High Availability Single Section Digital Axle Counter (HASSDAC) as per Specn RDSO/SPN /177/2012 Ver. 3.0 or latest. The spare cards shall be supplied as per the make of SSDAC and to the version as specified by the engineer in-charge.</t>
  </si>
  <si>
    <t>SOR 2024 item No 1404</t>
  </si>
  <si>
    <t xml:space="preserve">Signal   Conditioner   Card   or   Phase   Detection   Card   for HASSDAC</t>
  </si>
  <si>
    <t>SOR 2024 item No 1404(a)</t>
  </si>
  <si>
    <t>SOR 2024 item No 1404(b)</t>
  </si>
  <si>
    <t>Modem Card or Communication Card for HASSDAC</t>
  </si>
  <si>
    <t>SOR 2024 item No 1404(c)</t>
  </si>
  <si>
    <t>Dual micro controller logic card or CPU Card for HASSDAC</t>
  </si>
  <si>
    <t>SOR 2024 item No 1404(d)</t>
  </si>
  <si>
    <t>Relay Driver card for HASSDAC</t>
  </si>
  <si>
    <t>SOR 2024 item No 1404(e)</t>
  </si>
  <si>
    <t>DC-DC converter card for HASSDAC</t>
  </si>
  <si>
    <t>SOR 2024 item No 1404(f)</t>
  </si>
  <si>
    <t>Axle detectors (each set consists of 2 numbers Tx and 2 numbers Rx coils)</t>
  </si>
  <si>
    <t>SOR-2024 Item no.1404 (g)</t>
  </si>
  <si>
    <t>Reset box for HASSDAC</t>
  </si>
  <si>
    <t>SOR 2024 item No 1404(h)</t>
  </si>
  <si>
    <r>
      <t xml:space="preserve">Supply of </t>
    </r>
    <r>
      <rPr>
        <rFont val="Arial"/>
        <b val="1"/>
        <sz val="10"/>
        <scheme val="none"/>
      </rPr>
      <t xml:space="preserve">Tool kit </t>
    </r>
    <r>
      <rPr>
        <rFont val="Arial"/>
        <sz val="10"/>
        <scheme val="none"/>
      </rPr>
      <t xml:space="preserve">consisting of the following.
a) Digital multi meter - Model 187 of Fluke make or Model Rish 18S of Rishabh Make or similar suitable for Digital Axle Counter.
b)   Train simulator
c)   Extender card
d)   Dummy Wheel
e)   Square Drive T Handle - Model 1733 of Taparia Make
f)   19mm, 3/8 inch square drive socket made of Chrome Vanadium steel - Model 19H of Taparia make or similar.
g)  Ring Spanner (Flat) of size 17 x 19mm - Jhalani Make or equivalent.
h)  Double ended open jaw spanner no. 895 (Deflector plates)
i)   Spanner of size 17 x 19mm - Jhalani or Everest or Taparia Make.
j)   Spanner of size 19 x 24mm - Jhalani or Everest or Taparia Make.
k)  Ring Spanner of size 24 x 26mm - Jhalani or Everest or Taparia Make.
l)   Screw Driver No. 902 - Taparia Make or equivalent.
m) Screw Driver No. 935 - Taparia Make or equivalent.
n)  Carrying bag for tools</t>
    </r>
  </si>
  <si>
    <t>SOR 2024 item No1405</t>
  </si>
  <si>
    <t>Electronic earth tester Model No. 4680B Meco make or higher version or similar. The earth tester shall be non-contact type without requirement of auxiliary electrodes and shall have 4 digit 9999 LCD display with ground resistance range from 0.25Ω to 1500Ω.</t>
  </si>
  <si>
    <t>SOR 2024 item No1406</t>
  </si>
  <si>
    <t>CHAPTER 15 - EARTHING RELATED ITEMS</t>
  </si>
  <si>
    <r>
      <t xml:space="preserve">Supply of basic material to construct unit </t>
    </r>
    <r>
      <rPr>
        <rFont val="Arial"/>
        <b val="1"/>
        <color rgb="FF00B050"/>
        <sz val="10"/>
        <scheme val="none"/>
      </rPr>
      <t xml:space="preserve">Maintenance Free Earth </t>
    </r>
    <r>
      <rPr>
        <rFont val="Arial"/>
        <color rgb="FF00B050"/>
        <sz val="10"/>
        <scheme val="none"/>
      </rPr>
      <t>as per Specn RDSO/SPN/197 Ver. 1.0 or latest consisting of the following:
a) Copper bonded steel electrode 3m long, 17mm diameter with copper bonding thickness mini 250 micron and UL listed and marked - 1 No.
b) Earth enhancement compound of RDSO approved brand supplied in sealed bags of minimum 10kg - 3 Nos.
c) Copper strip with dimensions 150 x 25 x 6mm to terminate earth rod - 1 No.
d) Copper strip with dimensions 300 x 25 x 6mm Main Equi- potential Earth Bus bar (MEEB) - 1 No.
e) Copper strip of with dimensions 150 x 25 x 6mm Sub Equi- potential Earth Bus bar (SEEB) - 1 No.
f) 35 Sq.mm multi-strand PVC insulated Copper Cable (15 meter).</t>
    </r>
  </si>
  <si>
    <t>SOR 2024 item No1501</t>
  </si>
  <si>
    <r>
      <t xml:space="preserve">Supply of lightning and surge arrestors of </t>
    </r>
    <r>
      <rPr>
        <rFont val="Arial"/>
        <b val="1"/>
        <color rgb="FF7030A0"/>
        <sz val="10"/>
        <scheme val="none"/>
      </rPr>
      <t xml:space="preserve">Class B &amp; C </t>
    </r>
    <r>
      <rPr>
        <rFont val="Arial"/>
        <color rgb="FF7030A0"/>
        <sz val="10"/>
        <scheme val="none"/>
      </rPr>
      <t>suitable for single phase supply in TT network as per Specn RDSO/SPN/165/2023 ver.4.0 amd-1 or latest and as recommended by RDSO letter No. STS/E/IPS/GENL dated 27/01/2006 (Amendment 5).</t>
    </r>
  </si>
  <si>
    <t>SOR 2024 item No1502</t>
  </si>
  <si>
    <t>Supply of 50mm x 6mm GI tape for interconnecting earth electrodes.</t>
  </si>
  <si>
    <t>SOR 2024 item No1503</t>
  </si>
  <si>
    <t xml:space="preserve">Real time Earth measuring Device of split core structure, High Accuracy, Resistance Range 0.01Ω~100Ω, Detector Light and Sound Alarm, IP-54 protection, RS-485 Communication, with extended 4 digit LCD of Koble or Similar make (Model No. KOBLE 2800KB VER 3.0 or similar) :
a)  Main detector Unit -01 No
b)  LCD Enclosure fitted with Aviation Plugs-01 No.
c)   Rs-485 Connector with 0.5 Mtr Cable-01 No.
d)  RMCU with PFC -01 No.
e)  All other connecting cables with accessories</t>
  </si>
  <si>
    <t>SOR 2024 item No1504</t>
  </si>
  <si>
    <t>Supply of GI wire (8 SWG).</t>
  </si>
  <si>
    <t>Kg</t>
  </si>
  <si>
    <t>SOR 2024 item No1505</t>
  </si>
  <si>
    <r>
      <rPr>
        <rFont val="Arial"/>
        <b val="1"/>
        <sz val="10"/>
        <scheme val="none"/>
      </rPr>
      <t>CHAPTER 16–LC GATES</t>
    </r>
  </si>
  <si>
    <r>
      <t xml:space="preserve">Supply of </t>
    </r>
    <r>
      <rPr>
        <rFont val="Arial"/>
        <b val="1"/>
        <sz val="10"/>
        <scheme val="none"/>
      </rPr>
      <t xml:space="preserve">Electrically Operated Lifting Barrier </t>
    </r>
    <r>
      <rPr>
        <rFont val="Arial"/>
        <sz val="10"/>
        <scheme val="none"/>
      </rPr>
      <t>related items:</t>
    </r>
  </si>
  <si>
    <t>SOR 2024 item No1601</t>
  </si>
  <si>
    <r>
      <t xml:space="preserve">Supply of Electrically operated Lifting Barrier complete set suitable for 110V DC/24V DC as per instructions of engineer incharge supply without hand generator back up &amp; motorized boom locking arrangements as per RDSO Specn SPN/208/2012/ver 2.0 Amd.1 or with latest amendment. One set consisting 02 No. of barriers of length 9.76 Mtrs with stop boards, MS counterweights and 2 nos of boom support, control panel Spares &amp; tool kit mentioned in RDSO Specn clause 10.1 &amp; 10.2 mentioned below to be supplied with EOLB set:
</t>
    </r>
    <r>
      <rPr>
        <rFont val="Arial"/>
        <b val="1"/>
        <sz val="10"/>
        <u val="single"/>
        <scheme val="none"/>
      </rPr>
      <t xml:space="preserve">10.1 Spares:
</t>
    </r>
    <r>
      <rPr>
        <rFont val="Arial"/>
        <sz val="10"/>
        <scheme val="none"/>
      </rPr>
      <t xml:space="preserve">(i) GI boom - 1 No.
(ii) Belt - 1 No.
(iii) Crank Handle - 1 No.
(iv) Motor Contactor - 1 No.
(v) Motor Protection MCB - 1 No.
(vi) Push button complete - 2 No.
(v) Limit Switch - 3 No.
(vi) Fuses used- 2 Set
</t>
    </r>
    <r>
      <rPr>
        <rFont val="Arial"/>
        <b val="1"/>
        <sz val="10"/>
        <u val="single"/>
        <scheme val="none"/>
      </rPr>
      <t>10.2: </t>
    </r>
    <r>
      <rPr>
        <rFont val="Arial"/>
        <sz val="10"/>
        <scheme val="none"/>
      </rPr>
      <t>Tool Kit consisting of standard sizes of wrench/ spanner and Allen keys should also be supplied with each set (2 No’s) of electric Lifting barrier.</t>
    </r>
  </si>
  <si>
    <t>SOR 2024 item No1601 (a)</t>
  </si>
  <si>
    <t>Supply of GI Boom 32 feet long in 4 sections of 8 feet length each suitable for Electric lifting barrier as per Specn RDSO/SPN/208/2012 Ver. 2.0 Amd. 1 or latest.</t>
  </si>
  <si>
    <t>SOR 2024 item No1601 (b)</t>
  </si>
  <si>
    <t>Fabrication and supply of gate control panel of size 12 x 24 inches as per the panel diagram to be supplied by Railways, MS sheet type, complete with LED indications etc., painting, screen painting of gate plan, signals etc. pre wired with 4 signal knobs, a knob for gate control and another for SM control.</t>
  </si>
  <si>
    <t>SOR 2024 item No1601(c)</t>
  </si>
  <si>
    <t>Supply of GI Octagonal Boom 32 feet suitable to MFT make EOLB as per Specn RDSO/SPN/208/2012 Ver. 2.0 Amd.1 or latest. One boom shall have 4 pieces.</t>
  </si>
  <si>
    <t>SOR 2024 item No1601(d)</t>
  </si>
  <si>
    <t>Supply of new top roller type Limit Switch with 2 NO and 2 NC contacts (New design as per RDSO letter dated 23.03.2015)</t>
  </si>
  <si>
    <t>SOR 2024 item No1601(e)</t>
  </si>
  <si>
    <t>Supply of Gear Box assembly with clutch for Heidz make EOLB- 2 stage combination helical and worm wheel gear drive with hand crank insert, internal locking feature, oil filled and sealed type unit with connecting link on output shaft. Suitable for Heidz barrier ELB (As per RDSO/SPN/ 208/2012 Ver. 2.0 Amd. 1 or latest).</t>
  </si>
  <si>
    <t>SOR 2024 item No1601 (f)</t>
  </si>
  <si>
    <t>Supply of Motorized Lock Unit (end post) for 24V /110V DC ELB complete with motor, gear rack and pinion slide unit, 4 numbers limit switches, wiring, terminals, enclosure box and base stand, suitable for Heidz barrier (As per RDSO/SPN/208/2012 Ver. 2.0 Amd. 1 or latest).</t>
  </si>
  <si>
    <t>SOR 2024 item No1601(g)</t>
  </si>
  <si>
    <r>
      <t xml:space="preserve">Supply  of  </t>
    </r>
    <r>
      <rPr>
        <rFont val="Arial"/>
        <b val="1"/>
        <sz val="10"/>
        <scheme val="none"/>
      </rPr>
      <t xml:space="preserve">Automatic  Gate  Warning  System  </t>
    </r>
    <r>
      <rPr>
        <rFont val="Arial"/>
        <sz val="10"/>
        <scheme val="none"/>
      </rPr>
      <t xml:space="preserve">for  Level Crossing Gate</t>
    </r>
  </si>
  <si>
    <t>SOR 2024 item No1602</t>
  </si>
  <si>
    <t>Supply of LED Based Station Master indication to show the Gate Status</t>
  </si>
  <si>
    <t>SOR 2024 item No1602(a)</t>
  </si>
  <si>
    <t>Supply of LED Based Audio-Visual approach warning unit with acknowledgment facility.</t>
  </si>
  <si>
    <t>SOR 2024 item No1602 (b)</t>
  </si>
  <si>
    <t>Supply of Communication unit for receiving unit for receiving Signal &amp; Track circuit information from Data logger along with inbuilt modem to communicate with Gate unit.</t>
  </si>
  <si>
    <t>SOR 2024 item No1602 (c)</t>
  </si>
  <si>
    <t>CHAPTER 17 - STATIONARY AND MISCELLANEOUS ITEMS</t>
  </si>
  <si>
    <t>Supply of piezo buzzers working on 24 V DC reputed make.</t>
  </si>
  <si>
    <t>SOR 2024 item No 1701</t>
  </si>
  <si>
    <t>Supply of PVC Pipe 110mm dia, 6m length including joints.</t>
  </si>
  <si>
    <t>SOR 2024 item No 1702</t>
  </si>
  <si>
    <t>Supply of PVC Conduit pipe 3m length, 25mm dia with required number of bends.</t>
  </si>
  <si>
    <t>SOR 2024 item No 1703</t>
  </si>
  <si>
    <t>Supply of Vulco Tape of size 45mm width x 1.5mm thickness x 10m length. It shall be self-bonding type anti corrosive, heat resistant and water proof.</t>
  </si>
  <si>
    <t>SOR 2024 item No1704</t>
  </si>
  <si>
    <t>Supply of Lugs and Eyelets:</t>
  </si>
  <si>
    <t>SOR 2024 item No1705</t>
  </si>
  <si>
    <t>Aluminium lugs 25 sq.mm of reputed make.</t>
  </si>
  <si>
    <t>SOR 2024 item No1705(a)</t>
  </si>
  <si>
    <t>Copper lugs 10sq.mm of reputed make.</t>
  </si>
  <si>
    <t>SOR 2024 item No1705 (b)</t>
  </si>
  <si>
    <t>Copper eyelets to suit 16/0.2 wire Dowell's or similar make.</t>
  </si>
  <si>
    <t>SOR 2024 item No1705 (c)</t>
  </si>
  <si>
    <t>Copper eyelets to suit 10.sqmm wire Dowell's or similar make.</t>
  </si>
  <si>
    <t>SOR 2024 item No1705 (d)</t>
  </si>
  <si>
    <t xml:space="preserve">Supply  of  Corium  Z  105  Battery  cleaner  and  terminal conditioner of 500ml tin can.</t>
  </si>
  <si>
    <t>SOR 2024 item No1705 1706</t>
  </si>
  <si>
    <t>Supply of LED holders with LEDs of size 5 mm with 0.5 Watt resistance. To be supplied as per requirement of site in-charge.</t>
  </si>
  <si>
    <t>SOR 2024 item No1707</t>
  </si>
  <si>
    <t>Supply of Solid State Buzzers with different frequencies in metallic / plastic casing working on 12V - 24V - 60V.</t>
  </si>
  <si>
    <t>SOR 2024 item No 1708</t>
  </si>
  <si>
    <t>Supply of 2N/2R Micro switch of L&amp;T or Siemens make.</t>
  </si>
  <si>
    <t>SOR 2024 item No 1709</t>
  </si>
  <si>
    <t>Supply of 6 digit 24V non resettable impulse counter.</t>
  </si>
  <si>
    <t>SOR 2024 item No 1710</t>
  </si>
  <si>
    <t>Supply of Silane Siloxane Aliphatic Urethane Resin Blend Solvent based high technology membrane radiant heat reflecting insulating thermal barrier coating as per RDSO letter No.STS/E/Apparatus Case (Fabricated) Vol.II dated 06/06/2012.</t>
  </si>
  <si>
    <t>Litre</t>
  </si>
  <si>
    <t>SOR 2024 item No 1711</t>
  </si>
  <si>
    <r>
      <t xml:space="preserve">Supply of </t>
    </r>
    <r>
      <rPr>
        <rFont val="Arial"/>
        <b val="1"/>
        <sz val="10"/>
        <scheme val="none"/>
      </rPr>
      <t xml:space="preserve">Universal Locks </t>
    </r>
    <r>
      <rPr>
        <rFont val="Arial"/>
        <sz val="10"/>
        <scheme val="none"/>
      </rPr>
      <t>with one steel key for every ten locks or part there of (For example, if locks ordered is 10, 1 key is to be supplied and if locks ordered is 20, 2 keys to be supplied. However, 2 keys to be supplied if locks ordered is between 11 and 19).</t>
    </r>
  </si>
  <si>
    <t>SOR 2024 item No 1712</t>
  </si>
  <si>
    <t xml:space="preserve">Supply of the following resistors / condensers / diodes.
a)  50V, 470µF electrolytic capacitor – 20 Nos.
b)  50V, 1000µF electrolytic capacitor – 20 Nos.
c)  50V, 2200µF electrolytic capacitor – 20 Nos.
d)  100Ω, 10W wire wound resistance – 20 Nos.
e)  BY127 diode – 10 Nos.
f)   PVC Insulation tapes of 25m length – 25 Nos.</t>
  </si>
  <si>
    <t>SOR 2024 item No 1713</t>
  </si>
  <si>
    <t>Supply of 50V, 10000µF electrolytic condenser of reputed brands like Philips / Keltron or similar</t>
  </si>
  <si>
    <t>SOR 2024 item No 1714</t>
  </si>
  <si>
    <t>Supply of Electric Track Drilling machine shall be suitable for operating on 110V, 50Hz AC / DC fully insulated and no-load RPM shall be 1900 / 1000 and the power input is 550W. Machine with suitable inter changeable track mounting stand and drilling to be designed with adjustable facility and along with a set of 20 no’s of 7.2 mm dia Bosch MSS drill bit, Drill check dia. 13 mm and drilling dia in steel 8 mm/13 mm along with packing accessories.</t>
  </si>
  <si>
    <t>SOR 2024 item No 1715</t>
  </si>
  <si>
    <t>Supply of following items for Station:</t>
  </si>
  <si>
    <t>SOR 2024 item No 1716</t>
  </si>
  <si>
    <t>Supply of Feather lite table of Model No. V-MT 1890 &amp; V- 2D+1F or similar</t>
  </si>
  <si>
    <t>SOR 2024 item No 1716(a)</t>
  </si>
  <si>
    <t>Supply of Godrej CH7 model or similar</t>
  </si>
  <si>
    <t>SOR 2024 item No 1716(b)</t>
  </si>
  <si>
    <t>Supply of Godrej PCH5d13R model or similar</t>
  </si>
  <si>
    <t>SOR 2024 item No 1716(c)</t>
  </si>
  <si>
    <t>Supply of Godrej PCH 5002T model or similar</t>
  </si>
  <si>
    <t>SOR 2024 item No 1716 (d)</t>
  </si>
  <si>
    <t>Supply of Godrej shelf storage of 916 x 486 x 1981 mm or similar</t>
  </si>
  <si>
    <t>SOR 2024 item No 1716(e)</t>
  </si>
  <si>
    <t>Supply of steel stools 18" height neatly finished and painted.</t>
  </si>
  <si>
    <t>SOR 2024 item No 1716(f)</t>
  </si>
  <si>
    <t>Supply of Fibre table of 4 Feet x 2 Feet one number and fibre chairs two numbers. They should be of standard make and quality like Neelkamal or Similar.</t>
  </si>
  <si>
    <t>SOR 2024 item No 1716 (g)</t>
  </si>
  <si>
    <t>Supply of rotary barrel hand pump of capacity 5 litres / 20 turns with telescopic steel tube suitable for taking HSD oil from 210 litres barrel.</t>
  </si>
  <si>
    <t>SOR 2024 item No 1716 (h)</t>
  </si>
  <si>
    <t>Supply of HDPE jerry can of 20 litres capacity. The jerry can shall be supplied at site as per the requirement of site in- charge.</t>
  </si>
  <si>
    <t>SOR 2024 item No 1716 (i)</t>
  </si>
  <si>
    <t>Supply of Godrej Navtal Locks with diameter of 50mm with 3 keys.</t>
  </si>
  <si>
    <t>SOR 2024 item No 1716 (j)</t>
  </si>
  <si>
    <t>Supply of key chains with ring and plastic name plate of dimensions 60mm x 20mm x 3mm. The plastic name plate shall be engraved with station name on one side and key particulars on the other as specified by the site in-charge.</t>
  </si>
  <si>
    <t>SOR 2024 item No 1716 (k)</t>
  </si>
  <si>
    <t>(m)</t>
  </si>
  <si>
    <t>Supply of Aluminium Step ladder of 5 feet height of Bathla make or similar.</t>
  </si>
  <si>
    <t>Sqm</t>
  </si>
  <si>
    <t>SOR 2024 item No 1716 (m)</t>
  </si>
  <si>
    <t>(n)</t>
  </si>
  <si>
    <t>Supply of Electrostatic Rubber Matting of thickness 2mm as per IS-15652/2006 with suitable adhesive material.</t>
  </si>
  <si>
    <t>SOR 2024 item No 1716 (n)</t>
  </si>
  <si>
    <t>(o)</t>
  </si>
  <si>
    <t>Supply of Alkosign felt notice board of size 4' x 3' with glossy fibre doors having locking arrangements.</t>
  </si>
  <si>
    <t>SOR 2024 item No 1716 (o)</t>
  </si>
  <si>
    <t>(p)</t>
  </si>
  <si>
    <t>Supply of printed bilingual fibre boards of size 4.5" X 12". The matter shall be printed as per the instructions of engineer in charge.</t>
  </si>
  <si>
    <t>SOR 2024 item No 1716 (p)</t>
  </si>
  <si>
    <t>(q)</t>
  </si>
  <si>
    <t>Supply of Printer for maintenance terminal at station - HP LaserJet 1020 Plus or similar.</t>
  </si>
  <si>
    <t>SOR 2024 item No 1716(q)</t>
  </si>
  <si>
    <t>(r)</t>
  </si>
  <si>
    <t>Supply of Double key lock for relay room.</t>
  </si>
  <si>
    <t>SOR 2024 item No 1716(r)</t>
  </si>
  <si>
    <t xml:space="preserve">Supply of  transparent plastic  cover of  superior quality  of Various Size. The sheet shall have provision for hanging.</t>
  </si>
  <si>
    <t>SOR 2024 item No 1717</t>
  </si>
  <si>
    <t>A2 size circuit diagram sheets.</t>
  </si>
  <si>
    <t>SOR 2024 item No 1717 (a)</t>
  </si>
  <si>
    <t>A size circuit diagram sheets.</t>
  </si>
  <si>
    <t>SOR 2024 item No 1717 (b)</t>
  </si>
  <si>
    <t>Printing, binding and supply of the following Registers with latest proforma as given by engineer in-charge. Each register shall be of 100 pages.
1) Station Asset Register
2) Deficiencies
3) Officer Inspection Book
4) Station Message Book
5) Infringement Measurement Book for Signaling Assets6) Route Cancellation Register
7) Relay Room Key Register
8) Selection Circuit Testing Register
9) Cable Testing Register
10) Signal Maintenance Record
11) Battery Maintenance Register
12) Mechanical Signaling Register
13) Axle Counter Maintenance Register
14) SSDAC / HASSDAC/ MSDAC Maintenance Register
15) Block Instrument Maintenance Register
16) Track Circuit Maintenance Register
17) Mechanical Lifting Barriers Maintenance Register
18) Electrical Lifting Barriers Maintenance Register
19) Electrically Operated Point Maintenance Register
20) Electronic Interlocking Maintenance Register
21) Location Box Maintenance Register
22) Earth Testing Record Register
23) Joint Inspection of Points and Crossings Register
24) Joint Inspection of Track Circuits
25) Joint Inspection of Track Circuits with OHE
26) Diesel Generator / Solar Panel Register
27) UFSBI maintenance register</t>
  </si>
  <si>
    <t>Per Regr.</t>
  </si>
  <si>
    <t>SOR 2024 item N0 1718</t>
  </si>
  <si>
    <r>
      <t xml:space="preserve">Supply of </t>
    </r>
    <r>
      <rPr>
        <rFont val="Arial"/>
        <b val="1"/>
        <sz val="10"/>
        <scheme val="none"/>
      </rPr>
      <t xml:space="preserve">Various Tools </t>
    </r>
    <r>
      <rPr>
        <rFont val="Arial"/>
        <sz val="10"/>
        <scheme val="none"/>
      </rPr>
      <t>for S&amp;T installation</t>
    </r>
  </si>
  <si>
    <t>SOR 2024 item N0 1719</t>
  </si>
  <si>
    <t xml:space="preserve">Supply of Tool Kit as under –
1.  Standard Tool Bag (CANAVAS) – 1 No.
2.  Soldering Iron (Make Soldern/Philips)-60W/230V –
1 No.
3.  Digital Multimeter – True RMS Meter (Philips / Fluke / Rishabh Rish 18S) Upto 20MΩ, 10A, 5kHz, 2mV to 750V AC, 200V DC – 1 No.
4.  Screw Driver set of 6 pieces (Taparia Make) – 1 No.
5.  Cutting plier 6” (Taparia Make) – 1 No.
6.  Side Cutter (Wire cutter) 6” (Taparia Make) – 1 No.
7.  Nose plier 6” (Taparia Make) – 1 No.
8.  Wire stripper (Taparia Make) – 1 No.
9.  Fiber tape 3m length – 1 No.
10. Scale 6” (for measuring tongue rail opening) – 1 No. (Transparent Plastic Material)
11. Pop spanner wrench 6mm to 22mm (Auto adjustable spanner) of Taparia make – 1 No.
12. Pop spanner wrench 10 mm to 30 mm (Auto adjustable spanner) of Taparia make – 1 No.
13. Pop spanner wrench 15mm to 41mm (Auto adjustable spanner) of Taparia make – 1 No.  14. Hacksaw frame with blade 6", 4” width (for cutting cable) – 1 No.
15. Hammer 3.0 lb – 1 No.
16. Chisel 6” (for cutting bond wire) – 1 No.
17. Poker 8” (for removing bond wire, bond pin) – 1 No.
18. Heavy duty Screw Driver 12” with plastic handle (Taparia Make) – 1 No.
19. Test piece (Point wedge piece) – 1 No.
20. Multi colour rechargeable LED torch light – 1 No. 21.Universal key – 1 No.
22. Box spanner for 6 way terminals (13mm) – 1 No.
23. Nylon brush (for cleaning purpose) – 1 No.
24. Sealing plier – 1 No.
25. Crimping Tool (1.5 to 16sq.mm) – 1 No.
26. Feeler gauge – 1 Set
27. TSR Meter (for testing condition of track circuit) – 1No.
28. Wooden Block (60mm x 60mm) – 1 No.
29. Track shorting clips – 1 No.
30. Tester – 1 No.
31. Flat file 12” length x 1” width – 1 No.
32. Clip on meter - 1 No.
33. Digital Earth meter - 1 No.
34. Meggar - 1 No.</t>
  </si>
  <si>
    <t>SOR 2024 item N0 1719 (a)</t>
  </si>
  <si>
    <t xml:space="preserve">Supply of true RMS 5 digit 60000 counts digital multi meter with the following specification.
1.  Frequency range - 6Hz to 1MHz mV AC.
2.  Bandwidth - 10kHz.
3.  AC voltage range - 1mV - 1000V, ± 0.5%.
4.  DC voltage range - 1µV - 1000V, ±0.05%.
5.  AC current range - 1µA - 10A, ± 0.5%.
6.  DC current range - 1nA - 10A, ± 0.2%.
7.  Capacitance range - 1pF - 10000µF.
8.  Data logging - 32000 Readings.
9.  Dual display – Available.
10.Other features - Shall have temperature measurement, diode, continuity, duty cycle measurement, self battery voltage measurement, low pass filter, Min, Max and Average value recording, back light, bar graph, protective rubber holster.</t>
  </si>
  <si>
    <t>SOR 2024 item N0 1719 (b)</t>
  </si>
  <si>
    <t xml:space="preserve">Supply of Clip On Meter of Model Fluke 317 or similar with the following specification.
1.  True RMS responding.
2.  Voltage - DC 600V, AC 600V, DC accuracy - ±1% + 4 digit.
3.  AC accuracy - ±1.5% + 5 digit
4.  Current - DC 600A, AC 600A, AC accuracy: - ±1.5% + 5 counts, AC / DC current measurement.
5.  Unique 40A low frequency measurements capability with 0.01A resolution.
6.  Special filter circuit to enable accurate measurement of PWM output.
7.  Additional measurement of resistance
8.  Continuity check feature
9.  Data hold features with large, easy to read backlight display.
10. Calibration certificate
11. 1 year warranty</t>
  </si>
  <si>
    <t xml:space="preserve">SOR 2024 item N0 1719  (c)</t>
  </si>
  <si>
    <t>Supply of Surveyor's Wheel (rodometer).</t>
  </si>
  <si>
    <t xml:space="preserve">SOR 2024 item N0 1719  (d)</t>
  </si>
  <si>
    <t>Supply of pH / TDS meter of reputed make like Wasser Professional or similar. TDS meter shall have professional grade titanium electrode with auto temperature correction for higher accuracy.</t>
  </si>
  <si>
    <t xml:space="preserve">SOR 2024 item N0 1719  (e)</t>
  </si>
  <si>
    <t>Supply of Distilled water plant/Demineralised plant of 10 Litre/Hr , make Laptech/shivam or similar.</t>
  </si>
  <si>
    <t xml:space="preserve">SOR 2024 item N0 1719  (f)</t>
  </si>
  <si>
    <t>Supply of Analog Insulation Tester of model No. Meco MC 941 or similar- 500V/1000 M Ohms</t>
  </si>
  <si>
    <t xml:space="preserve">SOR 2024 item N0 1719  (g)</t>
  </si>
  <si>
    <t>Supply of Analog Earth Tester of WACO make or similar along with test kit and leather case or similar</t>
  </si>
  <si>
    <t xml:space="preserve">SOR 2024 item N0 1719  (h)</t>
  </si>
  <si>
    <t>Supply of Digital Transmission Measuring Set as per specification IRS : TC 43-87 APLAB or similar.</t>
  </si>
  <si>
    <t>SOR 2024 item N0 1719 (i)</t>
  </si>
  <si>
    <r>
      <t xml:space="preserve">Supply of </t>
    </r>
    <r>
      <rPr>
        <rFont val="Arial"/>
        <b val="1"/>
        <sz val="10"/>
        <scheme val="none"/>
      </rPr>
      <t xml:space="preserve">Double Walled Corrugated (DWC) HDPE duct </t>
    </r>
    <r>
      <rPr>
        <rFont val="Arial"/>
        <sz val="10"/>
        <scheme val="none"/>
      </rPr>
      <t>of various diameter of length of 6m as per Specn RDSO/ SPN/204/2011 Ver. 1.1 Amd. 1 or latest. The duct shall be supplied along with push-fit type O-ring coupler or end cap.</t>
    </r>
  </si>
  <si>
    <t>SOR 2024 item N0 1720</t>
  </si>
  <si>
    <t>DWC of outer Diameter 63mm and inner Diameter 50mm</t>
  </si>
  <si>
    <t>SOR 2024 item N0 1720 (a)</t>
  </si>
  <si>
    <t>DWC of outer Diameter 180mm and inner Diameter 153mm</t>
  </si>
  <si>
    <t xml:space="preserve">SOR 2024 item No.1720  (b)</t>
  </si>
  <si>
    <t>DWC of outer Diameter 250mm and inner Diameter 217mm</t>
  </si>
  <si>
    <t>SOR 2024 item N0 1720(c)</t>
  </si>
  <si>
    <t>DWC of outer Diameter 315mm and inner Diameter 271mm</t>
  </si>
  <si>
    <t>SOR 2024 item N0 1720(d)</t>
  </si>
  <si>
    <t>Supply of Double Walled Corrugated (DWC) bend to suit DWC HDPE Duct</t>
  </si>
  <si>
    <t>SOR 2024 item N0 1721</t>
  </si>
  <si>
    <t>Bend to suit DWC of 63mm outer diameter, 50mm inner dia.</t>
  </si>
  <si>
    <t>SOR 2024 item N0 1721 (a)</t>
  </si>
  <si>
    <t>Bend to suit DWC of 120mm outer diameter, 103mm inner dia.</t>
  </si>
  <si>
    <t>SOR 2024 item N0 1721 (b)</t>
  </si>
  <si>
    <r>
      <t xml:space="preserve">Supply of </t>
    </r>
    <r>
      <rPr>
        <rFont val="Arial"/>
        <b val="1"/>
        <sz val="10"/>
        <scheme val="none"/>
      </rPr>
      <t xml:space="preserve">HDPE pipe </t>
    </r>
    <r>
      <rPr>
        <rFont val="Arial"/>
        <sz val="10"/>
        <scheme val="none"/>
      </rPr>
      <t>of various diameter with material grade PE 100 as per Specn IS Specification 4984: 1995 up to latest amendment.</t>
    </r>
  </si>
  <si>
    <t>SOR 2024 item N0 1722</t>
  </si>
  <si>
    <t>HDPE pipe of 110mm Dia.</t>
  </si>
  <si>
    <t>SOR 2024 item N0 1722(a)</t>
  </si>
  <si>
    <t>HDPE pipe of 125mm Dia.</t>
  </si>
  <si>
    <t>SOR 2024 item N0 1722(b)</t>
  </si>
  <si>
    <t>HDPE pipe of 140mm Dia.</t>
  </si>
  <si>
    <t>SOR 2024 item N0 1722 (c)</t>
  </si>
  <si>
    <t>HDPE pipe of 160mm Dia.</t>
  </si>
  <si>
    <t>SOR 2024 item N0 1722(d)</t>
  </si>
  <si>
    <t>HDPE pipe of 180mm Dia.</t>
  </si>
  <si>
    <t>SOR 2024 item N0 1722 (e)</t>
  </si>
  <si>
    <t>Supply of bend of required angle for HDPE pipe.</t>
  </si>
  <si>
    <t>SOR 2024 item N0 1723</t>
  </si>
  <si>
    <t>Bend for HDPE pipe of 110mm Dia.</t>
  </si>
  <si>
    <t>SOR 2024 item N0 1723 (a)</t>
  </si>
  <si>
    <t>Bend for HDPE pipe of 125mm Dia.</t>
  </si>
  <si>
    <t>SOR 2024 item N0 1723(b)</t>
  </si>
  <si>
    <t>Bend for HDPE pipe of 140mm Dia.</t>
  </si>
  <si>
    <t>SOR 2024 item N0 1723( (c)</t>
  </si>
  <si>
    <t>Bend for HDPE pipe of 160mm Dia.</t>
  </si>
  <si>
    <t>SOR 2024 item N0 1723( (d)</t>
  </si>
  <si>
    <t>Bend for HDPE pipe of 180mm Dia.</t>
  </si>
  <si>
    <t>SOR 2024 item N0 1723((e)</t>
  </si>
  <si>
    <r>
      <t xml:space="preserve">Supply of </t>
    </r>
    <r>
      <rPr>
        <rFont val="Arial"/>
        <b val="1"/>
        <sz val="10"/>
        <scheme val="none"/>
      </rPr>
      <t xml:space="preserve">Cable Route Locator </t>
    </r>
    <r>
      <rPr>
        <rFont val="Arial"/>
        <sz val="10"/>
        <scheme val="none"/>
      </rPr>
      <t>set consisting of receiver with active line trace frequency, passive line trace and depth measurement on active line tracing with 5 watts cable line transmitter with frequency indicator, power indicator, frequency mode sheet, power 'ON' &amp; 'OFF' indicator mode toggle induction mode. High voltage warning and suitable rechargeable cells for both transmitter and receiver with suitable charger with carrying case. Make RIDGID Seek Tech SR-20/ Stanlay ST-Loc 10 or equivalent or better as approved by Engineer In charge.</t>
    </r>
  </si>
  <si>
    <t>SOR 2024 item N0 1724</t>
  </si>
  <si>
    <r>
      <t xml:space="preserve">Supply of portable </t>
    </r>
    <r>
      <rPr>
        <rFont val="Arial"/>
        <b val="1"/>
        <sz val="10"/>
        <scheme val="none"/>
      </rPr>
      <t xml:space="preserve">Cable Fault Locator </t>
    </r>
    <r>
      <rPr>
        <rFont val="Arial"/>
        <sz val="10"/>
        <scheme val="none"/>
      </rPr>
      <t>(Metallic Time Domain Reflectometer) suitable in RE/Non-RE Railway territory with all accessories for locating faults such as loop and break in various twisted pair cables such as underground telecom quad cables, signalling cables, telephone jelly filled cables, LAN etc. Instrument to be supplied with protective nylon carrying bag and Operator's manual.</t>
    </r>
  </si>
  <si>
    <t>SOR 2024 item N0 1725</t>
  </si>
  <si>
    <t>CHAPTER 18 - UFSBI RELATED ITEMS</t>
  </si>
  <si>
    <t>Supply of Spares and accessories for UFSBI</t>
  </si>
  <si>
    <t>SOR 2024 item N0 1801</t>
  </si>
  <si>
    <t>Input card compatible with existing UFSBI system</t>
  </si>
  <si>
    <t>SOR 2024 item N0 1801 (a)</t>
  </si>
  <si>
    <t>Output card compatible with existing UFSBI system</t>
  </si>
  <si>
    <t>SOR 2024 item N0 1801 (b)</t>
  </si>
  <si>
    <t>CPU card compatible with existing UFSBI system</t>
  </si>
  <si>
    <t>SOR 2024 item N0 1801 (c)</t>
  </si>
  <si>
    <t>Control &amp; Communication card compatible with existing UFSBI system</t>
  </si>
  <si>
    <t>SOR 2024 item N0 1801 (d)</t>
  </si>
  <si>
    <t>MODEM compatible with existing UFSBI system</t>
  </si>
  <si>
    <t>SOR 2024 item N0 1801 (e)</t>
  </si>
  <si>
    <t>DC-DC Converter (Hot standby Type)</t>
  </si>
  <si>
    <t>SOR 2024 item N0 1801 (f)</t>
  </si>
  <si>
    <t>SAM unit</t>
  </si>
  <si>
    <t>SOR 2024 item N0 1801 (g)</t>
  </si>
  <si>
    <t>Mother board compatible with existing UFSBI system fitted in 6-U Rack</t>
  </si>
  <si>
    <t>SOR 2024 item N0 1801 (h)</t>
  </si>
  <si>
    <t>SOR 2024 item N0 1801 (i)</t>
  </si>
  <si>
    <t>Flat cable set</t>
  </si>
  <si>
    <t>SOR 2024 item N0 1801 (j)</t>
  </si>
  <si>
    <t>Supply of MODEM compatible with existing UFSBI system to work on backup media (either VF-channel on OFC P/Mux or 2 MBPS E1 channel from STM or direct dark single mode 1- Core, optic fiber cable up to 30 Km distance). The required type must be mentioned while ordering.</t>
  </si>
  <si>
    <t>SOR 2024 item N0 1801 (k)</t>
  </si>
  <si>
    <t>(l)</t>
  </si>
  <si>
    <t>Supply of Industrial grade E1 Modem (with 1+1 hot standby E1 uplink) for UFSBI with 6 no. of RS232 &amp; 8 nos. E&amp;M VF channel (individually configurable to 2/4 wire by simple hardware switch) suitable for connecting UFSBI Block along with UP &amp; DN Line HASSDAC and 100% spare channels. Working on dual DC 24/48 Volts supply in hot-standby mode.</t>
  </si>
  <si>
    <t>SOR 2024 item N0 1801 (l)</t>
  </si>
  <si>
    <t>UFSBI Block Telephone (Complete with PTT Handset)</t>
  </si>
  <si>
    <t>SOR 2024 item N0 1801(m)</t>
  </si>
  <si>
    <t>Automatic media changeover of Modems working on redundant channels for data transmission on OFC/Quad compatible with existing UFSBI</t>
  </si>
  <si>
    <t>(SOR 2024 item N0 1801 n)</t>
  </si>
  <si>
    <t>Supply of Key switch with 1 NO + 1 NC or 2 NO config of ESBEE make, suitable to work with Block Panel of Deltron or similar make as per RDSO Specn No. IRS-S-105/2012 Ver.0 or Latest.</t>
  </si>
  <si>
    <t>SOR 2024 item N0 1801(o)</t>
  </si>
  <si>
    <t>CHAPTER 25 - CABLE LAYING</t>
  </si>
  <si>
    <t>Location survey for cable route and preparation of tentative cable route plan as per the instructions of Engineer in- Charge.</t>
  </si>
  <si>
    <t>RKM</t>
  </si>
  <si>
    <t>SOR 2024 item N0 2501</t>
  </si>
  <si>
    <r>
      <rPr>
        <rFont val="Arial"/>
        <b val="1"/>
        <sz val="10"/>
        <scheme val="none"/>
      </rPr>
      <t>Excavation of trench</t>
    </r>
    <r>
      <rPr>
        <rFont val="Arial"/>
        <sz val="10"/>
        <scheme val="none"/>
      </rPr>
      <t xml:space="preserve">, including marking of cable alignment, clearing of jungle, roots of trees, bushes, trial pits if required, refilling with excavated soil, ramming and consolidation after laying of cables complete to the finished item of work </t>
    </r>
    <r>
      <rPr>
        <rFont val="Arial"/>
        <b val="1"/>
        <sz val="10"/>
        <scheme val="none"/>
      </rPr>
      <t xml:space="preserve">in all type of Soil including soft rocky area </t>
    </r>
    <r>
      <rPr>
        <rFont val="Arial"/>
        <sz val="10"/>
        <scheme val="none"/>
      </rPr>
      <t>as per RDSO Sketch No. SDO/CABLE LAYING/003, as directed by engineer in- charge.</t>
    </r>
  </si>
  <si>
    <t xml:space="preserve"> SOR 2024 Item No.2502</t>
  </si>
  <si>
    <t>Depth of 1200mm and width of 300mm</t>
  </si>
  <si>
    <t xml:space="preserve"> SOR 2024 Item No.2502 (a)</t>
  </si>
  <si>
    <t>Depth of 1000mm and width of 300mm</t>
  </si>
  <si>
    <t xml:space="preserve"> SOR 2024 Item No.2502 (b)</t>
  </si>
  <si>
    <t>Depth of 1000mm and width of 600mm</t>
  </si>
  <si>
    <t xml:space="preserve"> SOR 2024 Item No.2502 (c)</t>
  </si>
  <si>
    <t>Depth of 600mm and width of 600mm</t>
  </si>
  <si>
    <t xml:space="preserve"> SOR 2024 Item No.2502 (d)</t>
  </si>
  <si>
    <r>
      <rPr>
        <rFont val="Arial"/>
        <b val="1"/>
        <sz val="10"/>
        <scheme val="none"/>
      </rPr>
      <t>Cutting of Rock</t>
    </r>
    <r>
      <rPr>
        <rFont val="Arial"/>
        <sz val="10"/>
        <scheme val="none"/>
      </rPr>
      <t xml:space="preserve">, concreting after cable laying with 1 cement: 2 sand: 4 graded stone aggregate 20mm nominal size and curing of concrete to the required number of days, except in bridges, culverts, level crossings, track crossings, cable pits and rocky soil including marking of cable alignment, clearing of debris etc., complete to the finished item of work as  directed  by engineer in-charge. All the material is to be arranged by contractor</t>
    </r>
  </si>
  <si>
    <t xml:space="preserve"> SOR 2024 Item No 2503</t>
  </si>
  <si>
    <t>Depth of 300mm and width of 300mm where rock is visible from surface, concreting to ground level as per Drg No. SK/CN/NEW/1.</t>
  </si>
  <si>
    <t>RMT</t>
  </si>
  <si>
    <t>SOR 2024 Item No 2503(a)</t>
  </si>
  <si>
    <t>Cutting of Rock, concreting after cable laying -Depth of 200 mm and width of 200 mm where rock is visible from surface to a depth more than 300 mm up to 550mm, excavation of trench with width 300mm above rock, concreting 200mm x 200mm after laying of cable as per Drg No. SK/CN/NEW/3.</t>
  </si>
  <si>
    <t>SOR 2024 Item No 2503(b)</t>
  </si>
  <si>
    <t>Cutting of Rock, concreting after cable laying-When rock is visible for more than 0.5 Meter and up to 0.8 Meter from ground level, excavating the trench minimum 0.5 Meter and maximum 0.8 Meter, laying cable and concreting 200mmx200mm over the rocky surface after levelling with soil/ sand. (Chase cutting not required).</t>
  </si>
  <si>
    <t>SOR 2024 Item No 2504</t>
  </si>
  <si>
    <t>Digging of cable trench to a depth of not less than 30 cm in rocky terrain/difficult terrain Concreting the trench with 150mm thick concrete with 1 cement: 2 sand: 4 graded stone aggregate 20mm nominal size. All the material is to be arranged by contractor.</t>
  </si>
  <si>
    <t>SOR 2024 Item No 2505</t>
  </si>
  <si>
    <r>
      <t xml:space="preserve">Track crossing/Road Crossing by </t>
    </r>
    <r>
      <rPr>
        <rFont val="Arial"/>
        <b val="1"/>
        <sz val="10"/>
        <scheme val="none"/>
      </rPr>
      <t xml:space="preserve">Horizontal Boring </t>
    </r>
    <r>
      <rPr>
        <rFont val="Arial"/>
        <sz val="10"/>
        <scheme val="none"/>
      </rPr>
      <t>method at culverts/track/pucca road as per SCR Drg No. 5770. This also includes insertion of HDPE pipe of 110 mm/G.I Pipe of 100 mm in the bore drilled (HDPE pipe/ GI pipe is to be supplied by Railway).</t>
    </r>
  </si>
  <si>
    <t>SOR 2024 Item No 2506</t>
  </si>
  <si>
    <r>
      <t xml:space="preserve">Trenching under Rails for crossing the track  </t>
    </r>
    <r>
      <rPr>
        <rFont val="Arial"/>
        <b val="1"/>
        <sz val="10"/>
        <scheme val="none"/>
      </rPr>
      <t xml:space="preserve">(Track Crossing) </t>
    </r>
    <r>
      <rPr>
        <rFont val="Arial"/>
        <sz val="10"/>
        <scheme val="none"/>
      </rPr>
      <t>and refilling of trenches as per SCR Drg. No. 5768. The track crossing shall be done at right angles. The depth of cable trench shall be 1.2 meter below the rail flange. The depth between top cable and the level of rail flange of the rail shall never be less than 1.0 meter. The ballast shall be stacked separately while making the trench and the earth soil shall be stacked separately. While re-filling the trench, the earth soil has to be filled first to the ground level and the ballast has to be properly put in the track. This work has to be done under supervision of supervisor of S&amp;T and supervisor of P.Way.</t>
    </r>
  </si>
  <si>
    <t>SOR 2024 Item No 2507</t>
  </si>
  <si>
    <t>Breaking of metal/ tar road and refilling after laying the cables as per Drg No. SDO/CABLE LAYING/010. The surface of the road shall be concreted to match with the old surface.</t>
  </si>
  <si>
    <t>SOR 2024 Item No 2508</t>
  </si>
  <si>
    <t>Cable laying and meggering.</t>
  </si>
  <si>
    <t>SOR 2024 Item No 2509</t>
  </si>
  <si>
    <t>Laying different type of cables in the trench. Termination covered elsewhere.</t>
  </si>
  <si>
    <t>SOR 2024 Item No 2509 (a)</t>
  </si>
  <si>
    <t>Meggering of cable laid, before and after laying (before closing of trench).</t>
  </si>
  <si>
    <t>Per Cable</t>
  </si>
  <si>
    <t>SOR 2024 Item No 2509 (b)</t>
  </si>
  <si>
    <t>Meggering of cable already terminated.</t>
  </si>
  <si>
    <t>SOR 2024 Item No 2509 (c)</t>
  </si>
  <si>
    <t>Supply and placing of one row of fully burnt country bricks (B Class of size 220 mmX100 mmX60 mm approx.) horizontally breadth wise above the cables in 0.3m width trench without gap. Size of brick can vary subject to approval of engineer in charge.</t>
  </si>
  <si>
    <t>SOR 2024 Item No 2509 2510</t>
  </si>
  <si>
    <t>Supply and placing of one layer of fully burnt country bricks ('B' Class of size approximately 220mm X 100mm X 60mm) length wise vertically in the trench for separation of power cable/Telecom cable &amp; Signalling cable. Size of brick can vary subject to approval of engineer in charge.</t>
  </si>
  <si>
    <t>SOR 2024 Item No 2511</t>
  </si>
  <si>
    <t xml:space="preserve">Supply   and   Filling   sand   in   trench/under   floors/ OFC chambers, complete as per instruction of engineer in charge.</t>
  </si>
  <si>
    <t>cum</t>
  </si>
  <si>
    <t>SOR 2024 Item No 2512</t>
  </si>
  <si>
    <t>Excavation of coil pit up to a depth of 1 meter and dia of 1.5 meter for providing coil at location box, point, signals etc., This includes back filling and ramming of trench / pit after laying the cable and consolidation of soil.</t>
  </si>
  <si>
    <t>SOR 2024 Item No 2513</t>
  </si>
  <si>
    <t>Cable Duct behind Relay Room/Goomties of 1.8 m dia. and 1.2 meter depth consisting of brick work of 254 mm thickness of proportion 1:6 with sand filling after coiling of cables. The top of sand filling covered with concreting of size 1.3 meter dia. and 200 mm depth of proportion 1:1.5:3. Outside of the duct should be plastered with cement mortar in a ration of 1: 6 to achieve smooth finishing. All materials including cement, chips of size 20 mm and second class bricks etc. to be supplied by the contractor.</t>
  </si>
  <si>
    <t>Each</t>
  </si>
  <si>
    <t>SOR 2024 Item No 2514</t>
  </si>
  <si>
    <t>Breaking of Hard rock by Hydraulic excavator/manual means over areas (exceeding 30 cm in depth, 1.5 m in width as well as 10 sqm on plan) including getting out and disposal of excavated earth lead up to 50 m and lift up to 1.5 m, as directed by Engineer-in charge.</t>
  </si>
  <si>
    <t>Cum</t>
  </si>
  <si>
    <t>SOR 2024 Item No 2515</t>
  </si>
  <si>
    <t>Cable laying at culverts/bridges -Low flood level- to take the cables underground across the drain bed at a depth of 1.2 meter for crossing small culverts with low flood level. After making the trench, the cable trench shall be further dug at an interval of 4 meter to a depth of 0.5 meter and at such intervals concrete supports of 300mm X 500mm to a height of 0.7 meter shall be constructed using 1:3:6 concrete. The pipe shall pass through this concrete at proper height so that the pipe with cables inside it rests in the cable trench at 1.2 Mtr depth. The concrete supports so cast shall be cured for a period of 5 days before filling the trench. During the curing period of 5 days, the culvert portion of cable laying shall be protected by keeping a watchman day and night.</t>
  </si>
  <si>
    <t>SOR 2024 Item No 2516</t>
  </si>
  <si>
    <t>Trenching across the drain bed to a depth of 1.2 meter with 30 cm width in all types of soil, laying of DWC/GI/RCC pipes supplied by Railways, refilling with excavated soil, ramming and consolidation after 5 days.</t>
  </si>
  <si>
    <t>SOR 2024 Item No 2516 (a)</t>
  </si>
  <si>
    <t>Digging of pit of size of 300mmX500mmX500mm in already dug cable trench of 1.2 meter depth and casting of RCC support of 300mmX500mmX700mm size over the DWC/HDPE/GI pipe supplied by Railways, carrying the cables using shutters with 1 cement: 3 sand: 6 graded stone aggregate 20mm nominal size including shuttering, centring and cost of cement, curing etc. Except the HDPE/ GI/DWC pipe and bends, all other material is to be arranged by the contractor.</t>
  </si>
  <si>
    <t>Per Support</t>
  </si>
  <si>
    <t>SOR 2024 Item No 2516 (b)</t>
  </si>
  <si>
    <t>Cable laying at culverts/bridges –High flood level : Excavation of cable trench of 300mm width and 800 mm depth in the ramp from the foot of the culvert on to the top of the culvert by storing the ballast and the excavated soil separately and laying of HDPE/DWC/GI pipe( to be supplied by Railways). The pipe is to be laid , the cables required are to be drawn using bends( to be supplied by Railways) as per the Drg No. SK.15/11. After drawing the cables the bends are to be concreted to a size of 300mmX 1000mmX1000mm using required shuttering with 1 cement: 3 sand: 6 graded stone aggregate 20mm nominal size and curing for required days. Except the HDPE /GI/DWC pipe and bends, all other material is to be arranged by the contractor.</t>
  </si>
  <si>
    <t>SOR 2024 Item No 2517</t>
  </si>
  <si>
    <t>Excavation of trench at the culvert from foot of the culvert to top of it in the ramp to a size of 300mm width, 800mm depth by storing the ballast and the excavated soil separately,</t>
  </si>
  <si>
    <t>laying of the HDPE/DWC/GI pipe using couplers and bends as per Drg No. SK.15/11, drawing of cables through the pipe and refilling of the trench duly putting back the removed ballast in its proper place and shape</t>
  </si>
  <si>
    <t>SOR 2024 Item No 2517 (a)</t>
  </si>
  <si>
    <t>Concreting of portion of the pipe at the bend near the culvert as per the Drg SK.15/11.</t>
  </si>
  <si>
    <t>Per Location</t>
  </si>
  <si>
    <t>SOR 2024 Item No 2517 (b)</t>
  </si>
  <si>
    <t>Supply and laying of split DWC pipe in already dug cable trenches as per Drg No. SK.9/11 .The unit of RMT means two split pipes of 1 Mtr each.</t>
  </si>
  <si>
    <t>SOR 2024 Item No 2518</t>
  </si>
  <si>
    <t>120/103 mm diameter</t>
  </si>
  <si>
    <t>SOR 2024 Item No 2518 (a)</t>
  </si>
  <si>
    <t>250/217 mm diameter</t>
  </si>
  <si>
    <t>SOR 2024 Item No 2518(b)</t>
  </si>
  <si>
    <t>Supply &amp; Laying of G.I Pipes with medium and threaded collar &amp; coupler, quality to Specn IS.1239 (part-I) 1990 and galvanised to Specn IS.4736-1986.</t>
  </si>
  <si>
    <t>SOR 2024 Item No 2519</t>
  </si>
  <si>
    <t>G.I Pipes of 50mm diameter</t>
  </si>
  <si>
    <t>SOR 2024 Item No 2519 (a)</t>
  </si>
  <si>
    <t>G.I Pipes of 100mm diameter</t>
  </si>
  <si>
    <t>SOR 2024 item No.2519(b)</t>
  </si>
  <si>
    <t>Providing and laying non-pressure NP2 class (light duty)
R.C.C. pipes with collars jointed with stiff mixture of cement mortar in the proportion of 1:2 (1 cement: 2 fine sand) including testing of joints etc. complete: 150 mm Dia.</t>
  </si>
  <si>
    <t>SOR 2024 item No 2520</t>
  </si>
  <si>
    <r>
      <t xml:space="preserve">Supply, transporting and installation of Concrete </t>
    </r>
    <r>
      <rPr>
        <rFont val="Arial"/>
        <b val="1"/>
        <sz val="10"/>
        <scheme val="none"/>
      </rPr>
      <t xml:space="preserve">(RCC) Route Indicators </t>
    </r>
    <r>
      <rPr>
        <rFont val="Arial"/>
        <sz val="10"/>
        <scheme val="none"/>
      </rPr>
      <t>at intervals of 50 meters as per instructions of engineer in charge as per Drg No. SK 12/10. They should be of standard RCC with letters "SCR S&amp;T cable" as per type of cable laid to drawing. In case of telecom quad cable joint locations it shall be painted with GREEN and ORANGE colour for normal indication of cable path.</t>
    </r>
  </si>
  <si>
    <t>SOR 2024 item No 2521</t>
  </si>
  <si>
    <t xml:space="preserve">Providing of channel ramps for drawing cables at bridge/ culvert entries duly providing GI bend/ flexible conduit 8 cm diameter and constructing channels from a depth of 0.8 meters to surface as per Drg No. 15-D7 of IRSEM. (Concreting to be done at the ratio of 1:4:8 - Cement, sand and fine metal). All required material to be  supplied by contractor.</t>
  </si>
  <si>
    <t>SOR 2024 item No 2522</t>
  </si>
  <si>
    <t xml:space="preserve">Provision     and    laying    cement    concrete    (including transportation of all the material).</t>
  </si>
  <si>
    <t>SOR 2024 item No 2523</t>
  </si>
  <si>
    <t>Providing and laying in position cement concrete of specified grade including the cost of centring and shuttering :- 1:3:6 (1 Cement : 3 coarse sand (zone-III) : 6 graded stone aggregate 20 mm nominal size)</t>
  </si>
  <si>
    <t>SOR 2024 item No 2523(a)</t>
  </si>
  <si>
    <t>Centring and shuttering</t>
  </si>
  <si>
    <t>SOR 2024 item No 2523(b)</t>
  </si>
  <si>
    <t>Supply and fixing of galvanised MS-'C' channel of size 100mmx 50mm x 1200 mm with suitable clamps as per Drg No. S&amp;T/RE/78/2/76 and fitting of GI pipe supplied by Railways and with suitable clamps on Girder Bridges without drilling holes in the girders. GI Pipes are to be drilled with 6 holes of 1/4" dia. per Meters around the pipe in zig zag manner before laying the 6 Meters pipe.</t>
  </si>
  <si>
    <t>SOR 2024 item No 2524</t>
  </si>
  <si>
    <t>Jungle Cutting</t>
  </si>
  <si>
    <t>SOR 2024 item No 2525</t>
  </si>
  <si>
    <t>Clearing jungle including uprooting of rank vegetation, grass, brush wood, trees and saplings of girth up to 30 cm measured at a height of 1 m above ground level and removal of cleared jungle to a distance of 50 m outside the periphery of the area cleared (Measurement is to be done as per area cleaned).</t>
  </si>
  <si>
    <t>SOR 2024 item No 2525 (a)</t>
  </si>
  <si>
    <t>Clearing grass/garbage and removal of the rubbish up to a distance of 50 m outside the periphery of the area cleared (Measurement is to be done as per area cleaned).</t>
  </si>
  <si>
    <t>SOR 2024 item No 2525 (b)</t>
  </si>
  <si>
    <t>Supply and Laying of Power coated MS Ladder of 400mm width made of MS angle 38mm X 38mm X 3 mm on FOB or any other location as per instructions of engineer in charge for taking of cables from one end to other end of FOB with all required materials, tools and consumables</t>
  </si>
  <si>
    <t>SOR 2024 item No 2526</t>
  </si>
  <si>
    <t xml:space="preserve">Provision of 2 Machine cut grooves in parallel at a separation of 8 cm each to a depth of 150 mm in the platform surfaced/tiled floor for laying cable  including disposal of excavated earth.</t>
  </si>
  <si>
    <t>SOR 2024 item No 2527</t>
  </si>
  <si>
    <t>Videography of work spots such as Signal/LB foundation, cable trench with depth indicators at every 10 mtrs with reference to landmark such as RE mast or hectometre post in MPEG or any other format specified by engineer in charge. The video recording shall be supplied in CDs/Pen drive.</t>
  </si>
  <si>
    <t>SOR 2024 item No 2528</t>
  </si>
  <si>
    <t>Supply, placing and covering of RCC duct from Home to Home as per IRSEM Drg No 15-DD</t>
  </si>
  <si>
    <t>SOR 2024 item No 2529</t>
  </si>
  <si>
    <t>Supply and laying of PVC Warning Tape colour Orange, width of 250mm (10") (Thickness: 200 microns) by printing with black letters (Indian Railway Signal/Telecom/OFC Cable on both sides of the tape).</t>
  </si>
  <si>
    <t>SOR 2024 item No 2530</t>
  </si>
  <si>
    <t>CHAPTER 26 - LOCATION BOX</t>
  </si>
  <si>
    <t>Location box foundation and erection</t>
  </si>
  <si>
    <t xml:space="preserve">SOR 2024 item No  2601</t>
  </si>
  <si>
    <r>
      <t xml:space="preserve">Excavation of pit, casting concrete foundation and erection of apparatus case </t>
    </r>
    <r>
      <rPr>
        <rFont val="Arial"/>
        <b val="1"/>
        <sz val="10"/>
        <scheme val="none"/>
      </rPr>
      <t xml:space="preserve">Full size </t>
    </r>
    <r>
      <rPr>
        <rFont val="Arial"/>
        <sz val="10"/>
        <scheme val="none"/>
      </rPr>
      <t>as per SCR Drg. No. 5781 and fixing of 1 No.of 'E' type lock for the front door, latching arrangement for backdoor, fixing of Hylam sheet (Hylam sheet supply is covered elsewhere and Wooden Reapers also can be used in place of Hylam sheet for which supply &amp; fixing covered elsewhere) and painting the apparatus case inside and outside with one coat of red oxide, two coats of aluminium paints outside and white paint inside including painting of termination, equipment and number particular on location box (foundation bolts and nuts, 'E' type lock, cement, river sand, stone jelly of size 20/20mm, paints, varnish, fixing bolts and nuts and all other miscellaneous material required for the work shall be supplied by the contractor).</t>
    </r>
  </si>
  <si>
    <t>No</t>
  </si>
  <si>
    <t xml:space="preserve">SOR 2024 item No  2601 (a)</t>
  </si>
  <si>
    <t>Excavation of pit, casting concrete foundation and erection of apparatus case half size as per Drg. No. SK/CN/1/89/ B/1, fixing one 'E' type lock for the front door and latching arrangements for the back door and painting the apparatus case inside and outside with one coat of red oxide and two coats of aluminium paints outside and white paint inside (foundation bolts and nuts, painting of particular, E type locks, cement, river sand, stone jelly of size 20/20mm and nuts and all other miscellaneous material required for the work shall be supplied by the contractor).</t>
  </si>
  <si>
    <t xml:space="preserve">SOR 2024 item No  2601 (b)</t>
  </si>
  <si>
    <t>Filling earth around location boxes/signal foundations for a width of 0.5m on all sides, up to a level 150mm below the foundation top. This work includes consolidation of earth by watering and ramming. The earth shall be taken from Railway premises as instructed by Railway representative at site.</t>
  </si>
  <si>
    <t xml:space="preserve">SOR 2024 item No  2601 (c)</t>
  </si>
  <si>
    <t>Basement plastering of Full/Half location box. All the required men and materials are to be arranged by the contractor.</t>
  </si>
  <si>
    <t xml:space="preserve">SOR 2024 item No  2601 (d)</t>
  </si>
  <si>
    <t>Installation in location box at RE cuttings and wiring of all power supply equipments viz., Chargers, Transformers, Trans-rectifiers etc., as per the detailed specifications.</t>
  </si>
  <si>
    <t xml:space="preserve">SOR 2024 item No  2602</t>
  </si>
  <si>
    <t>Test lamp arrangement in LBs/RE cuttings (Auto mobile handle type).</t>
  </si>
  <si>
    <t>Per location</t>
  </si>
  <si>
    <t xml:space="preserve">SOR 2024 item No  2603</t>
  </si>
  <si>
    <t>Supply and fixing of teak wood reapers suitable for Full location Box with approx 50 mm width x 20mm thick and length of 940mm after applying two coats of wood primer.</t>
  </si>
  <si>
    <t>Per Reaper</t>
  </si>
  <si>
    <t xml:space="preserve">SOR 2024 item No  2604</t>
  </si>
  <si>
    <t>Supply and fixing of following Teak wood reapers/ Blocks after applying two coats of wood primer.</t>
  </si>
  <si>
    <t xml:space="preserve">SOR 2024 item No  2605</t>
  </si>
  <si>
    <t>Teak Wood Reapers suitable for Full Box: 75mm width x 20mm thick and length of 940mm.</t>
  </si>
  <si>
    <t xml:space="preserve">SOR 2024 item No  2605 (a)</t>
  </si>
  <si>
    <t>Teak Wood Reapers suitable for Full Box: 50mm width x 50mm thick and length of 940mm and clamping the cable.</t>
  </si>
  <si>
    <t xml:space="preserve">SOR 2024 item No  2605(b)</t>
  </si>
  <si>
    <t>Teak Wood Reapers suitable for Half Box 75mm width x 20mm thick and length of 470mm.</t>
  </si>
  <si>
    <t xml:space="preserve">SOR 2024 item No  2605(c)</t>
  </si>
  <si>
    <t>Teak Wood Reapers suitable for Half Box: 50mm width x 20mm thick and length of 470mm.</t>
  </si>
  <si>
    <t xml:space="preserve">SOR 2024 item No  2605 (d)</t>
  </si>
  <si>
    <t>Teak Reapers suitable for Half Box: 50mm width x 50mm thick and length of 470mm and clamping the cable.</t>
  </si>
  <si>
    <t xml:space="preserve">SOR 2024 item No  2605 (e)</t>
  </si>
  <si>
    <t>Hard wood Planks for Keeping Equipment in the Full Box: 940mm x 20mm x 300mmapproximately after applying two coats of black enamel paint.</t>
  </si>
  <si>
    <t>Per Plank</t>
  </si>
  <si>
    <t xml:space="preserve">SOR 2024 item No  2605 (f)</t>
  </si>
  <si>
    <t>Hard wood planks suitable for Half Box 40mm thick x 450mm x 470mm approximately after applying two coats of black enamel paint.</t>
  </si>
  <si>
    <t xml:space="preserve">SOR 2024 item No  2605 (g)</t>
  </si>
  <si>
    <t>Supply and fixing of Teak Wood planks of sizes as instructed by the site in-charge with smooth finishing surface to be provided where ever required such as in location boxes relay room, equipment room and battery room, Fine wood polish of approved quality to be applied for two times after thorough application of emery paper. Fixing bolts and wood polish supplied by the contractor.</t>
  </si>
  <si>
    <t xml:space="preserve">SOR 2024 item No  2605 (h)</t>
  </si>
  <si>
    <t>Supply &amp; fixing Hard Wood planks of 40mm thick and not less than 200 mm width with smooth surface, and painting with black enamel paint painting (Hardwood, paints, fixing bolts is to be arranged by contractor).</t>
  </si>
  <si>
    <t xml:space="preserve">SOR 2024 item No  2605 (i)</t>
  </si>
  <si>
    <t>Cable termination including fixing terminals, fuses, LDs, Meggering of cables and recording the readings.</t>
  </si>
  <si>
    <t>Per Conductor</t>
  </si>
  <si>
    <t xml:space="preserve">SOR 2024 item No  2606</t>
  </si>
  <si>
    <t>Fixing relay bases, wiring in location boxes, bunching, fixing of relays as per circuit diagram. This includes fixing of condensers, resistance, 6 way/1 way terminals/WAGO, ND type fuses, LED indicators for fuses as per type fuses.</t>
  </si>
  <si>
    <t>per Relay</t>
  </si>
  <si>
    <t xml:space="preserve">SOR 2024 item No   2607</t>
  </si>
  <si>
    <t>Supply, painting and fixing of gland plate for Location box as per site requirement.</t>
  </si>
  <si>
    <t xml:space="preserve">SOR 2024 item No   2608</t>
  </si>
  <si>
    <t>Full Location Box</t>
  </si>
  <si>
    <t xml:space="preserve">SOR 2024 item No   2608 (a)</t>
  </si>
  <si>
    <t>Half Location Box</t>
  </si>
  <si>
    <t xml:space="preserve">SOR 2024 item No   2608  (b)</t>
  </si>
  <si>
    <t>Tie Bar Fencing</t>
  </si>
  <si>
    <t>SOR 2024 item No 2609</t>
  </si>
  <si>
    <t xml:space="preserve">Fixing of Tie Bar Fencing panels supplied by Railways duly transporting to the site (Goomties/Mid section Locations) from Centralised location. Cutting, drilling, jointing with nut and bolts wherever required as per site requirement for protecting goomties/location boxes. After fixing of the tie bar, panels to be painted with two coats of aluminium paint and levelling the earth  wherever required.  All required materials other than tie bar fencing panels should be arranged by the contractor/agency.</t>
  </si>
  <si>
    <t>Per Meter</t>
  </si>
  <si>
    <t>SOR 2024 item No 2609 (a)</t>
  </si>
  <si>
    <t>Excavation of pit to size of 450mmx 450 mm x 450mm and concreting the same with 1:3:6 aggregate 20mm for erecting the tie bar fencing panels, curing and white washing the foundations.</t>
  </si>
  <si>
    <t>SOR 2024 item No 2609 (b)</t>
  </si>
  <si>
    <t xml:space="preserve">Excavation of pit in and around the existing location boxes very carefully without damaging the working cables and shifting and  turning the  location  boxes  to clear of the infringement as instructed by the Railway representative at site. The work includes, ensuring the safety of the signalling system, releasing the cable coils to give access for shifting/ turning the location boxes. Necessary masonry work and earth work in and around the location boxes to the required level shall be done as instructed by the Railway representative at site. If the existing earth connections to the location boxes are disturbed, the earth wires shall be properly reconnected. [All materials required for the work shall be supplied by the Contractor].</t>
  </si>
  <si>
    <t>SOR 2024 item No 2610</t>
  </si>
  <si>
    <t>Shifting of apparatus case (Full)</t>
  </si>
  <si>
    <t>SOR 2024 item No 2610(a)</t>
  </si>
  <si>
    <t>Shifting of apparatus case (Half)</t>
  </si>
  <si>
    <t>SOR 2024 item No 2610 (b)</t>
  </si>
  <si>
    <t>Shifting of apparatus case (Quarter)</t>
  </si>
  <si>
    <t>SOR 2024 item No 2610 ©</t>
  </si>
  <si>
    <t>Painting of existing apparatus cases without disturbing the terminations and equipments inside. The work involves scraping of old paint, applying two coats of Aluminium paint outside &amp; two coats of white paint inside apparatus cases, painting of termination, equipment and number particulars on apparatus cases as instructed by Railway representative at site (Paints and all other miscellaneous materials required for the work shall be supplied by the Contractor).</t>
  </si>
  <si>
    <t>SOR 2024 item No 2611</t>
  </si>
  <si>
    <t>Painting of existing apparatus case - Full size</t>
  </si>
  <si>
    <t>SOR 2024 item No 2611(a)</t>
  </si>
  <si>
    <t>Painting of existing apparatus case - Half size</t>
  </si>
  <si>
    <t>SOR 2024 item No 2611 (b)</t>
  </si>
  <si>
    <t>Alterations to painted termination/ wiring particulars of functions in the existing apparatus cases, cable termination boxes, etc., on the PVC/nylon sleeves and painting of new nomenclature on the existing signalling gadgets. This work includes carrying out alterations of particulars on the inner side of the doors of apparatus cases, re-numbering of apparatus cases and cable termination boxes (Paints and all other miscellaneous materials required for the work shall be supplied by the Contractor).</t>
  </si>
  <si>
    <t xml:space="preserve">SOR 2024 item No  2612</t>
  </si>
  <si>
    <t>Alteration to painting particulars (apparatus case - Full size)</t>
  </si>
  <si>
    <t xml:space="preserve">SOR 2024 item No  2612 (a)</t>
  </si>
  <si>
    <t>Alteration to painting particulars (apparatus case - Half size)</t>
  </si>
  <si>
    <t xml:space="preserve">SOR 2024 item No  2612 (b)</t>
  </si>
  <si>
    <t>Applying two coats of paint of approved colour with paint manufactured by Asian/British/ Johnson &amp; Nicholson as instructed by Engineer In charge.</t>
  </si>
  <si>
    <t>Sqm.</t>
  </si>
  <si>
    <t xml:space="preserve">SOR 2024 item No  2613</t>
  </si>
  <si>
    <t>Supply and fixing of location box particulars in prescribed format, particulars to be printed on a good quality flute board, location particulars will be supplied in a register by Railways. Same will be provided back in A4 format sheet for check print, after finalizing check print, final particulars to be supplied and fixed as described above (Soft copy to be given to drawing office on a suitable storage device - Pen drive of suitable capacity) and also make hard copy of location particulars to be supplied in A4 format.</t>
  </si>
  <si>
    <t xml:space="preserve">SOR 2024 item No  2614</t>
  </si>
  <si>
    <t>CHAPTER 27 - EARTHING</t>
  </si>
  <si>
    <r>
      <t xml:space="preserve">Fabrication, supply and erection of conventional Earth to </t>
    </r>
    <r>
      <rPr>
        <rFont val="Arial"/>
        <b val="1"/>
        <sz val="10"/>
        <scheme val="none"/>
      </rPr>
      <t xml:space="preserve"> </t>
    </r>
    <r>
      <rPr>
        <rFont val="Arial"/>
        <b val="1"/>
        <sz val="10"/>
        <u val="single"/>
        <scheme val="none"/>
      </rPr>
      <t>Signalling/Telecom </t>
    </r>
    <r>
      <rPr>
        <rFont val="Arial"/>
        <sz val="10"/>
        <scheme val="none"/>
      </rPr>
      <t>equipments -Excavation of earth and providing earth pipe of size 50mm dia. 3.5mm thick 2.0 m. long G.I. pipe of heavy quality with masonry tub constructed around at earth locations as specified by site Engineer. Alternate layers of 30kgs-charcoal and 30kgs-common salt to be filled in the pit while closing. The pipe perforation etc., to be carried out as per Drg No. SK 10/10. The earth pipe to be connected to the function with cable as supplied by Railways. The reading should be painted on the masonry tub. The masonry tub of 300mmx300mm x 300mm (along with Kundi) should be covered with cement slab.</t>
    </r>
  </si>
  <si>
    <t xml:space="preserve">2SOR 2024 item No  2701</t>
  </si>
  <si>
    <t>Provision of ring earth by providing &amp; connecting conventional earths with copper catenary wire as required at site as per instructions site in charge. Excavation of earth and providing earth pipe of size 50mm dia, 3.5mm thickness, 2.0m long GI pipe of heavy quality along with masonry tub constructed around at earth locations as specified by site Engineer. Alternate layers of charcoal (30 kg) and common salt (30 kg) to be filled in each pit while closing the pipe perforation etc., to be carried out as per Drg No. G/SG/09/2002. The masonry tub of 400x400x450mm, 50mm thickness should be cover with cement slab to be provided each conventional earth. Masonry tub shall be filled with river sand after completion of earthing. Conventional earths to be wrapped with catenary wires before excavated in earth along with use of proper clamps and nuts. All earths to be connected with each other by use of copper catenary wire or suitable cable provided by Railways. Minimum two number Earth pipe to be connected inside the location/function with suitable cable (cable will supplied by railways). Excavations of trench of 0.5m minimum depth for inter connection of 4 conventional earths by catenary wire. Catenary wire should be welded through arc welding to the GI pipe with copper clamps. The earth reading, DOI &amp; DOM should be painted on the masonry tub. (All the men and the materials to be supplied by the contractor except catenary wire/Cable).</t>
  </si>
  <si>
    <t xml:space="preserve">SOR 2024 item No  2702</t>
  </si>
  <si>
    <t>Improvement of earth resistance values to the existing conventional Earths by adding chemicals with alternate layers of 10kgs-charcoal and 10kgs-common salt as per instructions of Engineer in-charge. All men and materials shall be arranged by the contractor.</t>
  </si>
  <si>
    <t>Per Earth</t>
  </si>
  <si>
    <t xml:space="preserve">SOR 2024 item No  2703</t>
  </si>
  <si>
    <t>EMI/ Earthing arrangements to achieve earth value less than 1 Ohm (minimum 8 maintenance free earth) for EI at central location or end Goomties for object controllers as per RDSO Specn as required for the EI system as per Rly. Br. letter No.2010/Sig/SGF/EI (Ansaldo) dated 22.06.2011 or latest shall be followed. All materials shall be supplied by the contractor including Maintenance free earthing.</t>
  </si>
  <si>
    <t xml:space="preserve">SOR 2024 item No  2704</t>
  </si>
  <si>
    <r>
      <t xml:space="preserve">Supply and installation of </t>
    </r>
    <r>
      <rPr>
        <rFont val="Arial"/>
        <b val="1"/>
        <sz val="10"/>
        <scheme val="none"/>
      </rPr>
      <t xml:space="preserve">“A”-Type LPS </t>
    </r>
    <r>
      <rPr>
        <rFont val="Arial"/>
        <sz val="10"/>
        <scheme val="none"/>
      </rPr>
      <t xml:space="preserve">(ERICO or similar make) Model No: System 3000 or similar.
a)  Air Terminal   - 1No.
b)   Insulated 2m FRP Mast Black -1No.
c)   Upper Termination Kit -1No.
d)  Lower Termination Kit -1No.
e)   Lightning Event Counter -1No.
f)    Down Conductor - 30 Mtrs.
g)   GI pipe 50mm dia and 3.5 mm thickness as per SCR Drawing No.5777.
h)   Installation to be done as per SCR Drg No.5777. Installation also includes fixing of LEC Counter with suitable MS box enclosure and running of down conductor through PVC  pipes and connecting the same to nearby earth electrode.  All  material  required  for  installation  will  be provided by contractor.</t>
    </r>
  </si>
  <si>
    <t xml:space="preserve">SOR 2024 item No  2705</t>
  </si>
  <si>
    <r>
      <t>Supply and installation of "</t>
    </r>
    <r>
      <rPr>
        <rFont val="Arial"/>
        <b val="1"/>
        <sz val="10"/>
        <scheme val="none"/>
      </rPr>
      <t xml:space="preserve">FRANKLIN ROD" </t>
    </r>
    <r>
      <rPr>
        <rFont val="Arial"/>
        <sz val="10"/>
        <scheme val="none"/>
      </rPr>
      <t>as per NFPA- 780 Standards. Installation to be done as per SCR Drg No. 5777. It also includes connection of down conductor with Franklin Rod and running of down conductor through PVC pipes and connecting the same to nearby earth electrode. All material required for installation to be supplied by the contractor.</t>
    </r>
  </si>
  <si>
    <t xml:space="preserve">SOR 2024 item No  2706</t>
  </si>
  <si>
    <t>Provision of RCC earth pit hollow box of size 300 mm x 300 mm x 300mm with 50 mm wall thickness as per Drg No. SDO/RDSO/E&amp;B/001 by using M20 Grade precast RCC. It includes fixing of earth pits at various locations (All the required men, material and transportation are to be arranged by contractor)</t>
  </si>
  <si>
    <t xml:space="preserve">SOR 2024 item No  2707</t>
  </si>
  <si>
    <r>
      <t xml:space="preserve">Supply and Erection of RCC precast slabs with hook to cover Earth pits of dimensions as shown in </t>
    </r>
    <r>
      <rPr>
        <rFont val="Arial"/>
        <b val="1"/>
        <sz val="10"/>
        <scheme val="none"/>
      </rPr>
      <t>IRSEM Drg No. 19-D6</t>
    </r>
    <r>
      <rPr>
        <rFont val="Arial"/>
        <sz val="10"/>
        <scheme val="none"/>
      </rPr>
      <t>. All the required materials for this work i.e. stones, cement, iron and sand etc. are to be supplied by contractor.)</t>
    </r>
  </si>
  <si>
    <t xml:space="preserve">SOR 2024 item No  2708</t>
  </si>
  <si>
    <r>
      <t xml:space="preserve">Supply and Installation of High-voltage-resistant insulated </t>
    </r>
    <r>
      <rPr>
        <rFont val="Arial"/>
        <b val="1"/>
        <sz val="10"/>
        <scheme val="none"/>
      </rPr>
      <t xml:space="preserve">Down Conductor </t>
    </r>
    <r>
      <rPr>
        <rFont val="Arial"/>
        <sz val="10"/>
        <scheme val="none"/>
      </rPr>
      <t xml:space="preserve">for keeping the separation distance from conductive parts according to EN 62305-3 Equivalent separation distance s =&lt; 75 cm (in air) or s =&lt; 150 cm (solid building material). Weather-resistant and UV stabilised Material of  conductor: Cu , Material of insulation: PE , Material of sheath: PE Diameter Ø conductor: 20 mm Standard: DIN IEC/TS 62561-8 (VDE V 0185-561-8) along
with all accessories such as PVC Pipe, Insulation etc.</t>
    </r>
  </si>
  <si>
    <t xml:space="preserve">SOR 2024 item No  2709</t>
  </si>
  <si>
    <t>Earthing and soldering of cable armour.</t>
  </si>
  <si>
    <t>Per cable</t>
  </si>
  <si>
    <t xml:space="preserve">SOR 2024 item No  2710</t>
  </si>
  <si>
    <t>Installation of single earth (maintenance free) including the following:- welding and fixing of copper tape (used as bus bar) welding of cadmium bronze cable to copper plate using material supplied vide item no. 1,2 of SPD of Sch-A . All the material supplied for mounting of copper tape, exothermic weld materials, tools and fixtures for welding copper tapes shall be arranged by contractor.
a) Digging /Auguring/Boring of single earth pit of 100mm to 125 mm dia to the depth of approx. 2.8 meter.
b) Insertion of 3.0 meter electrode and penetrating it at least 0.2 meter by pushing gently with sledge hammer where the natural soil is assumed.
c) Filling of earth pit with earth enhancement compound (EEC) in slurry from and backfilling.
d) Carrying out exothermic weld connection on single earth electrode to a copper tape of 150X25X6mm.
e) Carrying out exothermic weld connection on the copper tape of 150X25X6mm on earth electrode for connecting two 35 Sq mm cables for redundancy.
f) The exothermic welding material for bonding the earth system shall be procured from RDSO approved firms, which includes graphite moulds, clamps, weld metal powders.
g) Digging a trench to a depth of at least 0 .5 Mtr. and run the two 35 Sq mm earth conductor (procured against supply item) from earth pit to MEEB.
h) Routing and termination of two 35 sq mm earth conductors in trench from earth pit to 300X25X6mm MEEB, which is to be fixed inside the equipment room with two insulation studs.
i) 300X300X300 mm (inside dimension) concrete earth pit with a concrete lid, approx 50mm thick with pulling hooks, shall be provided to cover the pit. Back side of the cover will be painted in black and date of the testing and earth resistance value shall be written.</t>
  </si>
  <si>
    <t xml:space="preserve">SOR 2024 item No  2711</t>
  </si>
  <si>
    <t>Routing and connecting all the equipments in the equipment /relay room to MEEB/SEEB with 16/10 sq mm copper cable using copper lugs with stainless steel nuts and bolts and fixtures. The work includes laying and routing the copper cable in PVC pipes/conduits and fixing them on wall as directed by engineer in charge. PVC pipes/conduits will be supplied by Railway.</t>
  </si>
  <si>
    <t xml:space="preserve">SOR 2024 item No  2712</t>
  </si>
  <si>
    <t>Provision MS flat connection from Earth pit to LBs/Signals including supply and laying of MS Flat of size 40X6mm at site, supply of GI bolt of size M12X40mm with two Nuts along with two plain washers and one spring washer, drilling of holes in MS flat of different sizes at site, cutting with bending and twisting of MS flat as required at site, painting of MS Flat with one coating of red oxide as primary and two coats of anti-corrosive black paint and drilling of holes in Location Boxes at site.</t>
  </si>
  <si>
    <t xml:space="preserve">SOR 2024 item No  2713</t>
  </si>
  <si>
    <t>Welding for jointing MS flat 6mm thick X 40mm width of different lengths strips connecting from Earth to location boxes/Signal post/Signal Unit for better continuity. Prior approval of welding material to be taken from Engineer In charge.</t>
  </si>
  <si>
    <t>Each Weld</t>
  </si>
  <si>
    <t xml:space="preserve">SOR 2024 item No  2714</t>
  </si>
  <si>
    <t>CHAPTER 28 - SIGNAL RELATED ITEMS</t>
  </si>
  <si>
    <r>
      <t xml:space="preserve">Foundation and erection of Colour light signal which includes
a) Excavation of pit, casting concrete foundation as per SCR Drg No. 5772 using metallic templates, for erection of Colour light Signals 4 aspects (foundation bolts, cement, river sand, stone jelly of size 20/20mm dia and all other miscellaneous materials required for the work shall be supplied by the contractor).
b)  Erection of surface base, signal post, mounting of Colour Light Signal up to 4 aspects complete on signal post / offset bracket, LED fixing, plumbing of the signal through sealing gap between Surface base and signal post, fixing of ladder with platform complete and concreting of ladder shoe, fixing of number plates, marker board, termination tail cables, wiring of signal unit, provision of EWS locks, and painting of one coat of red oxide and two coats of aluminium/enamel paints. When the aspect is fixed on offset bracket using 'U' bolts and nuts, a through bolt shall be provided by drilling of hole in the signal pole to prevent the offset bracket from sliding down. (Supply of surface base, offset bracket, CLS pole,  CLS  aspects  complete,  ladder  with  shoes  and platform, LED aspects, current regulators and wire coils will be supplied by Railways). ('U' bolts and nuts, through bolts and nuts, cement, stone jelly 20/25mm  dia, river sand, Signal Colour Rings, all fixing bolts and nuts, teak wood, paints  PVC/Nylon  sleeves,  enamelled  number  plates, enamelled  marker  boards,  EWS  locks,  and  all  other miscellaneous materials for the work shall be supplied by the contractor). </t>
    </r>
    <r>
      <rPr>
        <rFont val="Arial"/>
        <b val="1"/>
        <sz val="10"/>
        <scheme val="none"/>
      </rPr>
      <t>(60% Payment after completion of work mentioned at (a) and remaining 40 % after completion of work at (b))</t>
    </r>
  </si>
  <si>
    <t>SOR 2024 item No 2801</t>
  </si>
  <si>
    <t>Foundation &amp; erection of Shunt signal which includes
a) Excavation of pit and casting concrete foundation as per Drg No. SG/CN/02/10 using metallic templates, for erection of ground type colour light Shunt signal. (Foundation bolts and nuts, cement, river sand, stone jelly of size 20/25mm and all other miscellaneous materials for the work shall be supplied by the contractor).
b) Erection of Ground type shunt signal complete including surface base, signal post, LED aspects, number plate, termination of tail cables, wiring of signal unit, provision of EWS locks and painting of one coat of red oxide and two coats of Aluminium/enamel paint, (Supply of Ground type shunt signal complete including surface base, signal post, LED unit is to be supplied by Railways). [ EWS locks, enamelled number plates, bolts and nuts, lead wool, paints and all other miscellaneous materials shall be supplied by the contractor). (60% Payment after completion of work mentioned at (a) and remaining 40% after completion of work at (b)</t>
  </si>
  <si>
    <t>SOR 2024 item No 2802</t>
  </si>
  <si>
    <t>Fixing of offset bracket using 'U' bolts and nuts erection of posts type shunt signal, wiring of LEDs, termination of tail cables, provision of EWS lock, fixing of number plate and painting of one coat of red oxide and two coats of aluminium/enamelled paint. The work also includes drilling suitable holes on the CLS post and provision of a through bolt with nut to prevent the offset bracket from slipping down (Supply of Post type shunt signal, LED unit is to be supplied by Railways). [EWS locks, enamelled number plates, bolts and nuts, lead wool, paints and all other miscellaneous materials shall be supplied by the contractor).</t>
  </si>
  <si>
    <t>SOR 2024 item No 2803</t>
  </si>
  <si>
    <t>Fixing of junction type route indicator - 1 way to 6 way - complete/fixing of additional limb to the existing route indicators, termination of tail cables, wiring as per approved circuits diagram, provision of required number of EWS locks, wire mesh and painting. (Supply of junction type Route Indicators - complete and additional limb is not covered in this schedule). [Fixing bolts and nuts, EWS locks, wire mesh, PVC/Nylon sleeves, paints and all other miscellaneous materials shall be supplied by the contractor].</t>
  </si>
  <si>
    <t>SOR 2024 item No 2804</t>
  </si>
  <si>
    <t>1 way route indicator</t>
  </si>
  <si>
    <t xml:space="preserve">SOR 2024 item No  (a)</t>
  </si>
  <si>
    <t>2 way route indicator</t>
  </si>
  <si>
    <t xml:space="preserve">SOR 2024 item No  (b)</t>
  </si>
  <si>
    <t>3 way route indicator</t>
  </si>
  <si>
    <t xml:space="preserve">SOR 2024 item No  (c)</t>
  </si>
  <si>
    <t>4 way route indicator</t>
  </si>
  <si>
    <t xml:space="preserve">SOR 2024 item No  (d)</t>
  </si>
  <si>
    <t>6 way route indicator</t>
  </si>
  <si>
    <t xml:space="preserve">SOR 2024 item No  (e)</t>
  </si>
  <si>
    <t>Fixing and wiring of additional limb to existing route indicator</t>
  </si>
  <si>
    <t xml:space="preserve">SOR 2024 item No  (f)</t>
  </si>
  <si>
    <t>Fixing and wiring of Multi lamp/Stencil type route indicators - complete, termination of tail cables, wiring as per approved circuit diagram using wire PVC 3/0.75mm &amp; 16/0.2mm copper, provision of EWS - required Nos., and painting. (Supply of route indicators is not covered in this schedule) [Fixing bolts and nuts, EWS locks, wire mesh, PVC/Nylon sleeves, paints and all other miscellaneous materials shall be supplied by the Contractor].</t>
  </si>
  <si>
    <t>SOR 2024 item No 2805</t>
  </si>
  <si>
    <t xml:space="preserve">Fixing of Offset brackets using 'U' bolts and nuts, erecting of Calling On Signals/'A' marker lights, termination of tail cables and wiring, provision of EWS lock, number plates/ markers boards and painting. The work also includes drilling suitable holes on the CLS post and provision of a through bolt with nut to prevent the Off-set bracket from slipping down. (Supply of Calling On Signal/ 'A' marker light, LED aspect/holders and bulbs, wire coils and off set brackets will be supplied by Railways). ['U' bolts and nuts, through bolts with nut, EWS lock, Enamelled number plates, PVC/Nylon sleeves, paints and all other  miscellaneous  materials  shall  be  supplied  by  the contractor.</t>
  </si>
  <si>
    <t>SOR 2024 item No 2806</t>
  </si>
  <si>
    <t>Manufacturing, Supply, painting and fixing of markers of G/P/C/A/AG/IB Markers as per IRSEM Drg No. 19-D10 on MS sheet of thickness 3mm. Miscellaneous material required for fixing Markers is to be supplied by contractor.</t>
  </si>
  <si>
    <t>SOR 2024 item No 2807</t>
  </si>
  <si>
    <t>Supply and fixing of wire mesh for the following signals, duly painted with black enamel in two coats.</t>
  </si>
  <si>
    <t xml:space="preserve">SOR 2024 item No  2808</t>
  </si>
  <si>
    <t>Colour Light Signals each LED</t>
  </si>
  <si>
    <t xml:space="preserve">SOR 2024 item No  2808 (a)</t>
  </si>
  <si>
    <t>Route Indicator Junction type on each LED</t>
  </si>
  <si>
    <t xml:space="preserve">SOR 2024 item No  2808 (b)</t>
  </si>
  <si>
    <t>Calling on signal</t>
  </si>
  <si>
    <t xml:space="preserve">SOR 2024 item No  2808 (c)</t>
  </si>
  <si>
    <t>Box type mesh for ground type shunt signal</t>
  </si>
  <si>
    <t xml:space="preserve">SOR 2024 item No  2808 (d)</t>
  </si>
  <si>
    <t>Removal of existing CLS units, fixing of new CLS units with LED aspects, up to four aspects, directly or using off set brackets duly drilling holes on the signal poles, provision of EWS locks wherever necessary, termination of tail cables, wiring and painting of aspect. The new tail cables shall be taken through the signal poles and the unwanted cables duly released. [EWS locks, paints and all other miscellaneous materials shall be supplied by the Contractor].</t>
  </si>
  <si>
    <t xml:space="preserve">SOR 2024 item No  2809</t>
  </si>
  <si>
    <t>Provision of SCREEN on signals when they fall within 2 meters from the live conductor by expanding metal (size 20mm x 60mm strand 3.25 mm wide and 1.6mm thick) as per the instruction of site engineer in charge. This includes supply of all materials including connection with earth electrode as per SCR Drg No. 5767.</t>
  </si>
  <si>
    <t xml:space="preserve">SOR 2024 item No  2810</t>
  </si>
  <si>
    <t>Painting of existing colour light Signals as per standard practice. The work involves scraping of old paint and two coats of Aluminium/enamel paint on the Signals &amp; White paint inside signal unit and X mark on signal unit backside with white paint - complete as instructed by Railway representative at site (Paint and all other miscellaneous materials required for the work shall be supplied by the Contractor).</t>
  </si>
  <si>
    <t xml:space="preserve">SOR 2024 item No  2811</t>
  </si>
  <si>
    <t>Supply and fixing of cross bar on signal (signal not in use) made of hard wood of size 1000mmx100mmx20mm. The cross bar shall be painted white as per Signal Engineering Manual. All material required for installation shall be supplied by contractor.</t>
  </si>
  <si>
    <t xml:space="preserve">SOR 2024 item No  2812</t>
  </si>
  <si>
    <t>Fixing and wiring of platform repeaters. The work involves fixing of platform repeater using suitable fixing arrangements at places indicated, wiring the same and painting as per the instructions of Railway representative at site. The signal shall be connected to the apparatus case using cables neatly clamped. The work also includes provision of one EWS lock. (Laying of cable, supply of repeater signals and cables is not included in this schedule). [Required paint, EWS lock and all other miscellaneous materials required for the work shall be supplied by the Contractor].</t>
  </si>
  <si>
    <t xml:space="preserve">SOR 2024 item No  2813</t>
  </si>
  <si>
    <t>Excavation of pit in and around the existing signals very carefully without causing damage to the working cables and shifting the Signals along with the concrete foundations for approximately 1m to a nearby position so as to clear the infringement from the nearest track centre as instructed by Railway representative at site. The existing cable coils shall be released carefully so as to give access for shifting. Necessary masonry work and earth work shall be carried out in and around the signals after shifting as Instructed by Railway representative at site. [All materials required for the work shall be supplied by the Contractor].</t>
  </si>
  <si>
    <t xml:space="preserve">SOR 2024 item No  2814</t>
  </si>
  <si>
    <t>Strengthening of foundations of signals, Full/Half location boxes up to a height of 30 cm, by carrying out the earth work around the foundation, ramming of the earth, carry out masonry work from bottom of earth work using country stones and cement masonry to prevent the earth from slipping down the bank.</t>
  </si>
  <si>
    <t xml:space="preserve">SOR 2024 item No  2815</t>
  </si>
  <si>
    <t>CHAPTER 29 - POINT MACHINE</t>
  </si>
  <si>
    <t>Fixing of universal point machines and wiring on PSC/ Wooden sleepers as per standard drawing. Wiring as per circuitry includes fixing &amp; wiring of point contactor unit frames and controlling relays, fixing and wiring of point termination box, fixing of crank handle ward plate of required configuration and Ground connections, P-clamp insulations, setting, stretcher bars etc., [All miscellaneous material required such as nuts, bolts, washers are to be arranged by contractor]</t>
  </si>
  <si>
    <t xml:space="preserve">SOR 2024 item No  2901</t>
  </si>
  <si>
    <t>Installation, termination of cable in termination box, wiring, testing and commissioning of High Thrust point Machine. This includes fixing of point machine on MS plate fixed on sleepers complete with fixing of anti theft covers, MS termination boxes, ground connections, required insulation, crank handle ward (wherever required) etc. This also include necessary adjustment and smithy work, drilling of holes on tongue rails, supply of all miscellaneous material such as flat, angle, bolt, nuts, pins etc.</t>
  </si>
  <si>
    <t>Per Point Machine</t>
  </si>
  <si>
    <t xml:space="preserve">SOR 2024 item No  2902</t>
  </si>
  <si>
    <t>Fixing of FP/HP lock, suiting split stretchers, cutting of notch, fixing of point/trap indicator and commissioning of hand operated HP lock points.(MG/BG as required). All nuts and bolts, for fixing HPL stretcher are to be supplied by the contractor.)</t>
  </si>
  <si>
    <t>SOR 2024 item No 2903</t>
  </si>
  <si>
    <t>Fixing of electrical detectors on two long wooden sleepers using MS flats, 20x75mm making rod connections to point switches and lock, setting the detector slides. Fixing TLJB near electrical detector and carrying out wiring by neatly taking the wires through PVC hose pipes to the TLJB and clamping the pipe on either end. Terminating the cable 12 core in the TLJB by duly fixing the terminals on planks. Carrying out adjustment and testing for obstruction as per Signal Engineering Manual. (MS bolts, nuts, washers required for fixing electrical detector on the sleeper, fixing hose pipe with clamps are to be supplied by the contractor.)</t>
  </si>
  <si>
    <t xml:space="preserve">SOR 2024 item No  2904</t>
  </si>
  <si>
    <t>CHAPTER 30 - TRACK CIRCUIT</t>
  </si>
  <si>
    <t>Fixing of Track lead junction box on angles (50 x 50 x 6 mm size), drilling one hole on either side of the box of suitable size and fixing track lead junction box by the side of the track, drilling 4 holes of 7.2 mm dia. on Rail, connecting double track leads with bond pins, running track lead wire, termination of track lead wire on ARA terminals duly fixing the same inside the TLJB Teak wood board bolted inside the track lead junction box. (Fixing angles, bolts, nuts and teak wood boards to be supplied by the contractor).</t>
  </si>
  <si>
    <t xml:space="preserve">SOR 2024 item No  3001</t>
  </si>
  <si>
    <t>Wiring of Track circuits feed end, relay end complete with TLDs, batteries, chargers, Chokes, track relays, double lead wires, providing insulation etc,. Connected with track commissioning of track circuit including provision of bracket for TLD covers and painting. Anti-tilting arrangement has to be done for chargers &amp; batteries. All miscellaneous material required for installation shall be supplied by contractor.</t>
  </si>
  <si>
    <t xml:space="preserve">SOR 2024 item No  3002</t>
  </si>
  <si>
    <t>Execution (Supply, transportation, installation and commissioning) of pin brazing/exothermic out weld connection for continuity bond across fish plates in DC track circuit area as per RDSO Specn No. IRS S-103/2004 or latest. (all equipments &amp; material required for brazing/ welding of railhead continuity shall be arranged by the contractor)</t>
  </si>
  <si>
    <t>Per Bond</t>
  </si>
  <si>
    <t xml:space="preserve">SOR 2024 item No  3003</t>
  </si>
  <si>
    <t xml:space="preserve">Execution (Supply,  transportation,  installation  and commissioning) of exothermic weld connection for TLJB as per RDSO Specn No. IRS S-103/2004 or latest. (Each conductor of Track lead to be welded separately).</t>
  </si>
  <si>
    <t>Per Track Lead Wire</t>
  </si>
  <si>
    <t xml:space="preserve">SOR 2024 item No  3004</t>
  </si>
  <si>
    <t xml:space="preserve">Painting of particulars of Glued Joint on rails/track circuit no. on TLJ boxes as per particulars issued by Engineer in charge. Before painting on surface of the Glued Joint Rails/TLJ boxes shall be cleaned thoroughly. Painting shall be done with approved quality of standard paints like Asian/Johnson/Nicholas/Berger etc. All the men and materials shall be arranged by the contractor and the colours scheme shall  be as per the instructions of Engineer in charge.</t>
  </si>
  <si>
    <t xml:space="preserve">SOR 2024 item No  3005</t>
  </si>
  <si>
    <t>Drilling of four no’s of 7.2mm holes, per rail joint on web of the rail, providing bond wires with wire rope. (Bond pins single groves are to be supplied by contractor - Wire rope for bonding will be supplied by Railways).</t>
  </si>
  <si>
    <t>Per Rail Joint</t>
  </si>
  <si>
    <t xml:space="preserve">SOR 2024 item No  3006</t>
  </si>
  <si>
    <r>
      <rPr>
        <rFont val="Arial"/>
        <b val="1"/>
        <sz val="10"/>
        <scheme val="none"/>
      </rPr>
      <t>CHAPTER 31 – SIGHTING BOARDS</t>
    </r>
  </si>
  <si>
    <t>Manufacture, supply and fixing of Sighting Board (size 535mmX1800mm) with higher intensity grade, retro- reflective sheet on 2mm Aluminium alloy, sheet 14 gauge (0.6 Sq.mm/LC) as per Drg No. SK/13/89 with MS angle of 75X75X6 mm with 6 meter length including paint, excavation of pit and concrete foundation etc. as per the instructions of sight in-charge. (All necessary materials to be arranged by the contractor).</t>
  </si>
  <si>
    <t xml:space="preserve">SOR 2024 item No  3101</t>
  </si>
  <si>
    <t>Fabrication, Supply and fixing of CALLING ON instruction boards, STOP boards/BSLB/Shunting Limit Board/Auto section board or any other board with engineering grade reflective sticker of size 600X1000 mm GI sheet, with MS angle of 75X75X6 mm with 6 meter length including paint, excavation of pit and concrete foundation etc. as per the instructions of sight in-charge. All necessary materials to be arranged by the contractor).</t>
  </si>
  <si>
    <t xml:space="preserve">SOR 2024 item No  3102</t>
  </si>
  <si>
    <t>Provision of foundation for the signal warning boards/ calling on boards/all types of boards. (A pit of size 400 mmx400mmx1500 mm is to be dug and cement concrete foundation in the pit in the ratio 1:3:6 to be casted. The rail post/MS angle is to be erected up right in the foundation.</t>
  </si>
  <si>
    <t xml:space="preserve">SOR 2024 item No  3103</t>
  </si>
  <si>
    <t>Providing and fixing of Speed board on signal post complete with retro reflective sheeting over the board and with all fixing arrangements of size 900mm equilateral triangle made of 2mm thick aluminium sheet and back support 25mmx3mm MS flat with theft resistant measures, mounted and fixed with 2 Nos. MS angles to suit Signal post. Backside of aluminium sheet to be painted with two coats of epoxy paint over and including appropriate priming coat including all leads and lifts etc. complete as per drawing, specification and direction of Engineer-in-charge.</t>
  </si>
  <si>
    <t xml:space="preserve">SOR 2024 item No  3104</t>
  </si>
  <si>
    <r>
      <rPr>
        <rFont val="Arial"/>
        <b val="1"/>
        <sz val="10"/>
        <scheme val="none"/>
      </rPr>
      <t>CHAPTER 32–INDOOR WORKS</t>
    </r>
  </si>
  <si>
    <t>Erection and concreting of SM's control panel on teakwood base frame 50mmx150mm of suitable length and breadth, varnishing, termination of cables and wiring of knobs, buttons, indications, counters etc. as per the approved circuit diagram with wire PVC 16/0.2mm copper. The work includes fixing of required No. of buzzers and wiring. The termination particulars shall be painted on the back doors of the panel. (Supply of SM's control panel is not included in the schedule). [Foundation bolts and nuts with washers, concreting materials, 50mmx150mm teakwood base frame, soldering materials, buzzers to work on 24VDC and all other miscellaneous materials required for the work shall be supplied by the Contractor].</t>
  </si>
  <si>
    <t xml:space="preserve">SOR 2024 item No  3201</t>
  </si>
  <si>
    <t>Erection, concreting and wiring of SM's control panel (up to 5 roads).</t>
  </si>
  <si>
    <t xml:space="preserve">SOR 2024 item No  3201(a)</t>
  </si>
  <si>
    <t>Erection, concreting and wiring of SM's control panel (more than 5 roads).</t>
  </si>
  <si>
    <t xml:space="preserve">SOR 2024 item No  3201 (b)</t>
  </si>
  <si>
    <t>Installation and wiring of token/token-less Block Instrument in ASM's room with suitable foundation including fixing of LD's, terminals, fuses &amp; earth connections and any other ancillary works.</t>
  </si>
  <si>
    <t>Per Instrument</t>
  </si>
  <si>
    <t>SOR 2024 item No 3202</t>
  </si>
  <si>
    <t>Supply &amp; fixing of block test panel of teak wood of 25mm thickness (61 x 38 x 18 Cms) with glass door. This includes wiring of block test panel to block instruments and the line (CTB) on the wall using PVC conduit. (Supply of PVC conduit and all other miscellaneous material required for installation is in the scope of contractor)</t>
  </si>
  <si>
    <t>SOR 2024 item No 3203</t>
  </si>
  <si>
    <t>Supply &amp; fixing of Control Equipment Panel of Teak Wood of size 3/4" thickness (75x44x25 mm) with reaper frame.</t>
  </si>
  <si>
    <t>SOR 2024 item No 3204</t>
  </si>
  <si>
    <t>Crank Handle Box/ KLCR Box for Crank Handle</t>
  </si>
  <si>
    <t>SOR 2024 item No 3205</t>
  </si>
  <si>
    <t>Providing teak wood crank handle box, fixing of LEDs, EKT, Counter, welding of EKT to Crank Handle, wiring, testing as per technical Specn including concealed wiring in the wall.</t>
  </si>
  <si>
    <t>SOR 2024 item No 3205 (a)</t>
  </si>
  <si>
    <t>Supply, installation and wiring of KLCR relay 24V DC AC immunized with 4F/4B contacts. This also includes termination of cable and required wiring in KLCR box.</t>
  </si>
  <si>
    <t>SOR 2024 item No 3205 (b)</t>
  </si>
  <si>
    <t>Fabrication and Supply of Box suitable for 8 No's KLCRs</t>
  </si>
  <si>
    <t>SOR 2024 item No 3205 (c)</t>
  </si>
  <si>
    <t>Manufacturing and fixing of glass fronted box ( key box) made out of teak wood of size 406X254X75 mm.</t>
  </si>
  <si>
    <t>SOR 2024 item No 3206</t>
  </si>
  <si>
    <t>Fixing of PVC pipes &amp; bends, drawing of required wires through the same up to functions like Control Telephone, Dy.Control Telephone, Magneto Phones inside SM's office as per Circuit diagram. This includes supply and fixing of required DPDT and rotary switches, PVC pipes and bends 25mm dia with 2mm wall thickness, Lightening dischargers and painting of particulars.</t>
  </si>
  <si>
    <t>LS</t>
  </si>
  <si>
    <t>SOR 2024 item No 3207</t>
  </si>
  <si>
    <t>Fabrication, supply and fixing aluminium ladder of size 25X25X5mm, 200mm width, arrangements for drawing various wires in the battery, equipment and relay rooms.</t>
  </si>
  <si>
    <t>SOR 2024 item No 3208</t>
  </si>
  <si>
    <t>Erection of CT Rack/Relay rack 1way/2way/4way with scaffolding suitably concreting tri-pod bases using J-bolts, fixing rack support of size 50 x 50 x 6 mm on to the wall. Reel insulators are to be provided for insulating the rack from the scaffolding &amp; tri-pod bases.</t>
  </si>
  <si>
    <t>Per one way Rack</t>
  </si>
  <si>
    <t>SOR 2024 item No 3209</t>
  </si>
  <si>
    <t>Alterations to Operating Panel, wiring, termination of all new alteration wires in the existing Operating Panels duly carrying out all the required alterations. (All the material required for alterations viz dominos, knobs, switches or any other material to be supplied by contractor).</t>
  </si>
  <si>
    <t>SOR 2024 item No 3210</t>
  </si>
  <si>
    <t>Fabrication and supply of powder coated (of approved colour) MS frames for Location boxes of size 955X155 mm and made of L angular of size 25X25X3 mm to suit `Q' series relays duly drilling required holes for relay bases (All materials such as frames, bolts, nuts and washers to be supplied by the contractor)</t>
  </si>
  <si>
    <t>SOR 2024 item No 3211</t>
  </si>
  <si>
    <t>Fixing of the following on Pre-erected Relay Racks.</t>
  </si>
  <si>
    <t xml:space="preserve">SOR 2024 item No  3212</t>
  </si>
  <si>
    <t>Fixing of approximately 200 Nos. of 6 way/1 way terminal block horizontally on 6mm Hylam sheets which in turn to be fixed to rack with all supports as per instructions of SSE in charge. Materials such as bolts, nuts and supporting flats to be supplied by the contractor only.</t>
  </si>
  <si>
    <t xml:space="preserve">SOR 2024 item No  3212 (a)</t>
  </si>
  <si>
    <t xml:space="preserve">Cutting and fixing of Hylam sheet of 6 mm/3mm thickness to suit to 1 way relay rack and fixing the following with contractors  screws,  bolts  and  nuts  and  fixing  strips, condensers and resistances of various values - 50 No.</t>
  </si>
  <si>
    <t xml:space="preserve">SOR 2024 item No  3212 (b)</t>
  </si>
  <si>
    <t>Fixing of non-deteriorating fuse holders with LED indications and resistors and negative terminal strips on 6mm Hylam sheet with contractors screws, bolts and nuts.</t>
  </si>
  <si>
    <t xml:space="preserve">SOR 2024 item No  3212c)</t>
  </si>
  <si>
    <t>Preparation of Contact Analysis for 'Q' style relays as per detailed technical specification.</t>
  </si>
  <si>
    <t>Per Relay</t>
  </si>
  <si>
    <t xml:space="preserve">SOR 2024 item No  3212 (d)</t>
  </si>
  <si>
    <t>Fixing relay bases on the relay frames erected in Relay Room, Wiring of all types of relays by drawing various sizes of wires/multi core cable, fixing fuses, condensers, resistances, LEDs etc and wiring duly soldering the same as per approved circuit diagram, testing point to point before soldering and after soldering, bunching and lacing as per detailed technical specification. Numbered ferrules shall be provided for each wire. Different colour codes and sizes of wire to be used as per standard practice. This also includes, provision of all PVC sleeves required to be provided. Copper lugs to suit to 16/02 wire and neat bunching, lacing with Modi Nylon/Twine thread and using PVC dotted tape with buttons. This also includes soldering all the wires in the relay room with Rosin core of IS Spec.1921 (60% Tin and 40% Led). Soldering should be done as per standard practice. This also includes inserting the clips, point to point testing as per the circuit diagram and plugging relays to Relay bases (except Inter-cables, relays other materials such as Rosin core, flux, nylon thread. PVC dotted tape should be supplied by the contractor). Point to point testing should be done in the presence of Engineer-in-charge as instructed in two stages, one before soldering and the other after soldering.</t>
  </si>
  <si>
    <t xml:space="preserve">SOR 2024 item No  3212(e)</t>
  </si>
  <si>
    <t>Indoor Painting including particulars of CT rack, relay rack, Equipment particulars (IPS, Data logger, UFSBI, ELD, Charger, battery particulars, block instrument, VDU and any other equipments in relay room/IPS room/ Battery room/Telecom room/Maintenance room/SM room), earthing particulars including ring earth particulars outside as applicable and any other indoor particulars as per technical specification for following stations:</t>
  </si>
  <si>
    <t xml:space="preserve">SOR 2024 item No  3213</t>
  </si>
  <si>
    <t>Up to Three Road Station</t>
  </si>
  <si>
    <t>Per Station/ Goomty</t>
  </si>
  <si>
    <t xml:space="preserve">SOR 2024 item No  3213 (a)</t>
  </si>
  <si>
    <t>More than Three Road Station</t>
  </si>
  <si>
    <t xml:space="preserve">SOR 2024 item No  3213 (b)</t>
  </si>
  <si>
    <t>Installation, testing and commissioning of Data Logger which includes the software configuration, validation, taking test print, networking to nominated location for monitoring, changing of EPROMS if any and alterations to data base in HQ/SSE offices where ever required.</t>
  </si>
  <si>
    <t xml:space="preserve">SOR 2024 item No  3214</t>
  </si>
  <si>
    <t>Installation, testing and commissioning of RTU 32/64/128 inputs which includes the software configuration needed for networking for transferring the data to nominated location for monitoring as per the instructions of the site in-charge.</t>
  </si>
  <si>
    <t xml:space="preserve">SOR 2024 item No  3215</t>
  </si>
  <si>
    <t>Alteration of database, faults, simulations in Data Loggers and all connected places (like HQ, FEP, Station etc.)</t>
  </si>
  <si>
    <t xml:space="preserve">SOR 2024 item No  3216</t>
  </si>
  <si>
    <t>Implementation, testing and commissioning per station of point reversal alarm.</t>
  </si>
  <si>
    <t>Per Station</t>
  </si>
  <si>
    <t xml:space="preserve">SOR 2024 item No  3217</t>
  </si>
  <si>
    <t>Alteration to station panels to incorporate IB signalling arrangements, LC Gate interlocking, LC Gate closing (counters, bell, buzzer and occupied/clear indications etc.)</t>
  </si>
  <si>
    <t xml:space="preserve">SOR 2024 item No  3218</t>
  </si>
  <si>
    <t>Providing and laying vitrified floor tiles in different sizes with water absorption less than 0.08% and conforming to IS: 15622, of approved make, in all colours and shades, laid on 20mm thick cement mortar 1:4 (1 cement: 4 coarse sand), jointing with grey cement slurry @ 3.3 kg/sq m including grouting the joints with white cement and matching pigments etc., complete.</t>
  </si>
  <si>
    <t xml:space="preserve">SOR 2024 item No  3219</t>
  </si>
  <si>
    <t>Size of Tile 500x500 mm</t>
  </si>
  <si>
    <t>Sq m</t>
  </si>
  <si>
    <t xml:space="preserve">SOR 2024 item No  3219(a)</t>
  </si>
  <si>
    <t>Size of Tile 600x600 mm</t>
  </si>
  <si>
    <t xml:space="preserve">SOR 2024 item No  3219 (b)</t>
  </si>
  <si>
    <t>Size of Tile 800x800 mm</t>
  </si>
  <si>
    <t xml:space="preserve">SOR 2024 item No  3219 (c)</t>
  </si>
  <si>
    <t>Size of Tile 1000x1000 mm</t>
  </si>
  <si>
    <t xml:space="preserve">SOR 2024 item No  3219 (d)</t>
  </si>
  <si>
    <t>Supply &amp; Installation of Proximity switch (CE approved) for relay room door &amp; connecting with the data logger as per the following specifications.
1. Supply and fixing of different sizes of PVC casing/ pipes as required by Railway at site by fixing/clamping to the wall or laying in floor for indoor wiring purposes. Necessary hardware materials such as Galvanized screws and washers, wooden pegs, teak etc, deep boxes, Junction boxes, Normal bends or diversion bends etc. to be arranged by the contractor.
2. Supply &amp; fixing of PVC Flexible pipe of 25/40/50mm dia sizes of reputed make.
3. Drawing of fresh new wires from the relay base/ proximity switch to another relay base/Data logger as per the new wiring without affecting the other wires. This also includes testing of wires using buzzer of the new wires drawn once before soldering and once after soldering.</t>
  </si>
  <si>
    <t xml:space="preserve">SOR 2024 item No  3220</t>
  </si>
  <si>
    <t>Fabrication of Keys and Plate configuration for points</t>
  </si>
  <si>
    <t xml:space="preserve">SOR 2024 item No  3221</t>
  </si>
  <si>
    <t>Fabrication, fixing of required configuration of key for point machine for grouping of crank handle.</t>
  </si>
  <si>
    <t xml:space="preserve">SOR 2024 item No  3221 (a)</t>
  </si>
  <si>
    <t>Fabrication, fixing of required configuration of grouping plate in point machine for grouping of crank handle.</t>
  </si>
  <si>
    <t xml:space="preserve">SOR 2024 item No  3221 (b)</t>
  </si>
  <si>
    <t>Provision of temporary signalling arrangement during Non Interlocked working of Signals and Points, such as erection and wiring of temporary relay racks and wiring of relays, SM's slide instruments, wiring alterations in the cable termination rack, apparatus cases, signals, Control panel etc, as per the instructions of Rly representative at site. All other miscellaneous material shall be supplied by contractor.</t>
  </si>
  <si>
    <t xml:space="preserve">SOR 2024 item No  3222</t>
  </si>
  <si>
    <t>Hiring of tarpaulin tents and providing the same at places as instructed by Railway representative at site. The spacing inside the tent shall be app 18ftx12 ft. Each tent shall be provided with a table, chair, tube lights and pedestal fan. Drinking water in cans. The tents shall be fixed firmly to withstand rain, strong wind etc.</t>
  </si>
  <si>
    <t>Per Tent Per Day</t>
  </si>
  <si>
    <t xml:space="preserve">SOR 2024 item No  3223</t>
  </si>
  <si>
    <t>Provision of PA system and telephone communication at stations/tents as per the instructions of Rly representative at site. Signalling cables available may be used for the communication. (Hiring of PA system equipments shall be done by the Contractor and telephone will be provided by Rly). [All other miscellaneous materials required for the work shall be supplied by the Contractor].</t>
  </si>
  <si>
    <t>Per Tent Per day</t>
  </si>
  <si>
    <t xml:space="preserve">SOR 2024 item No  3224</t>
  </si>
  <si>
    <t>Fabrication, supply and installation of NI panel of size 12" x 24" x 12" made in 18 gauge MS sheet.</t>
  </si>
  <si>
    <t xml:space="preserve">SOR 2024 item No  3225</t>
  </si>
  <si>
    <t>Fabrication, fixing and painting of surveillance panel board of size 2.0mX0.55mX3mm made of Hylam sheet on already erected rack duly drilling holes and fixing with nuts and bolts (All materials to be supplied by the contractor, except Relay Rack).</t>
  </si>
  <si>
    <t xml:space="preserve">SOR 2024 item No  3226</t>
  </si>
  <si>
    <t>Fixing of LEDs along with Jewels, Resistors, Sleeves duly drilling holes and soldering including drawing of wires, bunching and lacing. (All materials to be supplied by the contractor).</t>
  </si>
  <si>
    <t xml:space="preserve">SOR 2024 item No  3227</t>
  </si>
  <si>
    <t>Supply and installation of wire mesh (Gl) with welded MS flat/Aluminium frame and fixing on windows/ ventilators of different sizes as to be given by engineer.</t>
  </si>
  <si>
    <t>Sq.ft</t>
  </si>
  <si>
    <t xml:space="preserve">SOR 2024 item No  3228</t>
  </si>
  <si>
    <t>CHAPTER 33 - TRANSPORTATION</t>
  </si>
  <si>
    <t>Transportation of materials from any Stores to Site and vice- versa including loading and unloading.</t>
  </si>
  <si>
    <t xml:space="preserve">SOR 2024 item No  3301</t>
  </si>
  <si>
    <t>Lead up to 50 Kms</t>
  </si>
  <si>
    <t>PTPK</t>
  </si>
  <si>
    <t xml:space="preserve">SOR 2024 item No  3301 (a)</t>
  </si>
  <si>
    <t>Lead above 50 Kms</t>
  </si>
  <si>
    <t xml:space="preserve">SOR 2024 item No  3301(b)</t>
  </si>
  <si>
    <t>Arranging skilled labour at S&amp;T Stores for loading/ unloading/stacking of departmental materials.</t>
  </si>
  <si>
    <t>Man Day</t>
  </si>
  <si>
    <t xml:space="preserve">SOR 2024 item No  3302</t>
  </si>
  <si>
    <t>Segregation, stacking, loading, unloading and transportation in 6 MT capacity vehicle from Store to Scrap Depot or Store to Store within a city as per instruction of Engineer In charge.</t>
  </si>
  <si>
    <t>Per Load</t>
  </si>
  <si>
    <t xml:space="preserve">SOR 2024 item No  3303</t>
  </si>
  <si>
    <t>Hiring of JCB machine (in good condition) for levelling and dressing ground/dismantling structures including disposal of debris through dumpers etc., with contractors labour, JCB machine, machine operator, fuel etc. The contractor shall arrange road permit for vehicle for all the states of operation, as per instructions of engineer in charge</t>
  </si>
  <si>
    <t>Per Hour</t>
  </si>
  <si>
    <t xml:space="preserve">SOR 2024 item No  3304</t>
  </si>
  <si>
    <r>
      <rPr>
        <rFont val="Arial"/>
        <b val="1"/>
        <sz val="10"/>
        <scheme val="none"/>
      </rPr>
      <t>CHAPTER 34–POWER SUPPLY</t>
    </r>
  </si>
  <si>
    <t>Installation and wiring of all power supply equipment viz DC Distribution system, chargers, Transformers, batteries etc, and its wiring (lacing, button/thread copper eyelets/ lugs required for crimping 10 sq.mm wire are to be supplied by contractor). For power panel, bolts, nuts, fixing screws are to be arranged by contractor. ON/OFF Switches, digital Meters, Hylam sheet and wire coils will be arranged by Rlys.</t>
  </si>
  <si>
    <t xml:space="preserve">SOR 2024 item No  3401</t>
  </si>
  <si>
    <t>Initial Charging of Secondary Cells with uninterrupted Power Supply: -</t>
  </si>
  <si>
    <t xml:space="preserve">SOR 2024 item No  3402</t>
  </si>
  <si>
    <t>2 volts 80 AH</t>
  </si>
  <si>
    <t xml:space="preserve">SOR 2024 item No  3402(a)</t>
  </si>
  <si>
    <t>2 volts 120 AH</t>
  </si>
  <si>
    <t xml:space="preserve">SOR 2024 item No  3402 (b)</t>
  </si>
  <si>
    <t>2 volts 200 AH</t>
  </si>
  <si>
    <t xml:space="preserve">SOR 2024 item No  3402 (c)</t>
  </si>
  <si>
    <t>2 volts 300 AH</t>
  </si>
  <si>
    <t xml:space="preserve">SOR 2024 item No  3402 (d)</t>
  </si>
  <si>
    <t>12 Volts 13 plates Generator battery</t>
  </si>
  <si>
    <t xml:space="preserve">SOR 2024 item No  3402 (e)</t>
  </si>
  <si>
    <t>Installation of DG Set</t>
  </si>
  <si>
    <t xml:space="preserve">SOR 2024 item No  3403</t>
  </si>
  <si>
    <t>Foundation, Erection, Wiring, changeover arrangements in Generator room and commissioning as per Technical Specn for Installation of two generators of capacity up to 20 KVA.</t>
  </si>
  <si>
    <t xml:space="preserve">SOR 2024 item No  3403(a)</t>
  </si>
  <si>
    <t>Foundation, Erection, Wiring &amp; changeover arrangements in Generator room and commissioning as per Technical Specn for Installation of one DG set of capacity up to 20 KVA. This item is to be operated where only one DG Set is required.</t>
  </si>
  <si>
    <t xml:space="preserve">SOR 2024 item No  3403 (b)</t>
  </si>
  <si>
    <t xml:space="preserve">Running  charges  for DG  set  up  to  20KVA.  Fuel  to  be arranged by contractor.</t>
  </si>
  <si>
    <t xml:space="preserve">SOR 2024 item No  3403 (c)</t>
  </si>
  <si>
    <t>Service of the DG set as per the manufacturer’s instructions. All the consumables are to be arranged by contractor.</t>
  </si>
  <si>
    <t>Per Service</t>
  </si>
  <si>
    <t xml:space="preserve">SOR 2024 item No  3403 (d)</t>
  </si>
  <si>
    <t>Installation, wiring, earth connections with SEEB, testing and commissioning of IPS system. Wires/cables shall be supplied by Railways, Charging of battery is covered elsewhere. Minor items like casing/capping, Ladder, insulators, Lugs, Lacing of cables etc., where required to be supplied by contractor. Grouting and masonry work of the IPS to be done. Work includes installation of charged batteries and their wiring with IPS.</t>
  </si>
  <si>
    <t xml:space="preserve">SOR 2024 item No   3404</t>
  </si>
  <si>
    <t>Installation, Calibration and commissioning of Earth Leakage detector 8 to 12 channels as per instructions of engineer in charge.</t>
  </si>
  <si>
    <t xml:space="preserve">SOR 2024 item No   3405</t>
  </si>
  <si>
    <t>Supply and wiring of Polymeric Positive Temperature Co- Efficient Device self resetting type (PPTC) of 2A rating suitable for railway applications of reputed make. The PPTC fuse shall be wired by soldering suitable flexible wire on both ends (all material except flexible wire has to be arranged by contractor).</t>
  </si>
  <si>
    <t xml:space="preserve">SOR 2024 item No   3406</t>
  </si>
  <si>
    <r>
      <rPr>
        <rFont val="Arial"/>
        <b val="1"/>
        <sz val="10"/>
        <scheme val="none"/>
      </rPr>
      <t>CHAPTER 35–TESTING</t>
    </r>
  </si>
  <si>
    <t>Arranging of sufficient staff by contractor and giving test to the Rly in charge in the following stages as per instructions.</t>
  </si>
  <si>
    <t>SOR 2024 item No 3501</t>
  </si>
  <si>
    <t>Stage-1: Testing of wires drawn point to point using buzzer. (Before and after soldering).</t>
  </si>
  <si>
    <t>Per Sheet</t>
  </si>
  <si>
    <t>SOR 2024 item No 3501 (a)</t>
  </si>
  <si>
    <t xml:space="preserve">Stage-II: Making a simulation test board plywood 3mm approximately size 1.5 x 1meter. Painted according to the yard layout fixing 1 way/2-way switches in its approximate position for track circuit, point setting lamp holders and lamps. Carrying out  testing using simulation  board  after energising of internal circuit.</t>
  </si>
  <si>
    <t>Per Road</t>
  </si>
  <si>
    <t>SOR 2024 item No 3501 (b)</t>
  </si>
  <si>
    <t>Testing to check integrity of gears (Field correspondence)
i.e. One Signal Unit (with or without route)/Track Circuit /LC Gate/One Point machine/One Block Instrument/ One Slot etc. This item will be applicable after one round of complete testing of gears by the contractor in presence of Railway Supervisor.</t>
  </si>
  <si>
    <t>SOR 2024 item No 3502</t>
  </si>
  <si>
    <t>Testing and commissioning the entire signalling installations jointly with the Rly representative at site at the Stations/LC gates/IBS/Auto Signalling covered under various schedules of the Contract, and ensuring that all the signalling gears are installed and adjusted as per the existing rules.</t>
  </si>
  <si>
    <t>SOR 2024 item No 3503</t>
  </si>
  <si>
    <t>Testing and commissioning of Stations (up to 5 roads)</t>
  </si>
  <si>
    <t>SOR 2024 item No 3503 (a)</t>
  </si>
  <si>
    <t>Testing and commissioning of Stations (with more than 5 roads)</t>
  </si>
  <si>
    <t>SOR 2024 item No 3503 (b)</t>
  </si>
  <si>
    <t>Testing and commissioning of LC gates/IBS Hut/Auto Hut</t>
  </si>
  <si>
    <t>Per LC/ Per Hut</t>
  </si>
  <si>
    <t>SOR 2024 item No 3503 (c)</t>
  </si>
  <si>
    <r>
      <rPr>
        <rFont val="Arial"/>
        <b val="1"/>
        <sz val="10"/>
        <scheme val="none"/>
      </rPr>
      <t>CHAPTER 36–LC GATE</t>
    </r>
  </si>
  <si>
    <t>Foundation, Erection, Testing and Commissioning of Electrically Operated Lifting Barriers assembly, drive mechanism, motors etc. as per technical specification, with control panel, boom locking arrangements &amp; crank handles complete with Hand generator. The work includes excavation of pit and concreting foundation for pedestal-2 Nos., Excavation of pit and concreting foundation for meeting post-2 Nos., Erection of Electrical Lifting barrier-1 Set, Fixing of EOLB Panel and its wiring-1 No., testing and commissioning as per detailed technical specification and instructions of site in charge. (75 % of payment will be made after foundation, erection &amp; testing and 25% Payment after Commissioning).</t>
  </si>
  <si>
    <t>SOR 2024 item No 3601</t>
  </si>
  <si>
    <t>Supply and Fixing of stop board of size (600mm dia) made out of 1mm thick GI sheet with high intensive prismatic retro reflective sheet, red background and white colour letters in three languages English, Hindi and local language in as per railway standards with minimum reflectivity distance of 250m with all necessary fixing clamps, bolts and nuts to suit for electric lifting barrier as per enclosed Drg No. S&amp;T/MFT/6077 or latest. The local language shall be as per the instructions of site in-charge.</t>
  </si>
  <si>
    <t>SOR 2024 item No 3602</t>
  </si>
  <si>
    <t>Supply and fixing of 'AHUJA' or similar make horn type loud speaker 15W 8 ohms impedance at LC gate Road signal.</t>
  </si>
  <si>
    <t>SOR 2024 item No 3603</t>
  </si>
  <si>
    <t>Supply and installation of Electronic Flasher unit, able to drive 2 No. of flasher lights.</t>
  </si>
  <si>
    <t>SOR 2024 item No 3604</t>
  </si>
  <si>
    <t>Supply and fixing of Electronic Hooter unit 24/110 DC of approved design/make able to drive 2 Nos. of Speakers of 8 ohms 15W.</t>
  </si>
  <si>
    <t>SOR 2024 item No 3605</t>
  </si>
  <si>
    <t>Supply and fixing of yellow retro reflective strips of 1" width each on both sides of the yellow painted portion for both the lifting barrier booms.</t>
  </si>
  <si>
    <t>Per LC Gate</t>
  </si>
  <si>
    <t>SOR 2024 item No 3606</t>
  </si>
  <si>
    <t>Painting of gate protection diagram.</t>
  </si>
  <si>
    <t>SOR 2024 item No 3607</t>
  </si>
  <si>
    <t>Fabrication, supply and installation of gate control cum indication panel of size 30"X12" (MS sheet type) complete with LED etc., painting, screen printing of gate plan, signals etc., and prewired with four signal knobs and SM's control. All material required shall be supplied by the contractor as per Drg.</t>
  </si>
  <si>
    <t>SOR 2024 item No 3608</t>
  </si>
  <si>
    <t>Concreting foundation for Pedestal lifting barrier (electrical/mechanical) as per Drg No. SK/SC/CN/33/85 (all materials viz., cement, metal stone, sand and foundation bolts are to be supplied by the Contractor).</t>
  </si>
  <si>
    <t>SOR 2024 item No 3609</t>
  </si>
  <si>
    <t>Excavation of a pit and concreting foundation for 2 No. of lifting barrier gate meeting posts, using anchor bolts of size 20X450mm as per Tech Specn. (All materials except cement to be arranged by the Contractor).</t>
  </si>
  <si>
    <t>SOR 2024 item No 3610</t>
  </si>
  <si>
    <t>Excavation of pit and casting foundation for one lever frame with cement concrete in the proportion of 1:2:3 with approx. 40mm graded stone and river sand, using 4 Nos. of 18/34 bolts.</t>
  </si>
  <si>
    <t>SOR 2024 item No 3611</t>
  </si>
  <si>
    <t>Excavation of a pit and concreting foundation for 1 No. of lifting barrier gate winch using anchor bolts of size 20 X 450mm. Concrete ratio is 1:3:6 (cement will be supplied by the Railways).</t>
  </si>
  <si>
    <t>SOR 2024 item No 3612</t>
  </si>
  <si>
    <t>Assembling, erection and testing of complete mechanical lifting barrier assembly with two no. of pedestals, two booms complete, winch, two boom stops complete with wire transmission. This includes turnout wheel foundation etc..</t>
  </si>
  <si>
    <t>SOR 2024 item No 3613</t>
  </si>
  <si>
    <t>Carrying out lifting barrier boom locking arrangements complete with foundations, fixing of lever frame etc., Excavation of pit at a given location, concreting the foundation for the single/double/three lever frame as per Drg No. SC/W/CN/65. This includes provision of winch handle locking arrangement by cutting suitable groove on the pinion end suitably expending the 'E' type lock plunger, triple lock arrangement and connecting rodding to GF and boom locking mechanism, testing and commissioning.</t>
  </si>
  <si>
    <t>SOR 2024 item No 3614</t>
  </si>
  <si>
    <t>Assembling of roller trestles 2/4 way with roller stands, bottom and top roller, MS pin for top roller, split pin. Excavation of pit to suit 2/4 way trestle, placing it at intervals of not more than 2 meters. Filling up earth after keeping trestles in the pit.</t>
  </si>
  <si>
    <t>SOR 2024 item No 3615</t>
  </si>
  <si>
    <t>Foundation &amp; fixing of Diversion Wheel/cranks.</t>
  </si>
  <si>
    <t>SOR 2024 item No 3616</t>
  </si>
  <si>
    <t>Laying of point rodding 33mm dia on the roller trestle assembly already fixed coupling the rods together levelling aligning. Twist/bends in the point rodding is to be removed and rods straightened by the contractor before laying on trestles. All the materials except bolts and nuts and the tools will be supplied by the Railways.</t>
  </si>
  <si>
    <t>SOR 2024 item No 3617</t>
  </si>
  <si>
    <t>Fixing and wiring RKT/EKT for siding or LC Gate interlocking. This includes installation of Magneto telephones at location, gate, SM's office etc.</t>
  </si>
  <si>
    <t>SOR 2024 item No 3618</t>
  </si>
  <si>
    <t>Supply of paint black enamel of approved quality and painting of Cranks/GF in 2 coats. Painting the function number on the arm with while enamel paint (40mm letters), and brush for the work are to be arranged by the contractor.</t>
  </si>
  <si>
    <t>SOR 2024 item No 3619</t>
  </si>
  <si>
    <t>Supply of approved quality paint and painting of point rodding already run on trestles, with 2 coats of red oxide leaving 300mm on either side of the top roller on trestles. The connecting rod to crank/compensator is to be painted for a length of 600mm from it using two coats of black enamel paint. All materials and tools required to the work shall be arranged by the contractor.</t>
  </si>
  <si>
    <t>Per Mtr.</t>
  </si>
  <si>
    <t>SOR 2024 item No 3620</t>
  </si>
  <si>
    <t>Forge welding of point rodding 33mm dia with smooth finish of surface after taking measurements and connecting the welded rod and either end to coupling end /junction/crank. All material such as coal is to be arranged by the contractor.</t>
  </si>
  <si>
    <t>Per Weld</t>
  </si>
  <si>
    <t>SOR 2024 item No 3621</t>
  </si>
  <si>
    <t>Fixing of E type locks for boom locking arrangement duly drilling of suitable holes for fixing with suitable bolts and finishing as per instructions of site in charge for ESL</t>
  </si>
  <si>
    <t>Lump sum</t>
  </si>
  <si>
    <t>SOR 2024 item No 3622</t>
  </si>
  <si>
    <t>Sliding Boom Arrangements</t>
  </si>
  <si>
    <t>Fabrication, supply, transport, erection at site, sliding boom mechanical type, make assembly, movement drive mechanism, resting stand and meeting post. Rates included for all required nut &amp; bolts, chains, padlocks 2 No’s and other miscellaneous are supplied by contractor</t>
  </si>
  <si>
    <t xml:space="preserve"> </t>
  </si>
  <si>
    <t>SOR 2024 item No 3623</t>
  </si>
  <si>
    <t>M.S. Boom 65mm dia 10 mtrs long (dividing in two equivalent pieces) with nut &amp; bolts arrangements, pulling hand and boom locking arrangements etc. as directed by engineer in charge at site (All materials to be supplied by the contractor)</t>
  </si>
  <si>
    <t>SOR 2024 item No 3623 (a)</t>
  </si>
  <si>
    <t>Resting stand made up of C channel 150mmX75mmX 6mm thick for resting the boom movement frame/ meeting post grouting type.</t>
  </si>
  <si>
    <t>SOR 2024 item No 3623 (b)</t>
  </si>
  <si>
    <t>Boom movement rectangular frame made up by C channel 75mmX37mmX6mm 9.5mtrs long and 250mm width (it should divided in two pieces nut and bolt arrangements) with necessary boom movement rollers arrangements and boom driving mechanism made up of 4 ball bearings, boom replacement arrangements etc.</t>
  </si>
  <si>
    <t>SOR 2024 item No 3623(c)</t>
  </si>
  <si>
    <t>MS Plate of size 20”X20’X6mm for boom locking arrangements with front and back covers (only E type locks will be supplied by Railways).</t>
  </si>
  <si>
    <t>SOR 2024 item No 3623 (d)</t>
  </si>
  <si>
    <t>M.S Pate of size 12”X16”X6mm for fixing of 3 E type locks at in the side gate lodge. It should be drilled 18 holes and back side 10mm nut should be welded for replacement of E type locks, it to be fixed to wall (only E type locks will be supplied by Railway).</t>
  </si>
  <si>
    <t>SOR 2024 item No 3623 (e)</t>
  </si>
  <si>
    <t>Supply of 20mm teak wood board of size 600mmX 500mm for fixing 2 No’s of EKTs, with 2 No’s of push button, 6 No’s of 10 mm Led resistance holders etc. (only Hylam sheet, EKT’s will be supplied by Railway).</t>
  </si>
  <si>
    <t>SOR 2024 item No 3623 (f)</t>
  </si>
  <si>
    <t>Fabrication, supply, fixing of MS of size 10’X18’X9’ with locking arrangement for locking the boom in standby mode.</t>
  </si>
  <si>
    <t>SOR 2024 item No 3623 (g)</t>
  </si>
  <si>
    <t>Supply and fixing of retro reflective (High Intensive Prismatic: HIP) stop board made out of aluminium sheet 2 mm thick and lettering in three languages and fixing arrangements to boom pipe and as directed by engineer in charge at site.</t>
  </si>
  <si>
    <t>SOR 2024 item No 3623 (h)</t>
  </si>
  <si>
    <t>Excavation of pit and concreting foundations for resting stand/meeting stand (approx 10 No’s/item-b)</t>
  </si>
  <si>
    <t>SOR 2024 item No 3623 (i)</t>
  </si>
  <si>
    <t>Supply of paint of approved quality (Asian, Berger, Nicholson) and painting of complete sliding boom arrangements and accessories (Rectangular boom movement stand, pillar supports, resting stand with one coat of red oxide and two coats of Yellow/black enamel paint &amp; Yellow colour retro reflective tape (HIP) with width of 12" and as directed by engineer in-charge at site.</t>
  </si>
  <si>
    <t>SOR 2024 item No 3624</t>
  </si>
  <si>
    <t>Installation, Testing and commissioning of Automatic Gate Warning System for Gate</t>
  </si>
  <si>
    <t>SOR 2024 item No 3625</t>
  </si>
  <si>
    <t>LED Based Audio-Visual Approach Warning System</t>
  </si>
  <si>
    <t>SOR 2024 item No 3625(a)</t>
  </si>
  <si>
    <t>Communication unit and Station master indication unit</t>
  </si>
  <si>
    <t>SOR 2024 item No 3625(b)</t>
  </si>
  <si>
    <r>
      <rPr>
        <rFont val="Arial"/>
        <b val="1"/>
        <sz val="10"/>
        <scheme val="none"/>
      </rPr>
      <t>CHAPTER 37–AXLE COUNTER</t>
    </r>
  </si>
  <si>
    <t>Fixing and erection of Axle Counter single entry type along with racks, track transducers, rail deflectors, EJ box equipment at site. Fixing of required number of terminal blocks, fuses, lightening dischargers etc., in EJ box and wiring as per the circuit. Placement of evaluator, relays, inside the axle counter rack, termination of axle counter cable and wiring the same as per the circuit diagram in relay/axle counter room. This also includes providing resetting box in SM's office, plunger box at a place shown by the site in-charge and wiring as per the circuit diagram. Further the axle counter system has to be tested and commissioned (bolts, nuts, GI pipe, flexible conduit pipe metallic, lugs, wood screws are to be supplied by the contractor.</t>
  </si>
  <si>
    <t>SOR 2024 item No 3701</t>
  </si>
  <si>
    <t>Installation (including power supply arrangements if required), testing and commissioning of SSDAC/ HASSDAC. The work consists of:
a) Fixing of axle counter track device consisting of Tx-Rx coil assembly for each detection point drilling holes in the rails as per the marking given by the site in charge.
b) Fixing of rails deflector plates on either side of each detection points as per the marking given by the site in charge.
c) Fixing of evaluators inside pre-erected location boxes on the nominated planks along with VR assembly duly providing anti-vibration arrangements, fixing terminals and wiring as per the instructions of site in-charge.
d) Routing cables from Tx/Rx coil assembly through pre laid GI/HDPE pipe arrangements of track crossing and entering the location box and termination (60 % Payment after installation &amp; Testing and 40% after commissioning).</t>
  </si>
  <si>
    <t>SOR 2024 item No 3702</t>
  </si>
  <si>
    <t>Fabrication and supply of 2 Nos. of hard reset boxes for BPAC resetting as per Drg No. SK/P/11-A/14.</t>
  </si>
  <si>
    <t>SOR 2024 item No 3703</t>
  </si>
  <si>
    <t>Fabrication and supply of 2 No’s of auto reset boxes for BPAC resetting as per Drg No.SK/P/11-B/14.</t>
  </si>
  <si>
    <t>SOR 2024 item No 3704</t>
  </si>
  <si>
    <t>Supply, erection and fixing of retro reflective type BPAC Warning boards/IBS Legend Board of size 1000X600X3 mm. The boards shall be provided with Retro Reflective type BPAC Warning boards. MS Angle, stone jelly of size 20/25mm dia, river sand, cement, fixing bolts and nuts, paint and all other miscellaneous materials required for the work shall be supplied by the contractor.</t>
  </si>
  <si>
    <t>SOR 2024 item No 3705</t>
  </si>
  <si>
    <r>
      <rPr>
        <rFont val="Arial"/>
        <b val="1"/>
        <sz val="10"/>
        <scheme val="none"/>
      </rPr>
      <t>CHAPTER 38–SOLAR PANEL</t>
    </r>
  </si>
  <si>
    <t>Fixing of Solar panels on roof top etc, concreting the base and their wiring as per the details given by Engineer at site and also extending the solar panel output to 6 way PB terminal/change over switch as per (C) below located inside the room/gate lodge using 10 sq mm wire through PVC pipes. All materials excluding PVC wire coil shall be supplied by Contractor. Includes installation of charge controller, AJB, foundation related items on roof top including cement and any other material supplied with system.</t>
  </si>
  <si>
    <t>Per Panel</t>
  </si>
  <si>
    <t>SOR 2024 item No 3801</t>
  </si>
  <si>
    <t>Change over arrangements for Solar/DCDP supply using 3NO/3NC 25 Amps contact rating (L&amp;T/Siemens contactor unit) and connecting to the battery (PVC conduit and arrangement for fixing on Hylam sheet to be provided by contractor). Wires and Hylam sheet shall be supplied by Railways.</t>
  </si>
  <si>
    <t>SOR 2024 item No 3802</t>
  </si>
  <si>
    <t>CHAPTER 39 - DOCUMENTATION</t>
  </si>
  <si>
    <t>Design of SIP in Auto Cad. Initially, contractor shall submit 3 copies for approval of Rlys. One set will be returned duly approved for making a fair copy or for re-submission for approval after incorporating the changes as required by Rlys. After carrying out changes, three Hard copies to be submitted for Rly approval. After approval, Auto Cad copies to be submitted in USB pen drive along with approved copy in Tracing film and six copies of final approved drawing (Ammonia Print or print as approved by Rly) in properly bound booklet along with its scanned copy.</t>
  </si>
  <si>
    <t>SOR 2024 item No 3901</t>
  </si>
  <si>
    <t>For a Two-Line Station</t>
  </si>
  <si>
    <t>SOR 2024 item No 3901(a)</t>
  </si>
  <si>
    <t>For a Three-Line Station</t>
  </si>
  <si>
    <t>SOR 2024 item No 3901(b)</t>
  </si>
  <si>
    <t>For a Four-Line Station</t>
  </si>
  <si>
    <t>SOR 2024 item No 3901(c)</t>
  </si>
  <si>
    <t>For a Five-Line Station</t>
  </si>
  <si>
    <t>SOR 2024 item No 3901 (d)</t>
  </si>
  <si>
    <t>For a Six-Line Station</t>
  </si>
  <si>
    <t>SOR 2024 item No 3901 (e)</t>
  </si>
  <si>
    <t>For a Seven-Line Station</t>
  </si>
  <si>
    <t>SOR 2024 item No 3901 (f)</t>
  </si>
  <si>
    <t>For a Eight-Line Station or more</t>
  </si>
  <si>
    <t>SOR 2024 item No 3901 (g)</t>
  </si>
  <si>
    <t>For a Mid-Section LC Gate</t>
  </si>
  <si>
    <t>SOR 2024 item No 3901 (h)</t>
  </si>
  <si>
    <t>Design of SWRD in Auto Cad. Initially, contractor shall submit 3 copies for approval of Rlys. One set will be returned duly approved for making a fair copy or for re-submission for approval after incorporating the changes as required by Rlys. After carrying out changes, three Hard copies to be submitted for Rly approval. After approval, Auto Cad copies to be submitted in USB pen drive along with approved copy in Tracing film and six copies of final approved drawing (Ammonia Print or print as approved by Rly) in properly bound booklet along with its scanned copy.</t>
  </si>
  <si>
    <t>SOR 2024 item No 3902</t>
  </si>
  <si>
    <t>SOR 2024 item No 3902 (a)</t>
  </si>
  <si>
    <t>SOR 2024 item No 3902 (b)</t>
  </si>
  <si>
    <t>SOR 2024 item No 3902(c)</t>
  </si>
  <si>
    <t>SOR 2024 item No 3902(d)</t>
  </si>
  <si>
    <t>SOR 2024 item No 3902 (e)</t>
  </si>
  <si>
    <t>SOR 2024 item No 3902 (f)</t>
  </si>
  <si>
    <t>SOR 2024 item No 3902 (g)</t>
  </si>
  <si>
    <t>GWRD For a Mid-Section LC Gate</t>
  </si>
  <si>
    <t>SOR 2024 item No 3902 (h)</t>
  </si>
  <si>
    <r>
      <t xml:space="preserve">Preparation of </t>
    </r>
    <r>
      <rPr>
        <rFont val="Arial"/>
        <b val="1"/>
        <sz val="10"/>
        <scheme val="none"/>
      </rPr>
      <t xml:space="preserve">Table of Control </t>
    </r>
    <r>
      <rPr>
        <rFont val="Arial"/>
        <sz val="10"/>
        <scheme val="none"/>
      </rPr>
      <t>based on SIP issued in Auto Cad in A3 size. Initially, contractor shall submit 2 sets of document for approval of Rlys. One set will be returned duly approved for making a fair copy or for re-submission for approval after incorporating the changes as required by Rlys. After carrying out changes, two sets of Hard copies to be submitted for Rly approval. After approval, Auto Cad copies to be submitted in USB pen drive along with approved copy in Tracing film and two sets of final approved drawing in properly bound booklet along its scanned copy.</t>
    </r>
  </si>
  <si>
    <t>Per Route</t>
  </si>
  <si>
    <t xml:space="preserve">SOR 2024 item No  3903</t>
  </si>
  <si>
    <r>
      <t xml:space="preserve">Design in AUTOCAD and submission of two draft copies of </t>
    </r>
    <r>
      <rPr>
        <rFont val="Arial"/>
        <b val="1"/>
        <sz val="10"/>
        <scheme val="none"/>
      </rPr>
      <t xml:space="preserve">Complete Outdoor Particular </t>
    </r>
    <r>
      <rPr>
        <rFont val="Arial"/>
        <sz val="10"/>
        <scheme val="none"/>
      </rPr>
      <t>such as Cable Route Plan, Cable Corage Plan, Cable Termination Rack/Power Rack Particular, Track Bonding, and Location Box Particular along with NI wiring/NI Relay Disposition chart. One copy will be returned either duly approved or for resubmission for approval after incorporating the changes as required by Rlys. After approval, one approved Tracing film copy &amp; six copies (Ammonia Print or print as approved by Rly) of above drawings along with six copies of SIP and SWRD in Plastic Covers. All above drawing to be scanned including SIP &amp; SWRD, bound in 6 different booklet with Rexin Cover (Each booklet shall have minimum 10 spare plastic transparent sheet) and a soft copy to be submitted in a Pen Drive for following categories of Stations:</t>
    </r>
  </si>
  <si>
    <t xml:space="preserve">SOR 2024 item No  3904</t>
  </si>
  <si>
    <t>For a Two-Line Station (Up to 25 Location Boxes)</t>
  </si>
  <si>
    <t xml:space="preserve">SOR 2024 item No  3904 (a)</t>
  </si>
  <si>
    <t>For a Three-Line Station (Up to 40 Location Boxes)</t>
  </si>
  <si>
    <t xml:space="preserve">SOR 2024 item No  3904 (b)</t>
  </si>
  <si>
    <t>For a Four-Line Station (Up to 60 Location Boxes)</t>
  </si>
  <si>
    <t xml:space="preserve">SOR 2024 item No  3904(c)</t>
  </si>
  <si>
    <t>For a Five-Line Station (Up to 70 Location Boxes)</t>
  </si>
  <si>
    <t xml:space="preserve">SOR 2024 item No  3904 (d)</t>
  </si>
  <si>
    <t>For a Six-Line Station (Up to 90 Location Boxes)</t>
  </si>
  <si>
    <t xml:space="preserve">SOR 2024 item No  3904 (e)</t>
  </si>
  <si>
    <t>For a Seven-Line Station (Up to 100 Location Boxes)</t>
  </si>
  <si>
    <t xml:space="preserve">SOR 2024 item No  3904 (f)</t>
  </si>
  <si>
    <t>For a Eight-Line Station or more (Up to 110 Location Boxes)</t>
  </si>
  <si>
    <t xml:space="preserve">SOR 2024 item No  3904 (g)</t>
  </si>
  <si>
    <t>For a Mid-Section LC Gate (Up to 15 Location Boxes)</t>
  </si>
  <si>
    <t xml:space="preserve">SOR 2024 item No  3904(h)</t>
  </si>
  <si>
    <r>
      <t xml:space="preserve">Design of </t>
    </r>
    <r>
      <rPr>
        <rFont val="Arial"/>
        <b val="1"/>
        <sz val="10"/>
        <scheme val="none"/>
      </rPr>
      <t xml:space="preserve">Cable Route Plan </t>
    </r>
    <r>
      <rPr>
        <rFont val="Arial"/>
        <sz val="10"/>
        <scheme val="none"/>
      </rPr>
      <t>(Distant to Distant) including details of all track crossing/Horizontal boring/Cable Loop/Cable Joints etc. in AUTO CAD &amp; submission of coloured paper copies for approval. After approval, Auto Cad copies to be submitted in USB pen drive along with approved copy in Tracing film and six copies of final approved drawing in plastic cover (Ammonia Print or print as approved by Rly) in properly bound booklet along with its scanned copy.</t>
    </r>
  </si>
  <si>
    <t>SOR 2024 item No 3905</t>
  </si>
  <si>
    <t>SOR 2024 item No 3905 (a)</t>
  </si>
  <si>
    <t>SOR 2024 item No 3905(b)</t>
  </si>
  <si>
    <t>SOR 2024 item No 3905(c)</t>
  </si>
  <si>
    <t>SOR 2024 item No 3905(d)</t>
  </si>
  <si>
    <t xml:space="preserve">SOR 2024 item No 3905  (e)</t>
  </si>
  <si>
    <t>SOR 2024 item No 3905(f)</t>
  </si>
  <si>
    <t>SOR 2024 item No 3905 (g)</t>
  </si>
  <si>
    <t>SOR 2024 item No 3905(h)</t>
  </si>
  <si>
    <r>
      <t xml:space="preserve">Design of </t>
    </r>
    <r>
      <rPr>
        <rFont val="Arial"/>
        <b val="1"/>
        <sz val="10"/>
        <scheme val="none"/>
      </rPr>
      <t xml:space="preserve">Cable Distribution Plan </t>
    </r>
    <r>
      <rPr>
        <rFont val="Arial"/>
        <sz val="10"/>
        <scheme val="none"/>
      </rPr>
      <t>in AUTOCAD &amp; submission of Three paper copies for approval as per the practice of SCR. After approval, AUTO CAD copies to be submitted in USB pen drive along with approved copy in Tracing film and six copies of final approved drawing in plastic cover (Ammonia Print or print as approved by Rly) in properly bound booklet along with its scanned copy.</t>
    </r>
  </si>
  <si>
    <t xml:space="preserve">SOR 2024 item No   3906</t>
  </si>
  <si>
    <t xml:space="preserve">SOR 2024 item No   3906 (a)</t>
  </si>
  <si>
    <t xml:space="preserve">SOR 2024 item No   3906 (b)</t>
  </si>
  <si>
    <t xml:space="preserve">SOR 2024 item No   3906 (c)</t>
  </si>
  <si>
    <t xml:space="preserve">SOR 2024 item No   3906 (d)</t>
  </si>
  <si>
    <t xml:space="preserve">SOR 2024 item No   3906 (e)</t>
  </si>
  <si>
    <t xml:space="preserve">SOR 2024 item No   3906 (f)</t>
  </si>
  <si>
    <t xml:space="preserve">SOR 2024 item No   3906 (g)</t>
  </si>
  <si>
    <t xml:space="preserve">SOR 2024 item No   3906 (h)</t>
  </si>
  <si>
    <r>
      <t xml:space="preserve">Design of </t>
    </r>
    <r>
      <rPr>
        <rFont val="Arial"/>
        <b val="1"/>
        <sz val="10"/>
        <scheme val="none"/>
      </rPr>
      <t xml:space="preserve">Track Bonding Plan </t>
    </r>
    <r>
      <rPr>
        <rFont val="Arial"/>
        <sz val="10"/>
        <scheme val="none"/>
      </rPr>
      <t>in AUTOCAD &amp; submission of Three paper copies for approval. After approval, AUTO CAD copies to be submitted in USB pen drive along with approved copy in Tracing film and six copies of final approved drawing in plastic cover (Ammonia Print or print as approved by Rly) in properly bound booklet alongwith its scanned copy.</t>
    </r>
  </si>
  <si>
    <t xml:space="preserve">SOR 2024 item No   3907</t>
  </si>
  <si>
    <t xml:space="preserve">SOR 2024 item No   3907(a)</t>
  </si>
  <si>
    <t xml:space="preserve">SOR 2024 item No   3907(b)</t>
  </si>
  <si>
    <t xml:space="preserve">SOR 2024 item No   3907(c)</t>
  </si>
  <si>
    <t xml:space="preserve">SOR 2024 item No   3907(d)</t>
  </si>
  <si>
    <t xml:space="preserve">SOR 2024 item No   3907(e)</t>
  </si>
  <si>
    <t xml:space="preserve">SOR 2024 item No   3907(f)</t>
  </si>
  <si>
    <t xml:space="preserve">SOR 2024 item No   3907(g)</t>
  </si>
  <si>
    <t xml:space="preserve">Design of Circuit Diagrams in AUTO CAD consisting of the items as mentioned below &amp; submission of Three paper copies for approval
(i) Wiring Diagrams (ii) Relay Disposition Charts (iii ) Contact Analysis and  Fuse Particulars (iv) Termination Chart for Panel Interlocking  (v) CT Rack Particulars.</t>
  </si>
  <si>
    <t xml:space="preserve">SOR 2024 item No   3908</t>
  </si>
  <si>
    <t xml:space="preserve">SOR 2024 item No   3908(a)</t>
  </si>
  <si>
    <t xml:space="preserve">SOR 2024 item No   3908(b)</t>
  </si>
  <si>
    <t xml:space="preserve">SOR 2024 item No   3908(c)</t>
  </si>
  <si>
    <t xml:space="preserve">SOR 2024 item No   3908(d)</t>
  </si>
  <si>
    <t xml:space="preserve">SOR 2024 item No   3908(e)</t>
  </si>
  <si>
    <t xml:space="preserve">SOR 2024 item No   3908(f)</t>
  </si>
  <si>
    <t xml:space="preserve">SOR 2024 item No   3908(g)</t>
  </si>
  <si>
    <t>Per LC gate</t>
  </si>
  <si>
    <t xml:space="preserve">SOR 2024 item No   3908(h)</t>
  </si>
  <si>
    <t>Design of Location Box Drawings in AUTO CAD (Including Contact Analysis, Fuse Particulars, cable particulars etc.) and submission of Three paper copies for approval in A4/A3 white papers. After approval, AUTO CAD copies to be submitted in USB pen drive along with approved copy in Tracing film and six copies in Ammonia print of final approved drawing in plastic cover in properly bound booklet along with its scanned copy.</t>
  </si>
  <si>
    <t>per Location box</t>
  </si>
  <si>
    <t xml:space="preserve">SOR 2024 item No   3909</t>
  </si>
  <si>
    <t>Supply of Original Tracing of Circuit Diagrams consisting of the items as mentioned below along with softcopy in CD after incorporating all the corrections. (i) Wiring Diagrams (ii) Relay Disposition Charts (iii) Contact Analysis and Fuse Particulars (iv) Panel Termination Chart (iv) Panel Termination Chart</t>
  </si>
  <si>
    <t xml:space="preserve">SOR 2024 item No   3910</t>
  </si>
  <si>
    <t xml:space="preserve">SOR 2024 item No   3910 (a)</t>
  </si>
  <si>
    <t xml:space="preserve">SOR 2024 item No   3910 (b)</t>
  </si>
  <si>
    <t xml:space="preserve">SOR 2024 item No   3910 (c)</t>
  </si>
  <si>
    <t xml:space="preserve">SOR 2024 item No   3910(d)</t>
  </si>
  <si>
    <t xml:space="preserve">SOR 2024 item No   3910 (e)</t>
  </si>
  <si>
    <t xml:space="preserve">SOR 2024 item No   3910 (f)</t>
  </si>
  <si>
    <t xml:space="preserve">SOR 2024 item No   3910(g)</t>
  </si>
  <si>
    <t xml:space="preserve">SOR 2024 item No   3910(h)</t>
  </si>
  <si>
    <t>Supply of Original Tracing of Location Box Drawings (Including Contact Analysis, Fuse Particulars etc.) along with softcopy in CD after incorporating all the corrections.</t>
  </si>
  <si>
    <t xml:space="preserve">SOR 2024 item No   3911</t>
  </si>
  <si>
    <t xml:space="preserve">SOR 2024 item No   3911 (a)</t>
  </si>
  <si>
    <t xml:space="preserve">SOR 2024 item No   3911 (b)</t>
  </si>
  <si>
    <t xml:space="preserve">SOR 2024 item No   3911 (c)</t>
  </si>
  <si>
    <t xml:space="preserve">SOR 2024 item No   3911 (d)</t>
  </si>
  <si>
    <t xml:space="preserve">SOR 2024 item No   3911 (e)</t>
  </si>
  <si>
    <t xml:space="preserve">SOR 2024 item No   3911(f)</t>
  </si>
  <si>
    <t xml:space="preserve">SOR 2024 item No   3911 (g)</t>
  </si>
  <si>
    <t xml:space="preserve">SOR 2024 item No   3911 (h)</t>
  </si>
  <si>
    <t>Alteration of Existing SWRD &amp; submission of Three paper copies for approval.</t>
  </si>
  <si>
    <t>SOR 2024 item No 3912</t>
  </si>
  <si>
    <t>SOR 2024 item No 3912 (a)</t>
  </si>
  <si>
    <t>SOR 2024 item No 3912 (b)</t>
  </si>
  <si>
    <t>SOR 2024 item No 3912 (c)</t>
  </si>
  <si>
    <t>SOR 2024 item No 3912 (d)</t>
  </si>
  <si>
    <t>SOR 2024 item No 3912 (e)</t>
  </si>
  <si>
    <t>SOR 2024 item No 3912 (f)</t>
  </si>
  <si>
    <t>SOR 2024 item No 3912 (g)</t>
  </si>
  <si>
    <t>SOR 2024 item No 3912 (h)</t>
  </si>
  <si>
    <t>Alteration of Existing Circuit Diagrams consisting of the items as mentioned &amp; submission of Three paper copies for approval: (i)Wiring Diagrams (ii) Relay Disposition Charts (iii) Contact Analysis and Fuse Particulars (iv) Panel Termination Chart (v) CT Rack Particulars (vi) Input &amp; Output Bit Chart for El Systems.</t>
  </si>
  <si>
    <t>SOR 2024 item No 3913</t>
  </si>
  <si>
    <t>Alteration of Existing Location Box Drawings (Including Contact Analysis, Fuse Particulars etc.) and submission of Three paper copies for approval.</t>
  </si>
  <si>
    <t>SOR 2024 item No 3914</t>
  </si>
  <si>
    <r>
      <t xml:space="preserve">Supply of drawings in Original Tracing (Matt Film), A-3 Size. 
</t>
    </r>
    <r>
      <rPr>
        <rFont val="Arial"/>
        <b val="1"/>
        <sz val="10"/>
        <scheme val="none"/>
      </rPr>
      <t xml:space="preserve">NOTE: </t>
    </r>
    <r>
      <rPr>
        <rFont val="Arial"/>
        <sz val="10"/>
        <scheme val="none"/>
      </rPr>
      <t>For Drawings larger than A-3 Size, payment shall be made in multiples of A-3 Size.</t>
    </r>
  </si>
  <si>
    <t>SOR 2024 item No 3915</t>
  </si>
  <si>
    <t>Supply of Ammonia Prints or Print as approved by Rlys.</t>
  </si>
  <si>
    <t>SOR 2024 item No 3916</t>
  </si>
  <si>
    <t>A3 size</t>
  </si>
  <si>
    <t>SOR 2024 item No 3916 (a)</t>
  </si>
  <si>
    <t>A2 size</t>
  </si>
  <si>
    <t>SOR 2024 item No 3916 (b)</t>
  </si>
  <si>
    <t>Signalling Plan U Size (Per Unit=310 mm x 3 mtr)</t>
  </si>
  <si>
    <t>Per Unit</t>
  </si>
  <si>
    <t>SOR 2024 item No 3916 (c)</t>
  </si>
  <si>
    <t>Circuit Diagrams</t>
  </si>
  <si>
    <t>SOR 2024 item No 3917</t>
  </si>
  <si>
    <t>Circuit diagrams issued by the Rlys of (A-2 size) are to be taken on reproduction tracing film and manually entering the relay contact number and other required circuit details if any. (Reproduction tracing film and other consumables are to be arranged by the contractor).</t>
  </si>
  <si>
    <t>Per sheer of A-2 size</t>
  </si>
  <si>
    <t>SOR 2024 item No 3917 (a)</t>
  </si>
  <si>
    <t xml:space="preserve">Preparation of A-3 size drawings as at site. Providing one print on tracing paper on in standard format. Drawings are to be prepared on polyester tracing film of double side 50 microns thickness. (Polyester tracing  film and other consumables are to be arranged by the contractor).</t>
  </si>
  <si>
    <t>Per sheer of A-3 size</t>
  </si>
  <si>
    <t>SOR 2024 item No 3917 (b)</t>
  </si>
  <si>
    <t xml:space="preserve">Preparation of A-4 size drawings as at site. Providing one print on tracing paper on in standard format. Drawings are to be prepared on polyester tracing film of double side 50 microns thickness. (Polyester   tracing   film   and   other consumables are to be arranged by the contractor).</t>
  </si>
  <si>
    <t>Per sheer of A-4 size</t>
  </si>
  <si>
    <t>SOR 2024 item No 3917 (c)</t>
  </si>
  <si>
    <t>Arranging rexin cloth bound booklets and binding</t>
  </si>
  <si>
    <t>Each Booklet</t>
  </si>
  <si>
    <t>SOR 2024 item No 3917 (d)</t>
  </si>
  <si>
    <t>Scanning of Documents from the approved Tracing film</t>
  </si>
  <si>
    <t>SOR 2024 item No 3918</t>
  </si>
  <si>
    <t>A3 Page</t>
  </si>
  <si>
    <t>Per Page</t>
  </si>
  <si>
    <t>SOR 2024 item No 3918 (a)</t>
  </si>
  <si>
    <t>A2 Page</t>
  </si>
  <si>
    <t>SOR 2024 item No 3918 (b)</t>
  </si>
  <si>
    <t>Fabrication and Supply of Different Boards</t>
  </si>
  <si>
    <t>SOR 2024 item No 3919</t>
  </si>
  <si>
    <t>Preparation of Station Working Order Diagram (SWOD) on non-transparent acrylic sheet of thickness 4mm with aluminium beading and hanging support with screen printing, lettering and yard diagram.</t>
  </si>
  <si>
    <t>Per yard/Per Station</t>
  </si>
  <si>
    <t>SOR 2024 item No 3919 (a)</t>
  </si>
  <si>
    <t>Preparation of Track Bonding Diagram on non-transparent acrylic sheet of thickness 4mm with aluminium beading and hanging support with screen printing, lettering and bonding diagram.</t>
  </si>
  <si>
    <t>SOR 2024 item No 3919(b)</t>
  </si>
  <si>
    <t>Fabrication, supply, and designing of board of size 36" x 24". (The details to be printed on board shall be collected from Engineer- In charge)</t>
  </si>
  <si>
    <t>SOR 2024 item No 3919(c)</t>
  </si>
  <si>
    <t>Manufacture and supply of laminated board of size 45cm x 60cm and 12mm thick with printed instructions as directed by engineer in-charge.</t>
  </si>
  <si>
    <t>Per Board</t>
  </si>
  <si>
    <t>SOR 2024 item No 3919 (d)</t>
  </si>
  <si>
    <t>Supply of thick Kodak photo paper with lamination and different lettering in languages and required size as per the instructions of site in-charge.</t>
  </si>
  <si>
    <t>Sq.m</t>
  </si>
  <si>
    <t>SOR 2024 item No 3919 3920</t>
  </si>
  <si>
    <t>Making photocopies &amp; binding of the SWR literature in English/Hindi/Diglot form as per Railway practice.</t>
  </si>
  <si>
    <t>SOR 2024 item No 3921</t>
  </si>
  <si>
    <t>CHAPTER 40 - ALTERATIONS</t>
  </si>
  <si>
    <t>Removal of existing 'Q' style/K-50 contact clips along with its wire from the relay base by carefully tracing out from the bunch of wires and taking out unwanted wires from the same as per the alterations shown in the circuit diagram issued by Rlys. Drawing of fresh new wire from the relay base to another relay base as per the new wiring as shown in the circuit diagram without affecting the other wires. This also includes testing of wires using buzzer of the new wires drawn once before soldering, once after soldering (This includes of wires required for data loggers).</t>
  </si>
  <si>
    <t>SOR 2024 item No 4001</t>
  </si>
  <si>
    <t>Carrying out of alterations to the working circuits and fixing of relays and relay groups and energization of relays as per approved circuit diagrams. (All materials such as Rosin core, flux, nylon thread, eyelets and PVC dotted tape to be supplied by contractor. Indoor cables, relays and relay groups, fuses, LEDs, Resistances will be supplied by Rlys.</t>
  </si>
  <si>
    <t>Per Sheet of Circuit Diagram</t>
  </si>
  <si>
    <t>SOR 2024 item No 4002</t>
  </si>
  <si>
    <t>Shifting of existing working functions like signals/Shunt/ Calling on/Points/Track circuits etc. from old cable to new laid cables carefully without affecting the traffic under disconnection/blocks, This work also includes releasing the existing tail cables from the relevant gears and re-surfacing the earth excavated as instructed by Rly representative at site.</t>
  </si>
  <si>
    <t>SOR 2024 item No 4003</t>
  </si>
  <si>
    <t>CHAPTER 41 - ELECTRONIC INTERLOCKING RELATED ITEMS</t>
  </si>
  <si>
    <r>
      <t xml:space="preserve">Supply of Hot Standby Electronic Interlocking System (Centralised/Distributed) excluding Panel Processor (Hot Standby) with Signalling functions up to 125 functions as per function table enclosed along with 5% spares for the cards/modules/PCB, connectors/couplers, fuses, all relays, crimp contact, convertors etc. used, tools, manuals and Instruments as per RDSO Specn RDSO/SPN/192/ 2019 ver. 2.0 or RDSO/SPN/203/2011 ver. 1.0 or latest.
</t>
    </r>
    <r>
      <rPr>
        <rFont val="Arial"/>
        <b val="1"/>
        <sz val="10"/>
        <scheme val="none"/>
      </rPr>
      <t xml:space="preserve">Note: </t>
    </r>
    <r>
      <rPr>
        <rFont val="Arial"/>
        <sz val="10"/>
        <scheme val="none"/>
      </rPr>
      <t>Payment will be made for only vital bit as per function table attached by Rlys, no payment will be made for non Vital bits such as Counter bits, SM key Bits, Read back bits and any potential free contact bits of DC-DC converter or Modem of EI.</t>
    </r>
  </si>
  <si>
    <t>SOR 2024 item No 4101</t>
  </si>
  <si>
    <t>Incremental rate for vital signalling functions in EI System over and above 125 functions under item No 4101 along with spares for the cards/modules/PCB, connectors/ couplers, fuses, all relays, crimp contact, convertors etc. to the extent of 5% of item no. 4101 &amp; 4102.</t>
  </si>
  <si>
    <t>Per Funct ion</t>
  </si>
  <si>
    <t>SOR 2024 item No 4102</t>
  </si>
  <si>
    <t>Supply of additional Electronic Interlocking miscellaneous items with all necessary accessories for End Location (Goomty) for Station/IBH/Auto Hut for Distributed Architecture in connection with Item No. 4101 &amp; 4102.</t>
  </si>
  <si>
    <t>Per Goomty
/IBH/ Auto Hut</t>
  </si>
  <si>
    <t>SOR 2024 item No 4103</t>
  </si>
  <si>
    <t>Supply of commercial grade operator VDU of size 55" Full HD, with backlit LED, with HDMI/DVI port, Inbuilt Speaker, required HDMI/DVI cables for connectivity and other miscellaneous item required for installation</t>
  </si>
  <si>
    <t>SOR 2024 item No 4104</t>
  </si>
  <si>
    <t>Supply of fan less embedded industrial grade computers (Similar to Moxa V2406A or better) with all accessories such as key board, mouse, antivirus etc. of industrial grade as per approved Specification as recommended by RDSO (TAN No. STS/TAN/3007 Version 1.0 or latest)</t>
  </si>
  <si>
    <t>SOR 2024 item No 4105</t>
  </si>
  <si>
    <t>Installation, wiring, testing, soldering of all EI equipments, earthing of EI Equipment, Relay Racks and Power Equipment etc. including supply of power cable and Documents/Manuals (six set) etc. for EI under item no. 4101.</t>
  </si>
  <si>
    <t>Per EI System</t>
  </si>
  <si>
    <t>SOR 2024 item No 4106</t>
  </si>
  <si>
    <t>Design and Drawing of Interface and Application Logic for complete indoor signalling work for new EI station up to 200 Routes as per TOC. Initially, contractor shall submit 1 copy for approval of Railways. Final copy shall be submitted after incorporating correction if any.</t>
  </si>
  <si>
    <t>Per EI</t>
  </si>
  <si>
    <t>SOR 2024 item No 4107</t>
  </si>
  <si>
    <t>Design and Drawing of Interface and Application Logic for complete indoor signalling work for new EI station with more than 200 Routes as per TOC.</t>
  </si>
  <si>
    <t>SOR 2024 item No 4108</t>
  </si>
  <si>
    <t>Commissioning of Electronic Interlocking system.</t>
  </si>
  <si>
    <t>SOR 2024 item No 4109</t>
  </si>
  <si>
    <t>Training of Rly Personnel in installation, commissioning, testing, trouble shooting and in diagnosing faults using diagnostic tools/flow charts including supply of necessary documents</t>
  </si>
  <si>
    <t>SOR 2024 item No 4110</t>
  </si>
  <si>
    <t>Training on application software for designing, change in the logics and converting it suitable for system and loading the programme into the working system for alteration of SIP/TOC. The training should be comprehensive with complete document.</t>
  </si>
  <si>
    <t>SOR 2024 item No 4111</t>
  </si>
  <si>
    <t>Supply of portable work station to run along with EI configuration tool, Data Inputs, Simulation, Functional testing, diagnostic and troubleshooting.</t>
  </si>
  <si>
    <t>SOR 2024 item No 4112</t>
  </si>
  <si>
    <t>Fabrication, Transportation and fixing of aluminium ladder at site made of Aluminium angle of size 38mmx 5mm width 280mm, Flat size 25mmx5mm with powder coated colour as desired by engineer in charge at site and fixing, Drilling of suitable holes for fixing of Hylam sheet 3mm thickness on ladder and 2 Nos. of PVC trough 100 mm with cover fixed on Hylam sheet along the ladder with all fixtures necessary ancillary materials required for fixing to be supplied and as directed by engineer in charge at site.</t>
  </si>
  <si>
    <t>SOR 2024 item No 4113</t>
  </si>
  <si>
    <t>Supply, fabrication, installation and fixing of panel operator consol with arrangement to fix 55" VDU's -Reset boxes, and other S&amp;T gadgets. This shall be made of not less than 18mm thick plywood or better materials with storage facility of approved colours with contractors' materials, lead, lift and manpower as per the instructions of engineer in charge and as per the enclosed drawing.</t>
  </si>
  <si>
    <t>SOR 2024 item No 4114</t>
  </si>
  <si>
    <t>Supply and installation of offline UPS 1000VA, 30 min backup as per instructions of engineer in charge.</t>
  </si>
  <si>
    <t>SOR 2024 item No 4115</t>
  </si>
  <si>
    <t>CHAPTER 42 - UFSBI RELATED ITEMS</t>
  </si>
  <si>
    <t>Supply, Installation and commissioning of Universal Fail safe Block interface (As per RDSO Specification No. RDSO/SPN/147/2005 with latest amendments) suitable to work on OFC/1 Quad cable for IB Signalling/Auto signalling or any other requirement including 68 No. of QN1 (8F/8B) relays required for system commissioning.</t>
  </si>
  <si>
    <t>SOR 2024 item No 4201</t>
  </si>
  <si>
    <r>
      <t xml:space="preserve">Supply, Installation and commissioning of Block proving by Axle Counter [BPAC] using block panel and UFSBI for </t>
    </r>
    <r>
      <rPr>
        <rFont val="Arial"/>
        <b val="1"/>
        <sz val="10"/>
        <scheme val="none"/>
      </rPr>
      <t xml:space="preserve">Double line </t>
    </r>
    <r>
      <rPr>
        <rFont val="Arial"/>
        <sz val="10"/>
        <scheme val="none"/>
      </rPr>
      <t xml:space="preserve">operation as per RDSO Specn No: IRS- 105/2012 [VER.0] with latest version and amdt. Each set consisting of the following:
1. Universal fail safe block interface complete with all accessories as per RDSO Specn No. IRS- S104/212[VER.0] with latest version &amp; Amdt-Qty-02 Nos.
2. Block Panel complete with all accessories as per RDSO Drg No. RDSO/S/32017 [latest amdts] Qty -02 Nos.
3. Relay Rack duly wired with due locking and sealing arrangement as per RDSO Drg. No. RDSO/S/32018 including relays for each Relay Rack [QN1-19 No’s, QNA1-07 No’s, QL1-02 No’s, and Timers -01No]-Qty 2 Nos.
4. Block Telephone with accessories as per  RDSO Specn No. RDSO/SPN/191/2006-Qty 02 No’s.</t>
    </r>
  </si>
  <si>
    <t>SOR 2024 item No 4202</t>
  </si>
  <si>
    <t>U</t>
  </si>
  <si>
    <r>
      <t xml:space="preserve">Supply, installation and commissioning of Universal Fail Safe Block Interface for </t>
    </r>
    <r>
      <rPr>
        <rFont val="Arial"/>
        <b val="1"/>
        <sz val="10"/>
        <scheme val="none"/>
      </rPr>
      <t>Single line</t>
    </r>
    <r>
      <rPr>
        <rFont val="Arial"/>
        <sz val="10"/>
        <scheme val="none"/>
      </rPr>
      <t>. Each consisting of the following: (Inspection by RDSO)
1) Universal fail-safe block interface for single line complete with all accessories as per RDSO Specn No. RDSO/SPN/188/2004 Ver.1.0 / latest Amdt. - 2 Nos.
2) Relay rack with due locking and sealing arrangements including relays (QN1 - 22 Nos., QNA1 - 6 Nos.; QL1
- 02 Nos.; Timer - 01 No. and wiring as wiring diagram RDSO Drg No. RDSO/S/32020 (Latest Amdt.) - 2 Nos.
3) Block panel complete with accessories as RDSO Drg. No. RDSO/S/32019 or latest Amdt. - 2 Nos.
4) Block Telephone with accessories as per RDSO Specn. No. RDSO/SPN/191/2006 - 2 Nos.</t>
    </r>
  </si>
  <si>
    <t>SOR 2024 item No 4203</t>
  </si>
  <si>
    <r>
      <rPr>
        <rFont val="Arial"/>
        <b val="1"/>
        <sz val="10"/>
        <scheme val="none"/>
      </rPr>
      <t>CHAPTER 43 – FIRE ALARM</t>
    </r>
  </si>
  <si>
    <t>Supply, transportation, installation, testing &amp; commissioning of UL/EN/FM/Vds/LPCB approved microprocessor based Networkable Analog Addressable and modular type of Fire Alarm Control Panel (FACP) with display, in built charging facility and provision of GSM module suitable to send SMS to configured mobile number. The panel should be equipped with sufficient no. of loops and provision of expandability as per RDSO Specn No. RDSO/SPN/217/2021 Ver.3 or latest. The control panel shall be the central processing unit of the system, receiving and analysing signals from probe type by metallic heat detectors, UV and IR flame detectors, heat and smoke multi sensor, LHS interface and manual call point, providing Audible and visual information to the user. The panel shall have the connectivity of TCP-IP suitable for programming and remote monitoring. The panel shall have dedicated RS 232 serial port for direct PC or Modem connection, for interfacing with existing data logger, optional remote printer (as per RDSO Specn No. RDSO/SPN/217/2016 Ver. 1 or latest.</t>
  </si>
  <si>
    <t>SOR 2024 item No 4301</t>
  </si>
  <si>
    <t>Supply, installation, testing &amp; commissioning of GUI software to monitor health of all detectors and other devices along with control panel. The software shall be accessible over TCP/IP. It shall also be able to indicate in advance whenever the detector/devise would require to be serviced as per Specn No. RDSO/SPN/217/2016 Ver. 1 or latest.</t>
  </si>
  <si>
    <t>SOR 2024 item No 4302</t>
  </si>
  <si>
    <t xml:space="preserve">Supply, installation, testing &amp; commissioning  of resettable, Addressable multi sensor (heat &amp; smoke) which is fully compatible with analogue addressable protocol, electronically addressed as per Specn No. RDSO/SPN/217/2018 Ver. 2 d1 or latest</t>
  </si>
  <si>
    <t>SOR 2024 item No 4303</t>
  </si>
  <si>
    <t xml:space="preserve">Supply, installation, testing &amp; commissioning of resettable Probe  type  bimetallic  heat  detector  as  per  IS  2189 (RDSO/SPN/217/2018 Ver. 2 d1 or latest)</t>
  </si>
  <si>
    <t>SOR 2024 item No 4304</t>
  </si>
  <si>
    <t xml:space="preserve">Supply, Installation, Testing &amp; Commissioning  of Addressable, resettable manual call point with integral short circuit isolator, having status LED for alarming and standby mode, electronically addressed as per UL/LPCB Listed and shall comply to Specn No. RDSO/SPN/217 /2016 Ver. 1 or latest</t>
  </si>
  <si>
    <t>SOR 2024 item No 4305</t>
  </si>
  <si>
    <t xml:space="preserve">Supply, Installation, Testing &amp; Commissioning of analogue Addressable fault Isolator Modules capable of monitoring shorted     loop     circuit     and     automatically     restore communication  when  shorted  conditions  are  corrected. Fault isolator module shall not occupy any space and as per Specn No. RDSO/SPN/217/2016 Ver. 1 or latest.</t>
  </si>
  <si>
    <t>SOR 2024 item No 4306</t>
  </si>
  <si>
    <t>Supply, Installation, Testing &amp; Commissioning of UL listed Aspiration type blue LED based aspiration system with dual source optical smoke detection and 0.002obs ft sensitivity and is connected to the panel without any third party module. The area and points to be covered for relay room shall be as per Specn No. RDSO/SPN/217/2016 Ver. 1 or latest.</t>
  </si>
  <si>
    <t>SOR 2024 item No 4307</t>
  </si>
  <si>
    <t>Supply, Installation, Testing &amp; Commissioning of 24V/ 2Amps power supply for aspiration detector with battery backup shall comply to Specn No. RDSO/SPN/217/2016 Ver. 1 or latest</t>
  </si>
  <si>
    <t>SOR 2024 item No 4308</t>
  </si>
  <si>
    <t>Supply, Installation, Testing &amp; Commissioning copper pipe with 25 mm Dia &amp;1mm thickness Specn No. RDSO/ SPN/217/2016 Ver 1 or latest</t>
  </si>
  <si>
    <t>Meters</t>
  </si>
  <si>
    <t>SOR 2024 item No 4309</t>
  </si>
  <si>
    <t>Supply, Installation, Testing &amp; Commissioning of Analog Addressable Type input/output Modules with inbuilt fault isolator or alternate arrangement which shall isolate the module in case of short circuit. The module should have programmable supervised &amp; unsupervised output. The module should have visual indication for its operation, PF contact (NO/NC) Approval-UL/LPCB Listed and shall comply to Specn No. RDSO/SPN/217/ 2016 Ver. 1 or latest</t>
  </si>
  <si>
    <t>SOR 2024 item No 4310</t>
  </si>
  <si>
    <t>Supply, Installation, Testing &amp; Commissioning of electronic hooter cum strobe with min 85dB output Approval- UL/LPCB Listed and shall comply to Specn No. RDSO/SPN/217/2016 Ver. 1 or latest.</t>
  </si>
  <si>
    <t>SOR 2024 item No 4311</t>
  </si>
  <si>
    <t>Supply and Installation of Auto Telephone Dialler (GSM) complying with the Specn No. RDSO/SPN/217/2016 Ver. 1 or latest.</t>
  </si>
  <si>
    <t>SOR 2024 item No 4312</t>
  </si>
  <si>
    <t>Supply and Installation of isolator devices for every 20 detectors, complying with the Specn No. RDSO/SPN/ 217/2016 Ver. 1 or latest.</t>
  </si>
  <si>
    <t>SOR 2024 item No 4313</t>
  </si>
  <si>
    <t xml:space="preserve">Supply, Installation,  Testing  &amp; Commissioning of 2X1.5 sqmm ATC Fire survival flexible/armoured cable with back box, glands &amp; other accessories. Armoured &amp; un- armoured (CI) cables should meet fire performance test under simultaneous action of  Flame, water stress and impacts on single sample at 950°C for minimum 2 hours, certified by LPCB or equivalent complying to Specn No. RDSO/SPN/217/2016 Ver. 1 or latest</t>
  </si>
  <si>
    <t>Lot</t>
  </si>
  <si>
    <t>SOR 2024 item No 4314</t>
  </si>
  <si>
    <t>Supply and fixing of Fire Extinguisher CO2 type (Capacity 4.5 KG)</t>
  </si>
  <si>
    <t>SOR 2024 item No 4315</t>
  </si>
  <si>
    <t>Supply and installation of Four numbers 10 Litre Galvanised Mild steel Buckets (Fire Suppression hand tools) along with stand.</t>
  </si>
  <si>
    <t>SOR 2024 item No 4316</t>
  </si>
  <si>
    <r>
      <rPr>
        <rFont val="Arial"/>
        <b val="1"/>
        <sz val="10"/>
        <scheme val="none"/>
      </rPr>
      <t>CHAPTER 44–MISCELLANEOUS</t>
    </r>
  </si>
  <si>
    <t>Fabrication and supply of wall mounted maintainer's Tool Kit frame made out of MS sheet 10 gauge with powder coated as desired colour at site of size 1.5 Mtrs. Length X 0.8 Mtr. Width X 0.15 Mtr. Depth with all fixtures for mounting individuals, tools inside the board and in front with Acrylic sheet 4mm thickness with locking arrangements and all necessary fixtures to fix on wall.</t>
  </si>
  <si>
    <t>SOR 2024 item No 4401</t>
  </si>
  <si>
    <t xml:space="preserve">Supply and fixing of Netlon wire mesh of all windows and ventilators as per instructions  of Engineer-in-charge including labour charges.</t>
  </si>
  <si>
    <t>Per Square foot</t>
  </si>
  <si>
    <t>SOR 2024 item No 4402</t>
  </si>
  <si>
    <t>Providing and fixing fly proof galvanized MS wire gauge to windows and clerestory windows using wire gauge with average width of aperture 1.4 mm in both directions with wire of dia 0.63 mm all complete.</t>
  </si>
  <si>
    <t>SOR 2024 item No 4403</t>
  </si>
  <si>
    <t>With 2nd class teak wood beading 62X19 mm</t>
  </si>
  <si>
    <t>SOR 2024 item No 4403 (a)</t>
  </si>
  <si>
    <t>With 12 mm mild steel U beading</t>
  </si>
  <si>
    <t>SOR 2024 item No 4403 (b)</t>
  </si>
  <si>
    <t>Supply and Installation of HP/OEM approved document Scanner/Printer/Fax A3/Legal size Resolution in dpi 300, speed in PPM 20, ADF capacity 50, Flat Bed Size NA, Document size Legal or latest or similar.</t>
  </si>
  <si>
    <t>SOR 2024 item No 4404</t>
  </si>
  <si>
    <t>Calibration of Instruments: at Govt approved labs as per instructions of engineer in charge.</t>
  </si>
  <si>
    <t>SOR 2024 item No 4405</t>
  </si>
  <si>
    <t>Analog Insulation Tester</t>
  </si>
  <si>
    <t>SOR 2024 item No 4405 (a)</t>
  </si>
  <si>
    <t>Digital Multimeter</t>
  </si>
  <si>
    <t>SOR 2024 item No 4405 (b)</t>
  </si>
  <si>
    <t>HV tester</t>
  </si>
  <si>
    <t>SOR 2024 item No 4405 (c)</t>
  </si>
  <si>
    <t>Digital Micro ohm meter</t>
  </si>
  <si>
    <t>SOR 2024 item No 4405 (d)</t>
  </si>
  <si>
    <t>Providing the services of Computer oriented Technical manpower to carryout works like drawing, computation, write up etc., between 08:00 Hrs to 20:00 Hrs of the day with all expenses of transportation, accommodation, food, consumables etc., with all ascents, descents, taxes, octorio, cess, fees, duties with contractors cost etc., as per special conditions/specifications/regulations and as directed by engineer in charge.</t>
  </si>
  <si>
    <t>SOR 2024 item No 4406</t>
  </si>
  <si>
    <t>Provision of Lookout person round the clock in 12 Hours shift beat from Up Home Signal to Down Home signals to avoid theft of signalling assets.</t>
  </si>
  <si>
    <t>SOR 2024 item No 4407</t>
  </si>
  <si>
    <t>Arranging of skilled and unskilled workers with required tools during point blocks for removal of S&amp;T assets to give way for track machines and re-fixing the removed assets after insertion/removal of point.</t>
  </si>
  <si>
    <t>Per Point</t>
  </si>
  <si>
    <t>SOR 2024 item No 4408</t>
  </si>
  <si>
    <t>Provision of one skilled and 2 unskilled staff round the clock to attend to teething trouble of the installation along with SI/CSI after the installation has been brought into commissioning. The work includes routine maintenance, failure restoration as per the direction of the SI/CSI.</t>
  </si>
  <si>
    <t>Per month</t>
  </si>
  <si>
    <t>SOR 2024 item No 4409</t>
  </si>
  <si>
    <t>Installation, testing and commissioning of Distilled water plant/Demineralised plant.</t>
  </si>
  <si>
    <t>SOR 2024 item No 4410</t>
  </si>
  <si>
    <r>
      <rPr>
        <rFont val="Arial"/>
        <b val="1"/>
        <sz val="10"/>
        <scheme val="none"/>
      </rPr>
      <t>CHAPTER 45–RELEASING OF S&amp;T GEARS</t>
    </r>
  </si>
  <si>
    <t xml:space="preserve">Releasing of  the following equipments without  causing damage, stacking neatly at a centralised place near the site of work as shown by the in charge, and handing over the same to the Stores depot as per the inventory made.</t>
  </si>
  <si>
    <t>SOR 2024 item No4501</t>
  </si>
  <si>
    <t>Releasing of hand plunger lock single/double along with switch extension pieces, stretcher bars, point/trap indicators and other fixtures carefully without damaging the materials, accounting and stacking them neatly at a place as instructed by Rly representative at site.</t>
  </si>
  <si>
    <t>SOR 2024 item No4501 (a)</t>
  </si>
  <si>
    <t>Releasing of all the S&amp;T gadgets at LC gates like SM slide instruments, illuminated diagram board, block counter, termination box, telephones, emergency key box, LC gate barriers, cranks, wire rope etc. and concerned wiring, accounting and stacking them neatly at a place as instructed by Rly representative at site. After releasing any holes on the walls/floor are to be filled with cement mortar and plastered.</t>
  </si>
  <si>
    <t>SOR 2024 item No4501(b)</t>
  </si>
  <si>
    <t>Releasing of existing apparatus cases (Full/ Half/Quarter size) without damage after releasing the shelf planks, Terminal blocks, Fuse Blocks, Terminal Boards, Relays of all types EKTs, Secondary Cells, power equipments, 'E' type locks, etc., and breaking the concrete foundation. After releasing, the resultant pits are to be closed and consolidated by ramming and levelling. The released materials shall be accounted and stacked at a place as instructed by Rly representative at site.</t>
  </si>
  <si>
    <t>SOR 2024 item No4501 (c)</t>
  </si>
  <si>
    <t>Breaking of concrete and releasing of STOP board/ Warning board/LEGEND boards along with rails, accounting and stacking them neatly at a place as instructed by Rly representative at site. Also the resultant pits shall be re-surfaced and consolidating by ramming and levelling.</t>
  </si>
  <si>
    <t>SOR 2024 item No4501 (d)</t>
  </si>
  <si>
    <t>Breaking of concrete and releasing the existing cable termination boxes, after releasing the base plank, Terminal blocks, Fuse Blocks, Terminal Boards, cut rails, pipes, etc., closing the resultant pits and consolidating it by ramming and levelling. The released materials shall be accounted and stacked neatly at a place as instructed by Rly representative at site.</t>
  </si>
  <si>
    <t>SOR 2024 item No4501 (e)</t>
  </si>
  <si>
    <t>Releasing of existing Block Instruments (all types), Block counters, batteries, block filter, block bell equipment etc., carefully without any damage, accounting and stacking them neatly at a place as instructed by Rly representative at site.</t>
  </si>
  <si>
    <t>SOR 2024 item No4501(f)</t>
  </si>
  <si>
    <t>Releasing of existing relay racks/cable termination racks along with all the terminals, fuse blocks, relays, with jacks, holding clips etc., 50 way boards, terminals, connecting.</t>
  </si>
  <si>
    <t>Per Rack</t>
  </si>
  <si>
    <t>SOR 2024 item No4501(g)</t>
  </si>
  <si>
    <t>wires, cables etc., carefully without causing any damage, accounting and stacking them neatly at a place as instructed by Rly representative at site. After releasing, the floor shall be levelled and cement plastered.</t>
  </si>
  <si>
    <t>Releasing of existing SM's control panel including base plank, and other gadgets connected very carefully without causing any damage to the panel, accounting and stacking them neatly at a place as instructed by Rly representative at site. The resultant pit in the flooring shall be removed of all cable bits, levelled and cement plastered.</t>
  </si>
  <si>
    <t>SOR 2024 item No4501 (h)</t>
  </si>
  <si>
    <t>Dismantling and releasing of ground lever frame along with all connected gadgets like lever locks, E type locks, HP locks, etc., accounting and stacking them neatly at a place as instructed by Rly representative at site. The work also involves breaking and removal of concrete foundation and the resultant pit shall be filled and consolidated by ramming and levelling.</t>
  </si>
  <si>
    <t>SOR 2024 item No4501 (i)</t>
  </si>
  <si>
    <t xml:space="preserve">Releasing of  existing Axle  Counter field equipment (transmitters &amp; receiver coils) on the rails at the entry/ exit track circuits without causing any damage. Excavating the under the track for removing track devices, connecting cables and duly covering the cable duct. Disconnecting and removing of Amplifier (electronic junction box and other associated equipment from the location box and transporting to a central location for account.</t>
  </si>
  <si>
    <t>SOR 2024 item No4501 (j)</t>
  </si>
  <si>
    <t>Dismantling and releasing of existing Colour light Signals complete (up to 4 aspects) with or without Route Indicators, calling on signals, shunt signals etc., carefully without any damage to the gadgets, accounting and stacking them neatly at a place as instructed by Rly representative at site. The work includes breaking the concrete foundation, closing the resultant pit and resurfacing it by ramming and levelling.</t>
  </si>
  <si>
    <t>SOR 2024 item No4501 (k)</t>
  </si>
  <si>
    <t>Releasing of existing Route Indicators of different types including tail cables, carefully without causing any damage, accounting and stacking them neatly at a place as instructed by Railway representative at site.</t>
  </si>
  <si>
    <t xml:space="preserve"> SOR 2024 item No4501 (l)</t>
  </si>
  <si>
    <t>Releasing of existing ground type shunt signals along with surface base, signal post etc carefully without any damage, accounting and stacking them neatly at a place as instructed by Rly representative at site. The work also includes breaking and removal of concrete foundation and refilling of the resultant pit by ramming and levelling.</t>
  </si>
  <si>
    <t>SOR 2024 item No4501 (m)</t>
  </si>
  <si>
    <t>Dismantling and releasing of existing Point machines (all types) including ground connections and other accessories available complete without any damage to the gadgets, accounting and stacking them neatly at a place as instructed by Rly representative at site.</t>
  </si>
  <si>
    <t>SOR 2024 item No4501(n)</t>
  </si>
  <si>
    <t>Releasing of existing TLD boxes with stumps terminals after releasing all the bond wires. The released materials shall be accounted and stacked neatly at a place as instructed by Rly representative at site.</t>
  </si>
  <si>
    <t>SOR 2024 item No4501(o)</t>
  </si>
  <si>
    <t>Releasing of lever frames up to 40 levers including lever illumination panel, cabin lever, indication board, lever lock circuit controllers, down rods, locking bay, complete with locking materials etc.,</t>
  </si>
  <si>
    <t>SOR 2024 item No4501 (p)</t>
  </si>
  <si>
    <t>Releasing of Secondary cells and battery stands available in the battery room along with connecting strips, wires and terminal boxes carefully without causing any damage to the batteries, accounting and stacking them neatly at a place as instructed by Rly representative at site. After releasing any holes in the walls/flooring shall be filled with cement mortar and plastered.</t>
  </si>
  <si>
    <t>SOR 2024 item No4501 (q)</t>
  </si>
  <si>
    <t>Releasing of all Power equipments (IPS, charger etc.) including equipment stands, terminal boards, power panel etc., in the IPS room carefully without causing any damage to the equipments after disconnecting all the supply wires. The released equipments shall be accounted and stacked at a place as instructed by Rly representative at site. After releasing any holes in the walls/flooring shall be filled with cement mortar and plastered.</t>
  </si>
  <si>
    <t>SOR 2024 item No4501 (r)</t>
  </si>
  <si>
    <t>(s)</t>
  </si>
  <si>
    <t>Releasing of existing control equipments - complete including way station equipments, telephones, power supply for way station equipment and telephones, along with all wiring, accounting and stacking them neatly at a place as instructed by Rly representative at site.</t>
  </si>
  <si>
    <t>SOR 2024 item No4501 (s)</t>
  </si>
  <si>
    <t>(t)</t>
  </si>
  <si>
    <t>Releasing of trestles 1/2 way</t>
  </si>
  <si>
    <t>SOR 2024 item No4501 (t)</t>
  </si>
  <si>
    <t>(u)</t>
  </si>
  <si>
    <t>Releasing of trestles 3/4 way</t>
  </si>
  <si>
    <t>SOR 2024 item No4501 (u)</t>
  </si>
  <si>
    <t>(v)</t>
  </si>
  <si>
    <t>Releasing of point rodding</t>
  </si>
  <si>
    <t>Per Rod/ Per meter</t>
  </si>
  <si>
    <t>SOR 2024 item No4501 (v)</t>
  </si>
  <si>
    <t>(w)</t>
  </si>
  <si>
    <t>Releasing of 'A' type foundations</t>
  </si>
  <si>
    <t>SOR 2024 item No4501 (w)</t>
  </si>
  <si>
    <r>
      <rPr>
        <rFont val="Arial"/>
        <b val="1"/>
        <sz val="10"/>
        <scheme val="none"/>
      </rPr>
      <t>CHAPTER 46–TELECOM WORKS</t>
    </r>
  </si>
  <si>
    <t>Installation, wiring, testing &amp; commissioning of 2 wire DTMF Selective Calling Telephone with power supply.</t>
  </si>
  <si>
    <t>SOR 2024 item No4601</t>
  </si>
  <si>
    <t>Straight through/derivation with/without transformer joints: Installation Thermo shrinkable jointing kits for straight through/derivation joints for LC gate, pump houses etc where VF transformers are not required and derivation joint by using 2T transformer (to be housed in the joint). This includes tapping of nominated Quad at a specific location shown by the Railway Engineer at site to the jelly field cable already laid. All material including valco tapes except thermo shrinkable jointing kit shall be supplied by the contractor.</t>
  </si>
  <si>
    <t>Joint</t>
  </si>
  <si>
    <t>SOR 2024 item No4602</t>
  </si>
  <si>
    <t>Supply and jointing of 5T/TSF-3 Transformer Joint as per IRS: TC 77-2012 Rev.3 or latest. All materials required to be supplied by the contractor except VF Transformers.</t>
  </si>
  <si>
    <t>SOR 2024 item No4603</t>
  </si>
  <si>
    <t>Supply and fixing of 20 pair CT box and termination of jelly filled cable as per details given by engineer at site for LC Gates/Pump house.</t>
  </si>
  <si>
    <t>Location</t>
  </si>
  <si>
    <t>SOR 2024 item No4604</t>
  </si>
  <si>
    <t>Supply and fixing of 10 pair CT box and termination of jelly filled cable as per details given by Engineer at site for LC gates/Pump house.</t>
  </si>
  <si>
    <t>SOR 2024 item No4605</t>
  </si>
  <si>
    <t>Fixing of 12/10 pair weather proof CT Box WAGO type and termination of 6 quad jelly filled cable on teak wood plank of size 375mm x 250 mm x 20 mm thickness</t>
  </si>
  <si>
    <t>SOR 2024 item No4606</t>
  </si>
  <si>
    <t>Installation of 100/50/20 pair Krone terminal Box on teak wood plank of size 330X200X25mm plank and wiring. Teakwood plank and other materials like screws, bolts etc to be arranged by the contractor.</t>
  </si>
  <si>
    <t>SOR 2024 item No4607</t>
  </si>
  <si>
    <t>Termination of telecom cable at cable hut and panel room, fixing of block filter units and cable termination boxes to the wall in panel room, wiring VF transformers, block filter units, block bell equipment including drawl of cable through GI/PVC pipe, termination on to terminals and doing other works associated with commissioning of derivation of block working as per instructions of supervisor in charge of work. Note: Cables, CTB, Filter units, Block bell equipment, VF Transformers, GI Pipe, and Cement will be supplied by Railways. All other materials including Angles, PVC pipe etc will be arranged by the Contractor.</t>
  </si>
  <si>
    <t>SOR 2024 item No4608</t>
  </si>
  <si>
    <t>Installation and commissioning of 4 Wire way station control equipment as detailed below: a) The way station equipment &amp; Power supply unit are to be mounted on a rack as per Drg No. CORE/S&amp;T/ALD/SK/436/95. b) The internal wiring should be wired between VF Repeater/ VF Transformer bay and MS Angle rack then to be extended to Dy.SS/ASM Table as per drawing shown in the sketch (All the wiring materials are to be provided by the contractor) except way station equipment &amp; power supply unit</t>
  </si>
  <si>
    <t>SOR 2024 item No4609</t>
  </si>
  <si>
    <t>Testing and commissioning of the system: This work involves the Testing of Underground six quad cables in each repeater section after laying and jointing. These readings to be recorded and supplied to Rly Engineer. This involves all the tests to be carried out such as measurement of loop resistance, insulation test, frequency attenuation, cross talk and noise level etc.</t>
  </si>
  <si>
    <t>SOR 2024 item No4610</t>
  </si>
  <si>
    <t>Provision of Emergency Socket</t>
  </si>
  <si>
    <t>SOR 2024 item No4611</t>
  </si>
  <si>
    <t>Fabrication, installation and fixing of emergency socket post, box and emergency socket as per the Drg No. OHE /1.6A/94. These emergency socket posts to be fixed along with the cable route at an interval of not more than 1 Km. Rail post will be provided by Rly.</t>
  </si>
  <si>
    <t>SOR 2024 item No4611 (a)</t>
  </si>
  <si>
    <t>Strengthening the foundation of EC Post</t>
  </si>
  <si>
    <t>SOR 2024 item No4611 (b)</t>
  </si>
  <si>
    <t>Painting and numbering of EC post with two coats of two colours of one feet each band with enamel paint of approved quality make like Asian, Nicholson and Berger and as directed by engineer in charge at site.</t>
  </si>
  <si>
    <t>SOR 2024 item No4611 (c)</t>
  </si>
  <si>
    <t xml:space="preserve">Supply &amp; installation of Rack 19" wall mount 6U/500MM D with front glass door and lock and key including the following:
1.  1U Cable manager - 1 No.
2.  1U Cantilever tray - 1 No.
3.  AC distribution box 5X5 amps - 1 No.
4.  Front panel H/W PKT of 10 Sets - 1No.
5.  Cooling fan of 230V AC operated</t>
  </si>
  <si>
    <t>SOR 2024 item No 4612</t>
  </si>
  <si>
    <t xml:space="preserve">Supply &amp; installation of Rack 19" wall mount 17U with front glass door and lock and key including the following:
1.  1U Cable manager - 1 No.
2.  1U Cantilever tray - 1 No.
3.  AC distribution box 5X5 amps - 1 No.
4.  Front panel H/W PKT of 10 Sets - 1No.
5.  Cooling fan of 230V AC operated</t>
  </si>
  <si>
    <t>SOR 2024 item No 4613</t>
  </si>
  <si>
    <t>Installation of OFC related items</t>
  </si>
  <si>
    <t>Laying of HDPE duct 40/33 mm dia in the trenches and in protective works already provided.</t>
  </si>
  <si>
    <t>SOR 2024 item No 4614</t>
  </si>
  <si>
    <t>Blowing of armoured optic fibre cable (OFC Cable supplied by Rlys) into the duct supplied vide other NS item of supply portion by using blowing machine and associated works. 10% of OFC length to be blown extra on both ends of Duct i.e. total 20% of Duct length. Before blowing the duct integrity shall be tested. If any defect is found during duct integrity test, the entire length of HDPE duct from one chamber to another chamber is to be replaced by the contractor at his own cost. Payment will be made as per the length of Duct from which OFC is Blown.</t>
  </si>
  <si>
    <t>KM</t>
  </si>
  <si>
    <t>SOR 2024 item No 4615</t>
  </si>
  <si>
    <t>Carrying out Duct Integrity test for PLB HDPE Duct, 40/33 mm Dia, as per specification.</t>
  </si>
  <si>
    <t>SOR 2024 item No 4616</t>
  </si>
  <si>
    <t>Excavation of jointing pit and provision of RCC/FRP joint / Loop chambers of 90 Cms. Inner dia 60 Cms depth and 3mm thickness with two pieces of top cover with hooks each and bottom cover with hole for drainage and cable entry as per Drg. No. RAILTEL/SR/OFC/ 2009/12 and as directed by Engineer to be provided at every joint location and at every Kilometre loop etc., The chamber shall be filled with sand mixed with anti-stermic power, back filling and ramming of trench after HDPE duct laying, splicing and commissioning.</t>
  </si>
  <si>
    <t>SOR 2024 item No 4617</t>
  </si>
  <si>
    <t>Supply and Installation of OFC joint enclosure and splicing of Optic fibre cable (24 fibres) and testing as per Tech Specn No. GR OJC-2/02 Sept 2003. Supply of Splice Enclosure (24 fibre) shall be of TVS make Part No.1500-L18X-XX or similar as per Board Specn of TEC &amp; as per RDSO/SPN/TC/68/2014 Revision 1.0 amd 1 or latest. All materials including Fusion splicing machine used for fibre splicing and, OTDR for testing and other testing materials if any shall be arranged by the contractor.</t>
  </si>
  <si>
    <t>SOR 2024 item No 4618</t>
  </si>
  <si>
    <t>Supply and installation of rack mounted 24 fibre Distribution Management System (FDMS) of size 1U, of reputed/Branded company make as per Specn No. RDSO /SPN/TC/37/2020 Rev.4.0 with latest amendments. The FDMS shall include 24 SC-PC/Required adaptors having insertion loss less than or equal to 0.1dB and 24 numbers 900 micron 1.5m SC-PC/required pigtails.</t>
  </si>
  <si>
    <t>SOR 2024 item No 4619</t>
  </si>
  <si>
    <t>Testing of all 24 fibres of OFC cable after splicing end to end in a section (Long Haul).</t>
  </si>
  <si>
    <t>SOR 2024 item No 4620</t>
  </si>
  <si>
    <t xml:space="preserve">Testing  of  fibres  between  short  haul  station  in  both direction after splicing the required fibres</t>
  </si>
  <si>
    <t>SOR 2024 item No 4621</t>
  </si>
  <si>
    <t>Supply and installation of 45mmx 45mm PVC channels for drawing switchboard cables at OFC cable huts and at stations as indicated by Rly Engineer at site.</t>
  </si>
  <si>
    <t>Mtr.</t>
  </si>
  <si>
    <t>SOR 2024 item No 4622</t>
  </si>
  <si>
    <t>Supply and fixing of different sizes of PVC casing/Pipes as required by Rly at site by fixing /clamping to the wall for indoor wiring purposes. All the material required for fixing PVC casing/Pipes are to be supplied by contractor.</t>
  </si>
  <si>
    <t>SOR 2024 item No 4623</t>
  </si>
  <si>
    <t>Supply and installation of 230 volts AC/48 volts, 25Amps DC (2 + 1 configuration) SMPS battery charger as per RDSO Specn No. RDSO/SPN/TC/23/99 (Ver-4) Amdt.-1 or latest.</t>
  </si>
  <si>
    <t>SOR 2024 item No 4624</t>
  </si>
  <si>
    <t xml:space="preserve">Supply and installation of 48 volts 200 AH maintenance free VRLA  battery in charged condition as per RDSO Specn No. IRS:S-93/96(B) (Amd. 1) or latest. (2 volts 200 AH - 24 Nos. each set).</t>
  </si>
  <si>
    <t>SOR 2024 item No 4625</t>
  </si>
  <si>
    <t>Supply and installation and commissioning of voltage stabilizer 5 KVA, single phase, servo controlled, wide range voltage stabilizer as per specification, input voltage range from 135 volts AC - 300 volts AC with changeover/ bye pass switch.</t>
  </si>
  <si>
    <t>SOR 2024 item No 4626</t>
  </si>
  <si>
    <t>Supply and installation of 19" - 42 U Rack complete with fittings for housing SDH equipment, FDMS, DDF and other equipment like cable managers, completely wired using krone module and other equipment like runaway ladders etc., as per technical specification below. It should be able to lock all the equipment with only order wire Telephone outside the rack. The rack should be of APW President/Rittal make or similar. The components of the rack are specified below. It includes transportation and installation of rack in prefab/building at specified stations. 1. Rack S33 42U 600'W x 600D - 1 No. 2. Fixed side panels 42U x 600 D - 2 Nos. 3. Front Glass door plain 42U/600W - 1 No. 4. Rear MS Door Plain 42U/600W - 1 No. 5. Castor with brakes-2 Nos. 6 Fans directly mounted on the top 48V DC 90 CFM-2 Nos. 7. Krone mounting bracket - 01 Nos. 8. MCB Mounting panel with MCBs - a. 32 Amps, MCBs(DP) - 2 Nos. &amp; 6Amps MCBs (DP) - 6 Nos. 9. Earth continuity Kit - 01 No. 10. Equipment Trays - 5 Nos. 11. Channel with cable loops 42U - 2 Nos ".</t>
  </si>
  <si>
    <t>SOR 2024 item No 4627</t>
  </si>
  <si>
    <t>Supply, installation, testing and commissioning of managed expandable rack type STM-4, equipped STM-1, ADM S1.1, as per technical Specn No. GR No.: TEC/GR/ TX/SDA- 003/02/APR-2010 with 2 Nos.STM-1 aggregate Optical interface upgradable to STM-4, 21 E1s, and minimum 8 Nos. of 10/100 base T Ethernet port, Order wire, Power supply unit, sub rack, DDF, Installation materials, manuals and other accessories. The equipment should be TEC/BSNL/RDSO approved. The equipment should be fully wired for its ultimate capacity and provide redundancy for Power supply and Synchronisation. It shall be possible to use the full capacity of the equipment by adding additional tributary cards. The up gradation of STM-1 to STM-4 shall be without change of any internal hardware of the STM equipment. The STM equipment shall have in-built L2 switch for Ethernet ports. Make -Tejas or similar.</t>
  </si>
  <si>
    <t>SOR 2024 item No 4628</t>
  </si>
  <si>
    <t>Supply, installation, testing &amp; commissioning of LI (Optical) card for branching for STM-1 suitable for working STM in the deployed section.</t>
  </si>
  <si>
    <t>SOR 2024 item No 4629</t>
  </si>
  <si>
    <r>
      <t xml:space="preserve">Supply and installation of programmable </t>
    </r>
    <r>
      <rPr>
        <rFont val="Arial"/>
        <b val="1"/>
        <sz val="10"/>
        <scheme val="none"/>
      </rPr>
      <t xml:space="preserve">Primary Digital Drop Insert Multiplexer </t>
    </r>
    <r>
      <rPr>
        <rFont val="Arial"/>
        <sz val="10"/>
        <scheme val="none"/>
      </rPr>
      <t xml:space="preserve">fully wired for 30 Channels complete with all accessories from RDSO approved vendor as per RDSO Specn IRS TC 68-2012 Rev.0 (with latest amendment) including connectors and cables required for installation including 100 pair Krone type MDF. Each channel card shall have minimum four channels per card. The single sub rack shall be capable of being equipped up to min. 60 Channels without additional power supply unit. The MUX shall be wired &amp; equipped with following circuits:
1.  2 Wire/4 Wire E&amp;M VF circuits (Minimum 16 No. Ckts)
2.  FXO circuits: 6 nos.
3.   FXS circuits Subs/Hotline circuits along with ringer card etc.: 08 No’s
4.  Acquisition card as per design
5.  Data User manual.
6. This also includes connecting all pigtails, optical patch cords etc to the SDH equipments. This also includes connection of SDH and primary MUX equipment with all interface cards to the 48V Bus including termination on DDF taking PVC cable over runway  or a wall and termination of VF interface circuits to the Krone Termination box.</t>
    </r>
  </si>
  <si>
    <t>SOR 2024 item No 4630</t>
  </si>
  <si>
    <t>Supply, Installation, testing &amp; commissioning of LI Electrical card for branching of ADM/(supporting STM-1) as per detailed Technical Specification.</t>
  </si>
  <si>
    <t>SOR 2024 item No 4631</t>
  </si>
  <si>
    <t>Supply of FXO (exchange end interface card) as per Specn No. IRS-TC 68/2012 Rev.o amd.1 with latest amendments, to be installed in Primary Drop insert Multiplexer having minimum 8 channels per station.</t>
  </si>
  <si>
    <t>SOR 2024 item No 4632</t>
  </si>
  <si>
    <t>Supply of FXS (subscriber line or hot line interface card) as per Specn No. IRS-TC 68/2012 rev.0 amd.1 with latest amendments to be installed in Primary Drop Insert Multiplexer. Facility to drop 4 channels per station should be available.</t>
  </si>
  <si>
    <t>SOR 2024 item No 4633</t>
  </si>
  <si>
    <r>
      <t xml:space="preserve">Supply of interface cards for 2wire/4wire E&amp;M,4 VF interface card as per Specn No. IRS-TC 68/2012 rev.0 amd.1 with latest amendments (in omnibus or point to point mode for 24 channels. Number of cards are to be calculated as per the note given below). 
</t>
    </r>
    <r>
      <rPr>
        <rFont val="Arial"/>
        <b val="1"/>
        <sz val="10"/>
        <scheme val="none"/>
      </rPr>
      <t xml:space="preserve">NOTE: </t>
    </r>
    <r>
      <rPr>
        <rFont val="Arial"/>
        <sz val="10"/>
        <scheme val="none"/>
      </rPr>
      <t>A total of 24 circuits are to be dropped in omnibus mode or point to point at each primary drop insert multiplexer. The cards offered by the manufacturer may have different capacity, i.e. 4 channels or 8 channels per card. The number of cards to be supplied should be sufficient to drop 24 channels at each primary drop insert multiplexer. The capacity of each card should also be clearly mentioned. The unit given for this item is number of stations. The required no. of cards is to be calculated and quoted accordingly.</t>
    </r>
  </si>
  <si>
    <t>SOR 2024 item No 4634</t>
  </si>
  <si>
    <t>Other Miscellaneous Telecom Items</t>
  </si>
  <si>
    <t>SOR 2024 item No 4635</t>
  </si>
  <si>
    <t>Installation of power supply unit (230V AC input, 12V DC output and 7AH battery) at ASM office.</t>
  </si>
  <si>
    <t>SOR 2024 item No 4636</t>
  </si>
  <si>
    <t>Installation, testing and commissioning of TDM multiplexer. All required items like connectors, patch cords, wiring etc. are to be borne by the contractor.</t>
  </si>
  <si>
    <t>SOR 2024 item No 4637</t>
  </si>
  <si>
    <t>Digging of cable pit for the required depth and width to locate the cable at a specific location shown by the Rly Engineer at site to attend the cable fault and refilling the same after attending the cable fault by the department.</t>
  </si>
  <si>
    <t>SOR 2024 item No 4638</t>
  </si>
  <si>
    <t>Maintenance of 6 quad cables till handing over or at least for six months. This includes regular testing of Quad parameter from Station to Station, EC socket testing and recording in format specified by Rlys. This item will commence only after joint testing of 6 quad cables with required parameters in a block section.</t>
  </si>
  <si>
    <t>SOR 2024 item No 4639</t>
  </si>
  <si>
    <t>Replacement of EC socket wherever found missing broken or defective in the above section as per technical specification. EC socket will be provided by Railway</t>
  </si>
  <si>
    <t>SOR 2024 item No 4639 (a)</t>
  </si>
  <si>
    <t>Replacement of EC box with top plate for mounting rectangular 6 pin EC socket in the above section as per technical specification. EC box will be provided by Rly.</t>
  </si>
  <si>
    <t>SOR 2024 item No 4639 (b)</t>
  </si>
  <si>
    <t>Localisation and restoration of fault at /beneath EC socket as per technical specification. This include testing of EC socket, finding fault with fault locator, Taking out underground derivative joint, Restoration of derivative joint and safeguarding derivative joint in ground.</t>
  </si>
  <si>
    <t>SOR 2024 item No 4639 (c)</t>
  </si>
  <si>
    <t>Localisation and restoration of fault on main cable as per technical specification. This involves localisation of fault with fault locator, digging out coil pit, jointing cable (Jointing Kit will be provided by Rlys) and closing of coil pit.</t>
  </si>
  <si>
    <t>SOR 2024 item No 4639 (d)</t>
  </si>
  <si>
    <t>Periodical testing of underground 6 quad cables in all the block sections once in every month as per technical specification and instructions of Engineer in-charge.</t>
  </si>
  <si>
    <t>Per Block Section</t>
  </si>
  <si>
    <t>SOR 2024 item No 4639 (e)</t>
  </si>
  <si>
    <t>Fixing of Driver's telephone box on IB post and Master Telephone on SM table.</t>
  </si>
  <si>
    <t xml:space="preserve">SOR 2024 item No  4639</t>
  </si>
  <si>
    <t>Supply &amp; erection of lattice type tripod towers of GI 15 meters of height as per SCR Drg No. SC 23000-23012, casting of foundation with 1:2:4, 20mm metal and river sand to be used. Provision of earth electrode near the tower and connect the same to tower which is to be erected above the station building/at the site shown by the site Engineer of the Railways. Cement shall be supplied by Rlys. Work includes installation of the antenna, drawing the cable and installation of the battery and 25W set and commissioning the system. 25W set, cable, antenna, battery will be supplied by Rlys.</t>
  </si>
  <si>
    <t xml:space="preserve">SOR 2024 item No  4640</t>
  </si>
  <si>
    <t>Supply and installation of ONVIF 4MP IR bullet camera with Veri focal Lenses of similar to Model No. DH-IPC- HFW2231 RP-ZS-IRE6 and compatible to work with Dahua/Hiki vision/CP Plus/ Honeywell make NVR with required licensed video management software.</t>
  </si>
  <si>
    <t xml:space="preserve">SOR 2024 item No  4641</t>
  </si>
  <si>
    <t>Supply and installation of ONVIF 16 Channel NVR similar to Model No. 4416-4KS2 series along with required licensed video management software compatible to work with Dahua/Hiki vision/CP Plus/ Honeywell make 4 MP Bullet cameras.</t>
  </si>
  <si>
    <t xml:space="preserve">SOR 2024 item No  4642</t>
  </si>
  <si>
    <t>Installation and commissioning charges (installation and configuration for Video IP Camera.</t>
  </si>
  <si>
    <t xml:space="preserve">SOR 2024 item No  4643</t>
  </si>
  <si>
    <r>
      <rPr>
        <rFont val="Arial"/>
        <b val="1"/>
        <sz val="10"/>
        <scheme val="none"/>
      </rPr>
      <t>CHAPTER 47–TCAS (KAVACH)</t>
    </r>
  </si>
  <si>
    <t>Supply (including 10% Spares), Installation &amp; Commissioning of station TCAS Equipment with suitable Rack consisting of Vital computer peripherals, 2 full duplex Radio modems, OFC modems, UHF antenna, GPS and GSM antenna and interfaces as per RDSO/SPN/196/ 2012 Version 3.2 or latest. This also includes earthing (Earth resistance less than 1 ohm) as per RDSO Specn No. RDSO/SPN/197 Ver. 1.0, wiring of Electrical/Quad/ Optical cable, relay wiring, connecting of SMOCIP from station TCAS, supply of tool kit and interlocking of relays including DC-DC converter and suitable power supply arrangement. Supply of earthing material and supply of relays is covered separately.</t>
  </si>
  <si>
    <t>SOR 2024 item No 4701</t>
  </si>
  <si>
    <t>Supply (including 20% Spares), Installation, Programming, Verification and Commissioning of RFID tags with enclosures and fixtures at Stations and block sections. Station &amp; adjoining block section will be counted as one set. This should comply with Specn No. RDSO/SPN/196/ 2012 Version 3.2 or latest.</t>
  </si>
  <si>
    <t>SOR 2024 item No 4702</t>
  </si>
  <si>
    <t>Supply (including Spares), Installation &amp; Commission of LC TCAS Equipment consisting of Vital computer peripherals, 2 full duplex Radio modems, UHF antenna, OFC modems, GPS and GSM antenna and interfaces as per Specn No. RDSO/SPN/196/2012 Version 3.2 or latest. This also includes earthing (Earth resistance less than 1 ohm) as per RDSO Specn No. RDSO/SPN/197 Ver. 1.0, wiring of Electrical/Quad/Optical cable, relay wiring, supply of tool kit and interlocking of relays including DC-DC converter and suitable power supply arrangement. Supply of earthing material and supply of relays is covered separately.</t>
  </si>
  <si>
    <t>SOR 2024 item No 4703</t>
  </si>
  <si>
    <t>Supply (including 10% Spares), Installation &amp; Commissioning of station TCAS RIU (Remote Interface unit) with at least 32 Field I/P's as per Specn No. RDSO/ SPN/196/2012 Version 3.2 or latest. The RIU should have provision of OFC OR Quad Interface and should be connected to central TCAS in a Ring network. This includes supply and installation of all modems, OFC termination box for 24 fibres, interface, Earthing, Wiring &amp; Signal functions etc.</t>
  </si>
  <si>
    <t>SOR 2024 item No 4704</t>
  </si>
  <si>
    <t>Locomotive Equipment</t>
  </si>
  <si>
    <t>SOR 2024 item No 4705</t>
  </si>
  <si>
    <t>Supply (including 10% Spares), Installation &amp; Commissioning of Locomotive (on board) TCAS Equipment consisting of Vital computer &amp; peripherals such as Driver Machine interface, 2 RFID Readers, 2 full duplex Radio modems, 4 UHF antenna, 2 GPS and GSM antenna, two number of Pulse generator/Wheel Sensor with direction sensing, and associated cabling and power supply arrangement, excluding Brake interface unit. This should comply with Specn No. RDSO/SPN/196/2012 Version 3.2 or latest</t>
  </si>
  <si>
    <t>SOR 2024 item No 4705 (a)</t>
  </si>
  <si>
    <t>Supply, installation and commissioning of Brake Interface unit suitable for different locomotives as per Specn No. RDSO/SPN/196/2012 Version 3.2 or latest.</t>
  </si>
  <si>
    <t>SOR 2024 item No 4705 (b)</t>
  </si>
  <si>
    <t>Supply, installation and commissioning of Test Bench for Loco equipment (Diesel/Electric) as per RDSO letter No. STS/E/TCAS/Tender/Part -IX dated 03.02.2016 or latest.</t>
  </si>
  <si>
    <t>SOR 2024 item No 4706</t>
  </si>
  <si>
    <t>Supply of kit for configuring, programming and downloading RFID Tag data as per RDSO issued guidelines.</t>
  </si>
  <si>
    <t>SOR 2024 item No 4707</t>
  </si>
  <si>
    <t>Supply, installation and commissioning of Test Bench for Station TCAS equipment as per Specn No. RDSO/SPN/ 196/2012 Version 3.2 or latest.</t>
  </si>
  <si>
    <t>SOR 2024 item No 4708</t>
  </si>
  <si>
    <t>Supply, installation and commissioning of Network Management System for Centralized monitoring of TCAS station and Loco equipment as per Specn No. RDSO/SPN /196/2012 Version 3.2 or latest.</t>
  </si>
  <si>
    <t>SOR 2024 item No 4709</t>
  </si>
  <si>
    <t>Supply, Installation and Commissioning of kit for configuring, programming and downloading the execution and application data for Loco equipment.</t>
  </si>
  <si>
    <t>SOR 2024 item No 4710</t>
  </si>
  <si>
    <t>Supply, Installation and commissioning of kit for configuring, programming and downloading execution and application data for Stationary Station TCAS equipment.</t>
  </si>
  <si>
    <t>SOR 2024 item No 4711</t>
  </si>
  <si>
    <t>Testing, commissioning of TCAS system in the entire system. It includes Carrying out FAT/SAT testing, Loco dynamic trials, pre-commissioning activities as per RDSO approved Pre-Commissioning Check List, commissioning of TCAS system in the entire section.</t>
  </si>
  <si>
    <t>SOR 2024 item No 4712</t>
  </si>
  <si>
    <t>Supply and erection of 40m lattice tower for radio communication and tower foundation works includes the following:
i. Site survey and desktop RSSI to finalise location of tower erection and submission of proposal of tower location with finalised RSSI survey reports for the approval of Rly.
ii. Preparation and submission of designs for Tower foundation and tower structure of 40 meter height for the given wind speed as per IS.873 Part 3 with Factor of Safety 2.0 &amp; Proof checking of designs by reputed third party like Indian Institute of Technology, CPRI etc.
iii. Submission of design basis and Proof checked designs for Rly approval. iv. Carrying out Safe Bearing Capacity (SBC) tests of soil at the finalised tower location &amp; Proposal to execute suitable foundation from designs approved by Rly.
v. Execution of tower foundation work after Rly approval.
vi. Fabrication of tower super-structure with RITEs inspection &amp; erection after Rly approval duly following the safety norms.
vii. Includes fencing, two coats of painting, aviation lamp, lightening arrestor with down conductor and earthing of tower with resistance less than 1 ohm.</t>
  </si>
  <si>
    <t>SOR 2024 item No 4713</t>
  </si>
  <si>
    <r>
      <rPr>
        <rFont val="Arial"/>
        <b val="1"/>
        <sz val="16"/>
        <scheme val="none"/>
      </rPr>
      <t>INDEX</t>
    </r>
  </si>
  <si>
    <r>
      <rPr>
        <rFont val="Arial"/>
        <b val="1"/>
        <sz val="12"/>
        <scheme val="none"/>
      </rPr>
      <t>SUPPLY ITEMS</t>
    </r>
  </si>
  <si>
    <r>
      <t>Sl.</t>
    </r>
    <r>
      <rPr>
        <rFont val="Arial"/>
        <b val="1"/>
        <sz val="12"/>
        <scheme val="none"/>
      </rPr>
      <t>No.</t>
    </r>
  </si>
  <si>
    <r>
      <rPr>
        <rFont val="Arial"/>
        <b val="1"/>
        <sz val="12"/>
        <scheme val="none"/>
      </rPr>
      <t>CHAPTER</t>
    </r>
  </si>
  <si>
    <r>
      <rPr>
        <rFont val="Arial"/>
        <b val="1"/>
        <sz val="12"/>
        <scheme val="none"/>
      </rPr>
      <t>DESCRIPTION</t>
    </r>
  </si>
  <si>
    <r>
      <rPr>
        <rFont val="Arial"/>
        <b val="1"/>
        <sz val="12"/>
        <scheme val="none"/>
      </rPr>
      <t>Page No</t>
    </r>
  </si>
  <si>
    <r>
      <rPr>
        <rFont val="Arial"/>
        <sz val="12"/>
        <scheme val="none"/>
      </rPr>
      <t>CHAPTER - 1</t>
    </r>
  </si>
  <si>
    <r>
      <rPr>
        <rFont val="Arial"/>
        <sz val="12"/>
        <scheme val="none"/>
      </rPr>
      <t>SIGNAL UNIT</t>
    </r>
  </si>
  <si>
    <r>
      <rPr>
        <rFont val="Arial"/>
        <sz val="12"/>
        <scheme val="none"/>
      </rPr>
      <t>CHAPTER - 2</t>
    </r>
  </si>
  <si>
    <r>
      <rPr>
        <rFont val="Arial"/>
        <sz val="12"/>
        <scheme val="none"/>
      </rPr>
      <t>LOCATION BOX</t>
    </r>
  </si>
  <si>
    <r>
      <rPr>
        <rFont val="Arial"/>
        <sz val="12"/>
        <scheme val="none"/>
      </rPr>
      <t>CHAPTER - 3</t>
    </r>
  </si>
  <si>
    <r>
      <rPr>
        <rFont val="Arial"/>
        <sz val="12"/>
        <scheme val="none"/>
      </rPr>
      <t>POINT MACHINE RELATED ITEMS</t>
    </r>
  </si>
  <si>
    <r>
      <rPr>
        <rFont val="Arial"/>
        <sz val="12"/>
        <scheme val="none"/>
      </rPr>
      <t>CHAPTER - 4</t>
    </r>
  </si>
  <si>
    <r>
      <rPr>
        <rFont val="Arial"/>
        <sz val="12"/>
        <scheme val="none"/>
      </rPr>
      <t>TRACK CIRCUIT RELATED ITEMS</t>
    </r>
  </si>
  <si>
    <r>
      <rPr>
        <rFont val="Arial"/>
        <sz val="12"/>
        <scheme val="none"/>
      </rPr>
      <t>CHAPTER - 5</t>
    </r>
  </si>
  <si>
    <r>
      <rPr>
        <rFont val="Arial"/>
        <sz val="12"/>
        <scheme val="none"/>
      </rPr>
      <t>RELAYS</t>
    </r>
  </si>
  <si>
    <r>
      <rPr>
        <rFont val="Arial"/>
        <sz val="12"/>
        <scheme val="none"/>
      </rPr>
      <t>CHAPTER - 6</t>
    </r>
  </si>
  <si>
    <r>
      <rPr>
        <rFont val="Arial"/>
        <sz val="12"/>
        <scheme val="none"/>
      </rPr>
      <t>RELAY RACKS, TERMINAL BLOCKS</t>
    </r>
    <r>
      <rPr>
        <rFont val="Times New Roman"/>
        <family val="1"/>
        <sz val="12"/>
        <scheme val="none"/>
      </rPr>
      <t xml:space="preserve"> </t>
    </r>
    <r>
      <rPr>
        <rFont val="Arial"/>
        <sz val="12"/>
        <scheme val="none"/>
      </rPr>
      <t>AND FUSES</t>
    </r>
  </si>
  <si>
    <r>
      <rPr>
        <rFont val="Arial"/>
        <sz val="12"/>
        <scheme val="none"/>
      </rPr>
      <t>CHAPTER - 7</t>
    </r>
  </si>
  <si>
    <r>
      <rPr>
        <rFont val="Arial"/>
        <sz val="12"/>
        <scheme val="none"/>
      </rPr>
      <t>WIRES AND CABLES</t>
    </r>
  </si>
  <si>
    <r>
      <rPr>
        <rFont val="Arial"/>
        <sz val="12"/>
        <scheme val="none"/>
      </rPr>
      <t>CHAPTER - 8</t>
    </r>
  </si>
  <si>
    <r>
      <rPr>
        <rFont val="Arial"/>
        <sz val="12"/>
        <scheme val="none"/>
      </rPr>
      <t>POWER SUPPLY AND EARTH</t>
    </r>
    <r>
      <rPr>
        <rFont val="Times New Roman"/>
        <family val="1"/>
        <sz val="12"/>
        <scheme val="none"/>
      </rPr>
      <t xml:space="preserve"> </t>
    </r>
    <r>
      <rPr>
        <rFont val="Arial"/>
        <sz val="12"/>
        <scheme val="none"/>
      </rPr>
      <t>LEAKAGE DETECTOR</t>
    </r>
  </si>
  <si>
    <r>
      <rPr>
        <rFont val="Arial"/>
        <sz val="12"/>
        <scheme val="none"/>
      </rPr>
      <t>CHAPTER - 9</t>
    </r>
  </si>
  <si>
    <r>
      <rPr>
        <rFont val="Arial"/>
        <sz val="12"/>
        <scheme val="none"/>
      </rPr>
      <t>DOMINO PANEL AND</t>
    </r>
    <r>
      <rPr>
        <rFont val="Times New Roman"/>
        <family val="1"/>
        <sz val="12"/>
        <scheme val="none"/>
      </rPr>
      <t xml:space="preserve"> </t>
    </r>
    <r>
      <rPr>
        <rFont val="Arial"/>
        <sz val="12"/>
        <scheme val="none"/>
      </rPr>
      <t>DATALOGGERS</t>
    </r>
  </si>
  <si>
    <r>
      <rPr>
        <rFont val="Arial"/>
        <sz val="12"/>
        <scheme val="none"/>
      </rPr>
      <t>CHAPTER - 10</t>
    </r>
  </si>
  <si>
    <r>
      <rPr>
        <rFont val="Arial"/>
        <sz val="12"/>
        <scheme val="none"/>
      </rPr>
      <t>TELECOM EQUIPMENT</t>
    </r>
  </si>
  <si>
    <r>
      <rPr>
        <rFont val="Arial"/>
        <sz val="12"/>
        <scheme val="none"/>
      </rPr>
      <t>CHAPTER - 11</t>
    </r>
  </si>
  <si>
    <r>
      <rPr>
        <rFont val="Arial"/>
        <sz val="12"/>
        <scheme val="none"/>
      </rPr>
      <t>MECHANICAL SIGNALING ITEMS</t>
    </r>
  </si>
  <si>
    <r>
      <rPr>
        <rFont val="Arial"/>
        <sz val="12"/>
        <scheme val="none"/>
      </rPr>
      <t>CHAPTER - 12</t>
    </r>
  </si>
  <si>
    <r>
      <rPr>
        <rFont val="Arial"/>
        <sz val="12"/>
        <scheme val="none"/>
      </rPr>
      <t>SPARE</t>
    </r>
  </si>
  <si>
    <r>
      <rPr>
        <rFont val="Arial"/>
        <sz val="12"/>
        <scheme val="none"/>
      </rPr>
      <t>--</t>
    </r>
  </si>
  <si>
    <r>
      <rPr>
        <rFont val="Arial"/>
        <sz val="12"/>
        <scheme val="none"/>
      </rPr>
      <t>CHAPTER - 13</t>
    </r>
  </si>
  <si>
    <r>
      <rPr>
        <rFont val="Arial"/>
        <sz val="12"/>
        <scheme val="none"/>
      </rPr>
      <t>BLOCK AND IB RELATED ITEMS</t>
    </r>
  </si>
  <si>
    <r>
      <rPr>
        <rFont val="Arial"/>
        <sz val="12"/>
        <scheme val="none"/>
      </rPr>
      <t>CHAPTER - 14</t>
    </r>
  </si>
  <si>
    <r>
      <rPr>
        <rFont val="Arial"/>
        <sz val="12"/>
        <scheme val="none"/>
      </rPr>
      <t>DIGITAL AXLE COUNTER RELATED</t>
    </r>
    <r>
      <rPr>
        <rFont val="Times New Roman"/>
        <family val="1"/>
        <sz val="12"/>
        <scheme val="none"/>
      </rPr>
      <t xml:space="preserve"> </t>
    </r>
    <r>
      <rPr>
        <rFont val="Arial"/>
        <sz val="12"/>
        <scheme val="none"/>
      </rPr>
      <t>ITEMS</t>
    </r>
  </si>
  <si>
    <r>
      <rPr>
        <rFont val="Arial"/>
        <sz val="12"/>
        <scheme val="none"/>
      </rPr>
      <t>CHAPTER - 15</t>
    </r>
  </si>
  <si>
    <r>
      <rPr>
        <rFont val="Arial"/>
        <sz val="12"/>
        <scheme val="none"/>
      </rPr>
      <t>EARTHING RELATED ITEMS</t>
    </r>
  </si>
  <si>
    <r>
      <rPr>
        <rFont val="Arial"/>
        <sz val="12"/>
        <scheme val="none"/>
      </rPr>
      <t>CHAPTER - 16</t>
    </r>
  </si>
  <si>
    <r>
      <rPr>
        <rFont val="Arial"/>
        <sz val="12"/>
        <scheme val="none"/>
      </rPr>
      <t>LC GATES</t>
    </r>
  </si>
  <si>
    <r>
      <rPr>
        <rFont val="Arial"/>
        <sz val="12"/>
        <scheme val="none"/>
      </rPr>
      <t>CHAPTER - 17</t>
    </r>
  </si>
  <si>
    <r>
      <rPr>
        <rFont val="Arial"/>
        <sz val="12"/>
        <scheme val="none"/>
      </rPr>
      <t>STATIONARY AND</t>
    </r>
    <r>
      <rPr>
        <rFont val="Times New Roman"/>
        <family val="1"/>
        <sz val="12"/>
        <scheme val="none"/>
      </rPr>
      <t xml:space="preserve"> </t>
    </r>
    <r>
      <rPr>
        <rFont val="Arial"/>
        <sz val="12"/>
        <scheme val="none"/>
      </rPr>
      <t>MISCELLANEOUS ITEMS</t>
    </r>
  </si>
  <si>
    <r>
      <rPr>
        <rFont val="Arial"/>
        <sz val="12"/>
        <scheme val="none"/>
      </rPr>
      <t>CHAPTER - 18</t>
    </r>
  </si>
  <si>
    <r>
      <rPr>
        <rFont val="Arial"/>
        <sz val="12"/>
        <scheme val="none"/>
      </rPr>
      <t>UFSBI RELATED ITEMS</t>
    </r>
  </si>
  <si>
    <r>
      <rPr>
        <rFont val="Arial"/>
        <sz val="12"/>
        <scheme val="none"/>
      </rPr>
      <t>CHAPTER 19-24</t>
    </r>
  </si>
  <si>
    <r>
      <rPr>
        <rFont val="Arial"/>
        <b val="1"/>
        <sz val="12"/>
        <scheme val="none"/>
      </rPr>
      <t>LABOUR ITEMS</t>
    </r>
  </si>
  <si>
    <r>
      <rPr>
        <rFont val="Arial"/>
        <sz val="12"/>
        <scheme val="none"/>
      </rPr>
      <t>CHAPTER - 25</t>
    </r>
  </si>
  <si>
    <r>
      <rPr>
        <rFont val="Arial"/>
        <sz val="12"/>
        <scheme val="none"/>
      </rPr>
      <t>CABLE LAYING</t>
    </r>
  </si>
  <si>
    <r>
      <rPr>
        <rFont val="Arial"/>
        <sz val="12"/>
        <scheme val="none"/>
      </rPr>
      <t>CHAPTER - 26</t>
    </r>
  </si>
  <si>
    <r>
      <rPr>
        <rFont val="Arial"/>
        <sz val="12"/>
        <scheme val="none"/>
      </rPr>
      <t>CHAPTER - 27</t>
    </r>
  </si>
  <si>
    <r>
      <rPr>
        <rFont val="Arial"/>
        <sz val="12"/>
        <scheme val="none"/>
      </rPr>
      <t>EARTHING</t>
    </r>
  </si>
  <si>
    <r>
      <rPr>
        <rFont val="Arial"/>
        <sz val="12"/>
        <scheme val="none"/>
      </rPr>
      <t>CHAPTER - 28</t>
    </r>
  </si>
  <si>
    <r>
      <rPr>
        <rFont val="Arial"/>
        <sz val="12"/>
        <scheme val="none"/>
      </rPr>
      <t>SIGNAL RELATED ITEMS</t>
    </r>
  </si>
  <si>
    <r>
      <rPr>
        <rFont val="Arial"/>
        <sz val="12"/>
        <scheme val="none"/>
      </rPr>
      <t>CHAPTER - 29</t>
    </r>
  </si>
  <si>
    <r>
      <rPr>
        <rFont val="Arial"/>
        <sz val="12"/>
        <scheme val="none"/>
      </rPr>
      <t>CHAPTER - 30</t>
    </r>
  </si>
  <si>
    <r>
      <rPr>
        <rFont val="Arial"/>
        <sz val="12"/>
        <scheme val="none"/>
      </rPr>
      <t>CHAPTER - 31</t>
    </r>
  </si>
  <si>
    <r>
      <rPr>
        <rFont val="Arial"/>
        <sz val="12"/>
        <scheme val="none"/>
      </rPr>
      <t>SIGHTING BOARD &amp; CALLING</t>
    </r>
    <r>
      <rPr>
        <rFont val="Times New Roman"/>
        <family val="1"/>
        <sz val="12"/>
        <scheme val="none"/>
      </rPr>
      <t xml:space="preserve"> </t>
    </r>
    <r>
      <rPr>
        <rFont val="Arial"/>
        <sz val="12"/>
        <scheme val="none"/>
      </rPr>
      <t>BOARDS</t>
    </r>
  </si>
  <si>
    <r>
      <rPr>
        <rFont val="Arial"/>
        <sz val="12"/>
        <scheme val="none"/>
      </rPr>
      <t>CHAPTER - 32</t>
    </r>
  </si>
  <si>
    <r>
      <rPr>
        <rFont val="Arial"/>
        <sz val="12"/>
        <scheme val="none"/>
      </rPr>
      <t>INDOOR WORKS</t>
    </r>
  </si>
  <si>
    <r>
      <rPr>
        <rFont val="Arial"/>
        <sz val="12"/>
        <scheme val="none"/>
      </rPr>
      <t>CHAPTER - 33</t>
    </r>
  </si>
  <si>
    <r>
      <rPr>
        <rFont val="Arial"/>
        <sz val="12"/>
        <scheme val="none"/>
      </rPr>
      <t>TRANSPORTATION</t>
    </r>
  </si>
  <si>
    <r>
      <rPr>
        <rFont val="Arial"/>
        <sz val="12"/>
        <scheme val="none"/>
      </rPr>
      <t>CHAPTER - 34</t>
    </r>
  </si>
  <si>
    <r>
      <rPr>
        <rFont val="Arial"/>
        <sz val="12"/>
        <scheme val="none"/>
      </rPr>
      <t>POWER SUPPLY</t>
    </r>
  </si>
  <si>
    <r>
      <rPr>
        <rFont val="Arial"/>
        <sz val="12"/>
        <scheme val="none"/>
      </rPr>
      <t>CHAPTER - 35</t>
    </r>
  </si>
  <si>
    <r>
      <rPr>
        <rFont val="Arial"/>
        <sz val="12"/>
        <scheme val="none"/>
      </rPr>
      <t>TESTING</t>
    </r>
  </si>
  <si>
    <r>
      <rPr>
        <rFont val="Arial"/>
        <sz val="12"/>
        <scheme val="none"/>
      </rPr>
      <t>CHAPTER - 36</t>
    </r>
  </si>
  <si>
    <r>
      <rPr>
        <rFont val="Arial"/>
        <sz val="12"/>
        <scheme val="none"/>
      </rPr>
      <t>LC GATE</t>
    </r>
  </si>
  <si>
    <r>
      <rPr>
        <rFont val="Arial"/>
        <sz val="12"/>
        <scheme val="none"/>
      </rPr>
      <t>CHAPTER - 37</t>
    </r>
  </si>
  <si>
    <r>
      <rPr>
        <rFont val="Arial"/>
        <sz val="12"/>
        <scheme val="none"/>
      </rPr>
      <t>AXLE COUNTER</t>
    </r>
  </si>
  <si>
    <r>
      <rPr>
        <rFont val="Arial"/>
        <sz val="12"/>
        <scheme val="none"/>
      </rPr>
      <t>CHAPTER - 38</t>
    </r>
  </si>
  <si>
    <r>
      <rPr>
        <rFont val="Arial"/>
        <sz val="12"/>
        <scheme val="none"/>
      </rPr>
      <t>SOLAR PANEL</t>
    </r>
  </si>
  <si>
    <r>
      <rPr>
        <rFont val="Arial"/>
        <sz val="12"/>
        <scheme val="none"/>
      </rPr>
      <t>CHAPTER - 39</t>
    </r>
  </si>
  <si>
    <r>
      <rPr>
        <rFont val="Arial"/>
        <sz val="12"/>
        <scheme val="none"/>
      </rPr>
      <t>DOCUMENTATION</t>
    </r>
  </si>
  <si>
    <r>
      <rPr>
        <rFont val="Arial"/>
        <sz val="12"/>
        <scheme val="none"/>
      </rPr>
      <t>CHAPTER - 40</t>
    </r>
  </si>
  <si>
    <r>
      <rPr>
        <rFont val="Arial"/>
        <sz val="12"/>
        <scheme val="none"/>
      </rPr>
      <t>ALTERATIONS</t>
    </r>
  </si>
  <si>
    <r>
      <rPr>
        <rFont val="Arial"/>
        <sz val="12"/>
        <scheme val="none"/>
      </rPr>
      <t>CHAPTER - 41</t>
    </r>
  </si>
  <si>
    <r>
      <rPr>
        <rFont val="Arial"/>
        <sz val="12"/>
        <scheme val="none"/>
      </rPr>
      <t>ELECTRONIC INTERLOCKING</t>
    </r>
    <r>
      <rPr>
        <rFont val="Times New Roman"/>
        <family val="1"/>
        <sz val="12"/>
        <scheme val="none"/>
      </rPr>
      <t xml:space="preserve"> </t>
    </r>
    <r>
      <rPr>
        <rFont val="Arial"/>
        <sz val="12"/>
        <scheme val="none"/>
      </rPr>
      <t>RELATED ITEMS</t>
    </r>
  </si>
  <si>
    <r>
      <rPr>
        <rFont val="Arial"/>
        <sz val="12"/>
        <scheme val="none"/>
      </rPr>
      <t>CHAPTER - 42</t>
    </r>
  </si>
  <si>
    <r>
      <rPr>
        <rFont val="Arial"/>
        <sz val="12"/>
        <scheme val="none"/>
      </rPr>
      <t>CHAPTER - 43</t>
    </r>
  </si>
  <si>
    <r>
      <rPr>
        <rFont val="Arial"/>
        <sz val="12"/>
        <scheme val="none"/>
      </rPr>
      <t>FIRE ALARM</t>
    </r>
  </si>
  <si>
    <r>
      <rPr>
        <rFont val="Arial"/>
        <sz val="12"/>
        <scheme val="none"/>
      </rPr>
      <t>CHAPTER - 44</t>
    </r>
  </si>
  <si>
    <r>
      <rPr>
        <rFont val="Arial"/>
        <sz val="12"/>
        <scheme val="none"/>
      </rPr>
      <t>MISCELLANEOUS</t>
    </r>
  </si>
  <si>
    <r>
      <rPr>
        <rFont val="Arial"/>
        <sz val="12"/>
        <scheme val="none"/>
      </rPr>
      <t>CHAPTER - 45</t>
    </r>
  </si>
  <si>
    <r>
      <rPr>
        <rFont val="Arial"/>
        <sz val="12"/>
        <scheme val="none"/>
      </rPr>
      <t>RELEASING OF S&amp;T GEARS</t>
    </r>
  </si>
  <si>
    <r>
      <rPr>
        <rFont val="Arial"/>
        <sz val="12"/>
        <scheme val="none"/>
      </rPr>
      <t>CHAPTER - 46</t>
    </r>
  </si>
  <si>
    <r>
      <rPr>
        <rFont val="Arial"/>
        <sz val="12"/>
        <scheme val="none"/>
      </rPr>
      <t>TELECOM WORKS</t>
    </r>
  </si>
  <si>
    <r>
      <rPr>
        <rFont val="Arial"/>
        <sz val="12"/>
        <scheme val="none"/>
      </rPr>
      <t>CHAPTER - 47</t>
    </r>
  </si>
  <si>
    <r>
      <rPr>
        <rFont val="Arial"/>
        <sz val="12"/>
        <scheme val="none"/>
      </rPr>
      <t>TCAS (KAVACH)</t>
    </r>
  </si>
  <si>
    <r>
      <rPr>
        <rFont val="Arial"/>
        <sz val="12"/>
        <scheme val="none"/>
      </rPr>
      <t>ABBREVIATIONS</t>
    </r>
  </si>
  <si>
    <t>ABBREVIATIONS</t>
  </si>
  <si>
    <t>In this SOR, the following words and expressions shall, unless repugnant to the context or meaning</t>
  </si>
  <si>
    <t>thereof, has the meaning here in after respectively assigned to them:</t>
  </si>
  <si>
    <t>AT</t>
  </si>
  <si>
    <t>Auxiliary Transformer</t>
  </si>
  <si>
    <t>ADM</t>
  </si>
  <si>
    <t>An Add Drop Multiplexer</t>
  </si>
  <si>
    <t>ADF</t>
  </si>
  <si>
    <t>Automatic Document Feeder</t>
  </si>
  <si>
    <t>AUTOCAD</t>
  </si>
  <si>
    <t>Automated Computer Aided Design</t>
  </si>
  <si>
    <t>AC</t>
  </si>
  <si>
    <t>Alternating Current</t>
  </si>
  <si>
    <t>BRS</t>
  </si>
  <si>
    <t>British Railway Specifications</t>
  </si>
  <si>
    <t>AH</t>
  </si>
  <si>
    <t>Ampere Hour</t>
  </si>
  <si>
    <t>CT</t>
  </si>
  <si>
    <t>Cable Termination</t>
  </si>
  <si>
    <t>BPAC</t>
  </si>
  <si>
    <r>
      <rPr>
        <rFont val="Book Antiqua"/>
        <family val="1"/>
        <sz val="12"/>
        <scheme val="none"/>
      </rPr>
      <t>Block Proving by Axle Counters</t>
    </r>
  </si>
  <si>
    <t>CAT</t>
  </si>
  <si>
    <t>Category</t>
  </si>
  <si>
    <t>CLS</t>
  </si>
  <si>
    <t>Color Light Signal</t>
  </si>
  <si>
    <t>CTB</t>
  </si>
  <si>
    <t>Cable Termination Box</t>
  </si>
  <si>
    <t>CORE</t>
  </si>
  <si>
    <r>
      <rPr>
        <rFont val="Book Antiqua"/>
        <family val="1"/>
        <sz val="12"/>
        <scheme val="none"/>
      </rPr>
      <t>Central Organization for Railway Electrification</t>
    </r>
  </si>
  <si>
    <t>DTMF</t>
  </si>
  <si>
    <t>Dual Tone Multi Frequency</t>
  </si>
  <si>
    <t>CPRI</t>
  </si>
  <si>
    <r>
      <rPr>
        <rFont val="Book Antiqua"/>
        <family val="1"/>
        <sz val="12"/>
        <scheme val="none"/>
      </rPr>
      <t>Common Public Radio Interface</t>
    </r>
  </si>
  <si>
    <t>DVD</t>
  </si>
  <si>
    <t>Digital Versatile Disc</t>
  </si>
  <si>
    <t>DC</t>
  </si>
  <si>
    <t>Direct Current</t>
  </si>
  <si>
    <t>DG</t>
  </si>
  <si>
    <t>Diesel Generator</t>
  </si>
  <si>
    <t>DDF</t>
  </si>
  <si>
    <t>Digital Distribution Frames</t>
  </si>
  <si>
    <t>EI</t>
  </si>
  <si>
    <t>Electronic Interlocking</t>
  </si>
  <si>
    <t>DWC</t>
  </si>
  <si>
    <t>Double Walled Corrugated</t>
  </si>
  <si>
    <t>EC</t>
  </si>
  <si>
    <t>Emergency Communication</t>
  </si>
  <si>
    <t>EPROM</t>
  </si>
  <si>
    <r>
      <rPr>
        <rFont val="Book Antiqua"/>
        <family val="1"/>
        <sz val="12"/>
        <scheme val="none"/>
      </rPr>
      <t>Erasable Programmable Read Only Memory</t>
    </r>
  </si>
  <si>
    <t>EOLB</t>
  </si>
  <si>
    <t>Electrically Operated Lifting Barrier</t>
  </si>
  <si>
    <t>EPD</t>
  </si>
  <si>
    <t>Electrical Point Detector</t>
  </si>
  <si>
    <t>EEC</t>
  </si>
  <si>
    <t>Earth Enhancement Compound</t>
  </si>
  <si>
    <t>ECR</t>
  </si>
  <si>
    <t>Lamp Checking Relay</t>
  </si>
  <si>
    <t>FACP</t>
  </si>
  <si>
    <t>Fire Alarm Control Panel</t>
  </si>
  <si>
    <t>ELD</t>
  </si>
  <si>
    <t>Earth Leakage Detector</t>
  </si>
  <si>
    <t>FAT</t>
  </si>
  <si>
    <t>Factory Acceptance Test</t>
  </si>
  <si>
    <t>ELB</t>
  </si>
  <si>
    <t>Electric Lifting Barrier</t>
  </si>
  <si>
    <t>FDMS</t>
  </si>
  <si>
    <r>
      <rPr>
        <rFont val="Book Antiqua"/>
        <family val="1"/>
        <sz val="12"/>
        <scheme val="none"/>
      </rPr>
      <t>Fiber Distribution Management System</t>
    </r>
  </si>
  <si>
    <t>EKT</t>
  </si>
  <si>
    <t>Electrical Key Transmitter</t>
  </si>
  <si>
    <t>FXS</t>
  </si>
  <si>
    <t>Foreign Exchange Subscriber</t>
  </si>
  <si>
    <t>FEP</t>
  </si>
  <si>
    <t>Front End Processor</t>
  </si>
  <si>
    <t>GPS</t>
  </si>
  <si>
    <t>Global Positioning System</t>
  </si>
  <si>
    <t>FACS</t>
  </si>
  <si>
    <r>
      <rPr>
        <rFont val="Book Antiqua"/>
        <family val="1"/>
        <sz val="12"/>
        <scheme val="none"/>
      </rPr>
      <t>Fuse Auto Changeover System</t>
    </r>
  </si>
  <si>
    <t>HDPE</t>
  </si>
  <si>
    <t>High Density Poly ethylene</t>
  </si>
  <si>
    <t>FXO</t>
  </si>
  <si>
    <t>Foreign Exchange Office</t>
  </si>
  <si>
    <t>GKP</t>
  </si>
  <si>
    <t>Gorakhpur</t>
  </si>
  <si>
    <t>FOB</t>
  </si>
  <si>
    <t>Foot Over Bridge</t>
  </si>
  <si>
    <t>HASSDAC</t>
  </si>
  <si>
    <r>
      <rPr>
        <rFont val="Book Antiqua"/>
        <family val="1"/>
        <sz val="12"/>
        <scheme val="none"/>
      </rPr>
      <t>High Availability Single Section Digital Axle Counter</t>
    </r>
  </si>
  <si>
    <t>FRP</t>
  </si>
  <si>
    <t>Fibre Reinforced Plastic</t>
  </si>
  <si>
    <t>HIP</t>
  </si>
  <si>
    <t>High Intensive Prismatic</t>
  </si>
  <si>
    <t>GI</t>
  </si>
  <si>
    <t>Galvanized Iron</t>
  </si>
  <si>
    <t>IBS</t>
  </si>
  <si>
    <t>Intermediate Block Signal</t>
  </si>
  <si>
    <t>GUI</t>
  </si>
  <si>
    <t>Graphical User Interface</t>
  </si>
  <si>
    <t>HQ</t>
  </si>
  <si>
    <t>Head Quarter</t>
  </si>
  <si>
    <t>GSM</t>
  </si>
  <si>
    <r>
      <rPr>
        <rFont val="Book Antiqua"/>
        <family val="1"/>
        <sz val="12"/>
        <scheme val="none"/>
      </rPr>
      <t>Global System for Mobile Communication</t>
    </r>
  </si>
  <si>
    <t>IP</t>
  </si>
  <si>
    <t>Internet Protocol</t>
  </si>
  <si>
    <t>IPS</t>
  </si>
  <si>
    <r>
      <rPr>
        <rFont val="Book Antiqua"/>
        <family val="1"/>
        <sz val="12"/>
        <scheme val="none"/>
      </rPr>
      <t>Integrated Power Supply System</t>
    </r>
  </si>
  <si>
    <t>IS</t>
  </si>
  <si>
    <t>Indian Specification</t>
  </si>
  <si>
    <t>IRS</t>
  </si>
  <si>
    <t>Indian Railway Specifications</t>
  </si>
  <si>
    <t>LC</t>
  </si>
  <si>
    <t>Level Crossing</t>
  </si>
  <si>
    <t>IRSEM</t>
  </si>
  <si>
    <r>
      <rPr>
        <rFont val="Book Antiqua"/>
        <family val="1"/>
        <sz val="12"/>
        <scheme val="none"/>
      </rPr>
      <t>Indian Railway Signal Engineering Manual</t>
    </r>
  </si>
  <si>
    <t>LED</t>
  </si>
  <si>
    <t>Light Emitting Diode</t>
  </si>
  <si>
    <t>KVA</t>
  </si>
  <si>
    <t>Kilo Volt Ampere</t>
  </si>
  <si>
    <t>LAN</t>
  </si>
  <si>
    <t>Local Area Network</t>
  </si>
  <si>
    <t>KLCR</t>
  </si>
  <si>
    <t>Key Lock Control Relay</t>
  </si>
  <si>
    <t>LEC</t>
  </si>
  <si>
    <t>Local Exchange Carrier</t>
  </si>
  <si>
    <t>LCD</t>
  </si>
  <si>
    <t>Liquid Crystal Display</t>
  </si>
  <si>
    <t>MS</t>
  </si>
  <si>
    <t>Mild Steel</t>
  </si>
  <si>
    <t>LD</t>
  </si>
  <si>
    <t>Lightning Detector</t>
  </si>
  <si>
    <t>MCB</t>
  </si>
  <si>
    <t>Miniature Circuit Breaker</t>
  </si>
  <si>
    <t>LPCB</t>
  </si>
  <si>
    <r>
      <rPr>
        <rFont val="Book Antiqua"/>
        <family val="1"/>
        <sz val="12"/>
        <scheme val="none"/>
      </rPr>
      <t>Loss Prevention certification board</t>
    </r>
  </si>
  <si>
    <t>MUX</t>
  </si>
  <si>
    <t>Multiplexer</t>
  </si>
  <si>
    <t>MEEB</t>
  </si>
  <si>
    <r>
      <rPr>
        <rFont val="Book Antiqua"/>
        <family val="1"/>
        <sz val="12"/>
        <scheme val="none"/>
      </rPr>
      <t>Main Equi potential Earth Busbar</t>
    </r>
  </si>
  <si>
    <t>MBPS</t>
  </si>
  <si>
    <t>Mega Bytes Per Second</t>
  </si>
  <si>
    <t>MSDAC</t>
  </si>
  <si>
    <r>
      <rPr>
        <rFont val="Book Antiqua"/>
        <family val="1"/>
        <sz val="12"/>
        <scheme val="none"/>
      </rPr>
      <t>Multi Section Digital Axle Counter</t>
    </r>
  </si>
  <si>
    <t>MT</t>
  </si>
  <si>
    <t>Metric Ton</t>
  </si>
  <si>
    <t>MODEM</t>
  </si>
  <si>
    <t>Modulator Demodulator</t>
  </si>
  <si>
    <t>NBT</t>
  </si>
  <si>
    <t>Neals Ball Token</t>
  </si>
  <si>
    <t>MPEG</t>
  </si>
  <si>
    <t>Moving Picture Experts Group</t>
  </si>
  <si>
    <t>NS</t>
  </si>
  <si>
    <t>Non-Scheduled</t>
  </si>
  <si>
    <t>NVR</t>
  </si>
  <si>
    <t>Network Video Recorder</t>
  </si>
  <si>
    <t>OEM</t>
  </si>
  <si>
    <t>Original Equipment Manufacturer</t>
  </si>
  <si>
    <t>ND</t>
  </si>
  <si>
    <t>Non-Deteriorating</t>
  </si>
  <si>
    <t>OTDR</t>
  </si>
  <si>
    <t>Optical Time Domain Reflectometer</t>
  </si>
  <si>
    <t>OHE</t>
  </si>
  <si>
    <t>Over Head Equipment</t>
  </si>
  <si>
    <t>PSC</t>
  </si>
  <si>
    <t>Pre-Stressed Concrete</t>
  </si>
  <si>
    <t>OFC</t>
  </si>
  <si>
    <t>Optical Fiber Cable</t>
  </si>
  <si>
    <t>PVC</t>
  </si>
  <si>
    <t>Poly Vinyl Chloride</t>
  </si>
  <si>
    <t>PE</t>
  </si>
  <si>
    <t>Ploy Ethylene</t>
  </si>
  <si>
    <t>PCB</t>
  </si>
  <si>
    <t>Printed Circuit Board</t>
  </si>
  <si>
    <t>PTT</t>
  </si>
  <si>
    <t>Push To Talk</t>
  </si>
  <si>
    <t>PPTC</t>
  </si>
  <si>
    <r>
      <rPr>
        <rFont val="Book Antiqua"/>
        <family val="1"/>
        <sz val="12"/>
        <scheme val="none"/>
      </rPr>
      <t>Polymeric Positive Temperature Coefficient</t>
    </r>
  </si>
  <si>
    <t>PA</t>
  </si>
  <si>
    <t>Public Address</t>
  </si>
  <si>
    <t>PWM</t>
  </si>
  <si>
    <t>Pulse Width Modulation</t>
  </si>
  <si>
    <t>PI</t>
  </si>
  <si>
    <t>Pane Interlocking</t>
  </si>
  <si>
    <t>PLB HDPE</t>
  </si>
  <si>
    <r>
      <rPr>
        <rFont val="Book Antiqua"/>
        <family val="1"/>
        <sz val="12"/>
        <scheme val="none"/>
      </rPr>
      <t>Permanently Lubricated High Density Polyethylene</t>
    </r>
  </si>
  <si>
    <t>PBT</t>
  </si>
  <si>
    <t>Polybutylene terephthalate</t>
  </si>
  <si>
    <t>RFID</t>
  </si>
  <si>
    <t>Radio Frequency Identification</t>
  </si>
  <si>
    <t>PPM</t>
  </si>
  <si>
    <t>Pages Per Minute</t>
  </si>
  <si>
    <t>RDSO</t>
  </si>
  <si>
    <r>
      <rPr>
        <rFont val="Book Antiqua"/>
        <family val="1"/>
        <sz val="12"/>
        <scheme val="none"/>
      </rPr>
      <t>Research Designs and Standards Organization</t>
    </r>
  </si>
  <si>
    <t>RE</t>
  </si>
  <si>
    <t>Railway Electrification</t>
  </si>
  <si>
    <t>RRI</t>
  </si>
  <si>
    <t>Route Relay Interlocking</t>
  </si>
  <si>
    <t>RCC</t>
  </si>
  <si>
    <t>Reinforced Cement Concrete</t>
  </si>
  <si>
    <t>RPM</t>
  </si>
  <si>
    <t>Rotations Per minute</t>
  </si>
  <si>
    <t>RITES</t>
  </si>
  <si>
    <r>
      <rPr>
        <rFont val="Book Antiqua"/>
        <family val="1"/>
        <sz val="12"/>
        <scheme val="none"/>
      </rPr>
      <t>Rail India Technical and Economic Services</t>
    </r>
  </si>
  <si>
    <t>Running Metre</t>
  </si>
  <si>
    <t>RJ</t>
  </si>
  <si>
    <t>Registered Jack</t>
  </si>
  <si>
    <t>SDH</t>
  </si>
  <si>
    <t>Synchronous Digital Hierarchy</t>
  </si>
  <si>
    <t>RMS</t>
  </si>
  <si>
    <t>Root Mean Square</t>
  </si>
  <si>
    <t>SAT</t>
  </si>
  <si>
    <t>Site Acceptance Test</t>
  </si>
  <si>
    <t>STM</t>
  </si>
  <si>
    <r>
      <rPr>
        <rFont val="Book Antiqua"/>
        <family val="1"/>
        <sz val="12"/>
        <scheme val="none"/>
      </rPr>
      <t>Synchronous Transport Module</t>
    </r>
  </si>
  <si>
    <t>SATA</t>
  </si>
  <si>
    <r>
      <rPr>
        <rFont val="Book Antiqua"/>
        <family val="1"/>
        <sz val="12"/>
        <scheme val="none"/>
      </rPr>
      <t>Serial Advanced Technology Attachment</t>
    </r>
  </si>
  <si>
    <t>RTU</t>
  </si>
  <si>
    <t>Remote Terminal Unit</t>
  </si>
  <si>
    <t>SIP</t>
  </si>
  <si>
    <t>Signaling Interlocking Plan</t>
  </si>
  <si>
    <t>SFP</t>
  </si>
  <si>
    <t>Small Form-Factor Pluggable</t>
  </si>
  <si>
    <t>SBC</t>
  </si>
  <si>
    <t>Safe Bearing Capacity</t>
  </si>
  <si>
    <t>SM</t>
  </si>
  <si>
    <t>Station Master</t>
  </si>
  <si>
    <t>SNMP</t>
  </si>
  <si>
    <r>
      <rPr>
        <rFont val="Book Antiqua"/>
        <family val="1"/>
        <sz val="12"/>
        <scheme val="none"/>
      </rPr>
      <t>Simple Network Management Protocol</t>
    </r>
  </si>
  <si>
    <t>SWG</t>
  </si>
  <si>
    <t>Standard Wire Gauge</t>
  </si>
  <si>
    <t>SMS</t>
  </si>
  <si>
    <t>Short Messaging Service</t>
  </si>
  <si>
    <t>SMPS</t>
  </si>
  <si>
    <t>Switch Mode Power Supply</t>
  </si>
  <si>
    <t>SWRD</t>
  </si>
  <si>
    <t>Station Working Rule Diagram</t>
  </si>
  <si>
    <t>SWR</t>
  </si>
  <si>
    <t>Station Working Rules</t>
  </si>
  <si>
    <t>SWOD</t>
  </si>
  <si>
    <t>Station Working Oder Diagram</t>
  </si>
  <si>
    <t>SPD</t>
  </si>
  <si>
    <t>Surge Protection Device</t>
  </si>
  <si>
    <t>SEEB</t>
  </si>
  <si>
    <t>Sub Equi Potential Earth Bus bar</t>
  </si>
  <si>
    <t>SSDAC</t>
  </si>
  <si>
    <r>
      <rPr>
        <rFont val="Book Antiqua"/>
        <family val="1"/>
        <sz val="12"/>
        <scheme val="none"/>
      </rPr>
      <t>Single Section Digital Axle Counter</t>
    </r>
  </si>
  <si>
    <t>TT</t>
  </si>
  <si>
    <t>Teletype Text</t>
  </si>
  <si>
    <t>TB</t>
  </si>
  <si>
    <t>Tera Byte</t>
  </si>
  <si>
    <t>TCP</t>
  </si>
  <si>
    <t>Transmission Control Protocol</t>
  </si>
  <si>
    <t>TLJB</t>
  </si>
  <si>
    <t>Track Lead Junction Box</t>
  </si>
  <si>
    <t>TCAS</t>
  </si>
  <si>
    <r>
      <rPr>
        <rFont val="Book Antiqua"/>
        <family val="1"/>
        <sz val="12"/>
        <scheme val="none"/>
      </rPr>
      <t>Train Collision Avoidance System (KAVACH)</t>
    </r>
  </si>
  <si>
    <t>TAN</t>
  </si>
  <si>
    <t>Technical Advisory Note</t>
  </si>
  <si>
    <t>TDM</t>
  </si>
  <si>
    <t>Time Division Multiplexing</t>
  </si>
  <si>
    <t>TOC</t>
  </si>
  <si>
    <t>Table of Control</t>
  </si>
  <si>
    <t>TELNET</t>
  </si>
  <si>
    <t>Teletype Network</t>
  </si>
  <si>
    <t>TEC</t>
  </si>
  <si>
    <r>
      <rPr>
        <rFont val="Book Antiqua"/>
        <family val="1"/>
        <sz val="12"/>
        <scheme val="none"/>
      </rPr>
      <t>Telecommunication Engineering Centre</t>
    </r>
  </si>
  <si>
    <t>USB</t>
  </si>
  <si>
    <t>Universal serial Bus</t>
  </si>
  <si>
    <t>UTP</t>
  </si>
  <si>
    <t>Unshielded Twisted Pair</t>
  </si>
  <si>
    <t>UHF</t>
  </si>
  <si>
    <t>Ultra-High Frequency</t>
  </si>
  <si>
    <t>UPS</t>
  </si>
  <si>
    <t>Uninterrupted Power Supply</t>
  </si>
  <si>
    <t>VDU</t>
  </si>
  <si>
    <t>Visual Display Unit</t>
  </si>
  <si>
    <t>UFSBI</t>
  </si>
  <si>
    <r>
      <rPr>
        <rFont val="Book Antiqua"/>
        <family val="1"/>
        <sz val="12"/>
        <scheme val="none"/>
      </rPr>
      <t>Universal Fail-Safe Block Interface</t>
    </r>
  </si>
  <si>
    <t>VRLA</t>
  </si>
  <si>
    <t>Valve Regulated Lead Acid</t>
  </si>
  <si>
    <t>VF</t>
  </si>
  <si>
    <t>Voice Frequency</t>
  </si>
  <si>
    <t>item_no</t>
  </si>
  <si>
    <t>description</t>
  </si>
  <si>
    <t>unit</t>
  </si>
  <si>
    <t>reference_id</t>
  </si>
</sst>
</file>

<file path=xl/styles.xml><?xml version="1.0" encoding="utf-8"?>
<styleSheet xmlns="http://schemas.openxmlformats.org/spreadsheetml/2006/main">
  <numFmts count="4">
    <numFmt numFmtId="165" formatCode="###0;[Red]###0"/>
    <numFmt numFmtId="164" formatCode="###0;###0"/>
    <numFmt numFmtId="166" formatCode="#,##0;#,##0"/>
    <numFmt numFmtId="167" formatCode="0.0"/>
  </numFmts>
  <fonts count="38">
    <font>
      <sz val="10"/>
      <color rgb="FF000000"/>
      <name val="Times New Roman"/>
      <family val="2"/>
      <charset val="204"/>
    </font>
    <font>
      <b/>
      <sz val="9"/>
      <name val="Arial"/>
    </font>
    <font>
      <sz val="10"/>
      <name val="Arial"/>
    </font>
    <font>
      <sz val="10"/>
      <color rgb="FF00B050"/>
      <name val="Arial"/>
    </font>
    <font>
      <sz val="10"/>
      <color rgb="FF7030A0"/>
      <name val="Arial"/>
    </font>
    <font>
      <sz val="10"/>
      <color rgb="FFC00000"/>
      <name val="Arial"/>
    </font>
    <font>
      <sz val="10"/>
      <color rgb="FF388600"/>
      <name val="Arial"/>
    </font>
    <font>
      <sz val="10"/>
      <color rgb="FF007BB8"/>
      <name val="Arial"/>
    </font>
    <font>
      <sz val="10"/>
      <color rgb="FFFF0000"/>
      <name val="Arial"/>
    </font>
    <font>
      <sz val="9"/>
      <color rgb="FF7030A0"/>
      <name val="Arial"/>
    </font>
    <font>
      <sz val="9"/>
      <color rgb="FFFFC000"/>
      <name val="Arial"/>
    </font>
    <font>
      <sz val="9"/>
      <name val="Arial"/>
    </font>
    <font>
      <sz val="9"/>
      <color rgb="FFC00000"/>
      <name val="Arial"/>
    </font>
    <font>
      <b/>
      <sz val="10"/>
      <name val="Arial"/>
    </font>
    <font>
      <b/>
      <sz val="12"/>
      <name val="Arial"/>
    </font>
    <font>
      <sz val="12"/>
      <name val="Arial"/>
    </font>
    <font>
      <sz val="14"/>
      <name val="Arial"/>
    </font>
    <font>
      <b/>
      <sz val="10"/>
      <color rgb="FFFF0000"/>
      <name val="Arial"/>
    </font>
    <font>
      <sz val="9"/>
      <color rgb="FF00B050"/>
      <name val="Arial"/>
    </font>
    <font>
      <sz val="8"/>
      <name val="Arial"/>
    </font>
    <font>
      <sz val="9"/>
      <color rgb="FF388600"/>
      <name val="Arial"/>
    </font>
    <font>
      <b/>
      <sz val="10"/>
      <color rgb="FF007BB8"/>
      <name val="Arial"/>
    </font>
    <font>
      <sz val="9"/>
      <color rgb="FF007BB8"/>
      <name val="Arial"/>
    </font>
    <font>
      <sz val="9"/>
      <color rgb="FFFF0000"/>
      <name val="Arial"/>
    </font>
    <font>
      <sz val="9"/>
      <color rgb="FFA20000"/>
      <name val="Arial"/>
    </font>
    <font>
      <sz val="10"/>
      <color rgb="FFFFC000"/>
      <name val="Arial"/>
    </font>
    <font>
      <b/>
      <sz val="16"/>
      <name val="Arial"/>
    </font>
    <font>
      <sz val="12"/>
      <color rgb="FF000000"/>
      <name val="Arial"/>
    </font>
    <font>
      <sz val="10"/>
      <color rgb="FF000000"/>
      <name val="Book Antiqua"/>
      <family val="1"/>
    </font>
    <font>
      <b/>
      <sz val="12"/>
      <name val="Book Antiqua"/>
      <family val="1"/>
    </font>
    <font>
      <sz val="11"/>
      <name val="Book Antiqua"/>
      <family val="1"/>
    </font>
    <font>
      <sz val="12"/>
      <name val="Book Antiqua"/>
      <family val="1"/>
    </font>
    <font>
      <sz val="10"/>
      <color rgb="FF000000"/>
      <name val="Times New Roman"/>
      <family val="1"/>
    </font>
    <font>
      <sz val="12"/>
      <name val="Times New Roman"/>
      <family val="1"/>
    </font>
    <font>
      <b/>
      <u/>
      <sz val="10"/>
      <name val="Arial"/>
    </font>
    <font>
      <b/>
      <sz val="10"/>
      <color rgb="FF00B050"/>
      <name val="Arial"/>
    </font>
    <font>
      <b/>
      <sz val="10"/>
      <color rgb="FF7030A0"/>
      <name val="Arial"/>
    </font>
    <font>
      <b/>
      <sz val="14"/>
      <name val="Arial"/>
    </font>
  </fonts>
  <fills count="4">
    <fill>
      <patternFill patternType="none"/>
    </fill>
    <fill>
      <patternFill patternType="gray125"/>
    </fill>
    <fill>
      <patternFill patternType="solid">
        <fgColor rgb="FFD9D9D9"/>
      </patternFill>
    </fill>
    <fill>
      <patternFill patternType="solid">
        <fgColor rgb="FFBDBDBD"/>
      </patternFill>
    </fill>
  </fills>
  <borders count="10">
    <border/>
    <border>
      <bottom style="thin">
        <color rgb="FF000000"/>
      </bottom>
    </border>
    <border>
      <left style="thin">
        <color rgb="FF000000"/>
      </left>
      <top style="thin">
        <color rgb="FF000000"/>
      </top>
      <bottom style="thin">
        <color rgb="FFBDBDBD"/>
      </bottom>
    </border>
    <border>
      <top style="thin">
        <color rgb="FF000000"/>
      </top>
      <bottom style="thin">
        <color rgb="FFBDBDBD"/>
      </bottom>
    </border>
    <border>
      <left style="thin">
        <color rgb="FF000000"/>
      </left>
      <right style="thin">
        <color rgb="FF000000"/>
      </right>
      <top style="thin">
        <color rgb="FFBDBDBD"/>
      </top>
      <bottom style="thin">
        <color rgb="FF000000"/>
      </bottom>
    </border>
    <border>
      <left style="thin">
        <color rgb="FF000000"/>
      </left>
      <top style="thin">
        <color rgb="FFBDBDBD"/>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4">
    <xf numFmtId="0" fontId="0" fillId="0" borderId="0"/>
    <xf numFmtId="0" fontId="32" fillId="0" borderId="0"/>
    <xf numFmtId="0" fontId="2" fillId="0" borderId="0"/>
    <xf numFmtId="0" fontId="2" fillId="0" borderId="0"/>
  </cellStyleXfs>
  <cellXfs count="184">
    <xf numFmtId="0" fontId="0" fillId="0" borderId="0" xfId="0" applyAlignment="1">
      <alignment horizontal="left" vertical="top"/>
    </xf>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horizontal="center" vertical="center"/>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9" fillId="0" borderId="0" xfId="0" applyFont="1"/>
    <xf numFmtId="0" fontId="10" fillId="0" borderId="0" xfId="0" applyFont="1"/>
    <xf numFmtId="0" fontId="11" fillId="0" borderId="0" xfId="1" applyFont="1"/>
    <xf numFmtId="0" fontId="12" fillId="0" borderId="0" xfId="0" applyFont="1"/>
    <xf numFmtId="0" fontId="11" fillId="0" borderId="0" xfId="0" applyFont="1"/>
    <xf numFmtId="0" fontId="11"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center"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top"/>
    </xf>
    <xf numFmtId="0" fontId="1" fillId="0" borderId="0" xfId="0" applyFont="1" applyAlignment="1">
      <alignment horizontal="center" vertical="top" wrapText="1"/>
    </xf>
    <xf numFmtId="0" fontId="13" fillId="2" borderId="0" xfId="0" applyFont="1" applyFill="1" applyAlignment="1">
      <alignment horizontal="center" vertical="center" wrapText="1"/>
    </xf>
    <xf numFmtId="0" fontId="13" fillId="2" borderId="0" xfId="0" applyFont="1" applyFill="1" applyAlignment="1">
      <alignment horizontal="center" vertical="top" wrapText="1"/>
    </xf>
    <xf numFmtId="0" fontId="14" fillId="0" borderId="0" xfId="0" applyFont="1" applyAlignment="1">
      <alignment horizontal="center" vertical="center" wrapText="1"/>
    </xf>
    <xf numFmtId="0" fontId="13" fillId="0" borderId="0" xfId="0" applyFont="1" applyAlignment="1">
      <alignment vertical="top" wrapText="1"/>
    </xf>
    <xf numFmtId="165" fontId="2" fillId="0" borderId="0" xfId="0" applyNumberFormat="1" applyFont="1" applyAlignment="1">
      <alignment horizontal="center" vertical="top" wrapText="1"/>
    </xf>
    <xf numFmtId="0" fontId="2" fillId="0" borderId="0" xfId="0" applyFont="1" applyAlignment="1">
      <alignment horizontal="justify" vertical="top" wrapText="1"/>
    </xf>
    <xf numFmtId="0" fontId="2" fillId="0" borderId="0" xfId="0" applyFont="1" applyAlignment="1">
      <alignment horizontal="center" vertical="top" wrapText="1"/>
    </xf>
    <xf numFmtId="0" fontId="12" fillId="0" borderId="0" xfId="0" applyFont="1" applyAlignment="1">
      <alignment horizontal="center" vertical="top" wrapText="1"/>
    </xf>
    <xf numFmtId="1" fontId="12" fillId="0" borderId="0" xfId="0" applyNumberFormat="1" applyFont="1" applyAlignment="1">
      <alignment horizontal="center" vertical="top" wrapText="1"/>
    </xf>
    <xf numFmtId="165" fontId="2" fillId="0" borderId="0" xfId="0" applyNumberFormat="1" applyFont="1" applyAlignment="1">
      <alignment horizontal="center" vertical="center" wrapText="1"/>
    </xf>
    <xf numFmtId="164" fontId="2" fillId="0" borderId="0" xfId="0" applyNumberFormat="1" applyFont="1" applyAlignment="1">
      <alignment horizontal="center" vertical="top" wrapText="1"/>
    </xf>
    <xf numFmtId="164" fontId="2" fillId="0" borderId="0" xfId="0" applyNumberFormat="1" applyFont="1" applyAlignment="1">
      <alignment vertical="top" wrapText="1"/>
    </xf>
    <xf numFmtId="0" fontId="13" fillId="0" borderId="0" xfId="0" applyFont="1" applyAlignment="1">
      <alignment horizontal="center" vertical="top" wrapText="1"/>
    </xf>
    <xf numFmtId="0" fontId="2" fillId="0" borderId="0" xfId="0" applyFont="1" applyAlignment="1">
      <alignment horizontal="justify" vertical="top"/>
    </xf>
    <xf numFmtId="0" fontId="2" fillId="0" borderId="0" xfId="0" applyFont="1" applyAlignment="1">
      <alignment vertical="top" wrapText="1"/>
    </xf>
    <xf numFmtId="0" fontId="15" fillId="0" borderId="0" xfId="0" applyFont="1" applyAlignment="1">
      <alignment horizontal="center" vertical="center" wrapText="1"/>
    </xf>
    <xf numFmtId="164" fontId="2" fillId="0" borderId="0" xfId="0" applyNumberFormat="1" applyFont="1" applyAlignment="1">
      <alignment horizontal="center" vertical="center" wrapText="1"/>
    </xf>
    <xf numFmtId="0" fontId="16" fillId="0" borderId="0" xfId="0" applyFont="1" applyAlignment="1">
      <alignment horizontal="center" vertical="top" wrapText="1"/>
    </xf>
    <xf numFmtId="0" fontId="14" fillId="0" borderId="0" xfId="0" applyFont="1" applyAlignment="1">
      <alignment horizontal="left" vertical="top" wrapText="1"/>
    </xf>
    <xf numFmtId="0" fontId="13" fillId="0" borderId="0" xfId="0" applyFont="1" applyAlignment="1">
      <alignment horizontal="justify" vertical="top" wrapText="1"/>
    </xf>
    <xf numFmtId="0" fontId="5" fillId="0" borderId="0" xfId="0" applyFont="1" applyAlignment="1">
      <alignment horizontal="justify" vertical="top" wrapText="1"/>
    </xf>
    <xf numFmtId="0" fontId="2" fillId="0" borderId="0" xfId="0" applyFont="1" applyAlignment="1">
      <alignment horizontal="center" vertical="center" wrapText="1"/>
    </xf>
    <xf numFmtId="166" fontId="2" fillId="0" borderId="0" xfId="0" applyNumberFormat="1" applyFont="1" applyAlignment="1">
      <alignment horizontal="center" vertical="top" wrapText="1"/>
    </xf>
    <xf numFmtId="0" fontId="17" fillId="0" borderId="0" xfId="0" applyFont="1" applyAlignment="1">
      <alignment horizontal="center" vertical="top" wrapText="1"/>
    </xf>
    <xf numFmtId="164" fontId="3" fillId="0" borderId="0" xfId="0" applyNumberFormat="1" applyFont="1" applyAlignment="1">
      <alignment horizontal="center" vertical="center" wrapText="1"/>
    </xf>
    <xf numFmtId="0" fontId="3" fillId="0" borderId="0" xfId="0" applyFont="1" applyAlignment="1">
      <alignment horizontal="justify" vertical="top" wrapText="1"/>
    </xf>
    <xf numFmtId="0" fontId="3" fillId="0" borderId="0" xfId="0" applyFont="1" applyAlignment="1">
      <alignment horizontal="center" vertical="top"/>
    </xf>
    <xf numFmtId="0" fontId="3" fillId="0" borderId="0" xfId="0" applyFont="1" applyAlignment="1">
      <alignment horizontal="center" vertical="top" wrapText="1"/>
    </xf>
    <xf numFmtId="164" fontId="3" fillId="0" borderId="0" xfId="0" applyNumberFormat="1" applyFont="1" applyAlignment="1">
      <alignment horizontal="center" vertical="top" wrapText="1"/>
    </xf>
    <xf numFmtId="0" fontId="18" fillId="0" borderId="0" xfId="0" applyFont="1" applyAlignment="1">
      <alignment horizontal="center" vertical="top" wrapText="1"/>
    </xf>
    <xf numFmtId="1" fontId="18" fillId="0" borderId="0" xfId="0" applyNumberFormat="1" applyFont="1" applyAlignment="1">
      <alignment horizontal="center" vertical="top" wrapText="1"/>
    </xf>
    <xf numFmtId="164" fontId="4" fillId="0" borderId="0" xfId="0" applyNumberFormat="1" applyFont="1" applyAlignment="1">
      <alignment horizontal="center" vertical="top" wrapText="1"/>
    </xf>
    <xf numFmtId="0" fontId="4" fillId="0" borderId="0" xfId="0" applyFont="1" applyAlignment="1">
      <alignment horizontal="justify" vertical="top" wrapText="1"/>
    </xf>
    <xf numFmtId="0" fontId="4" fillId="0" borderId="0" xfId="0" applyFont="1" applyAlignment="1">
      <alignment horizontal="center" vertical="top"/>
    </xf>
    <xf numFmtId="0" fontId="4" fillId="0" borderId="0" xfId="0" applyFont="1" applyAlignment="1">
      <alignment horizontal="center" vertical="top" wrapText="1"/>
    </xf>
    <xf numFmtId="0" fontId="9" fillId="0" borderId="0" xfId="0" applyFont="1" applyAlignment="1">
      <alignment horizontal="center" vertical="top" wrapText="1"/>
    </xf>
    <xf numFmtId="1" fontId="9" fillId="0" borderId="0" xfId="0" applyNumberFormat="1" applyFont="1" applyAlignment="1">
      <alignment horizontal="center" vertical="top" wrapText="1"/>
    </xf>
    <xf numFmtId="164" fontId="4" fillId="0" borderId="0" xfId="0" applyNumberFormat="1" applyFont="1" applyAlignment="1">
      <alignment horizontal="center" vertical="center" wrapText="1"/>
    </xf>
    <xf numFmtId="0" fontId="2" fillId="0" borderId="0" xfId="0" applyFont="1" applyAlignment="1">
      <alignment horizontal="left" vertical="top" wrapText="1"/>
    </xf>
    <xf numFmtId="0" fontId="12" fillId="0" borderId="0" xfId="0" applyFont="1" applyAlignment="1">
      <alignment horizontal="center" vertical="center" wrapText="1"/>
    </xf>
    <xf numFmtId="1" fontId="12" fillId="0" borderId="0" xfId="0" applyNumberFormat="1" applyFont="1" applyAlignment="1">
      <alignment horizontal="center" vertical="center" wrapText="1"/>
    </xf>
    <xf numFmtId="0" fontId="11" fillId="0" borderId="0" xfId="0" applyFont="1" applyAlignment="1">
      <alignment horizontal="center" vertical="top" wrapText="1"/>
    </xf>
    <xf numFmtId="164" fontId="5" fillId="0" borderId="0" xfId="0" applyNumberFormat="1" applyFont="1" applyAlignment="1">
      <alignment horizontal="center"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5" fillId="0" borderId="0" xfId="0" applyFont="1" applyAlignment="1">
      <alignment horizontal="justify" vertical="top"/>
    </xf>
    <xf numFmtId="0" fontId="19" fillId="0" borderId="0" xfId="0" applyFont="1" applyAlignment="1">
      <alignment horizontal="center" vertical="top"/>
    </xf>
    <xf numFmtId="164" fontId="6" fillId="0" borderId="0" xfId="0" applyNumberFormat="1" applyFont="1" applyAlignment="1">
      <alignment horizontal="center" vertical="top" wrapText="1"/>
    </xf>
    <xf numFmtId="0" fontId="6" fillId="0" borderId="0" xfId="0" applyFont="1" applyAlignment="1">
      <alignment horizontal="justify" vertical="top" wrapText="1"/>
    </xf>
    <xf numFmtId="0" fontId="6" fillId="0" borderId="0" xfId="0" applyFont="1" applyAlignment="1">
      <alignment horizontal="center" vertical="top"/>
    </xf>
    <xf numFmtId="0" fontId="6" fillId="0" borderId="0" xfId="0" applyFont="1" applyAlignment="1">
      <alignment horizontal="center" vertical="top" wrapText="1"/>
    </xf>
    <xf numFmtId="0" fontId="20" fillId="0" borderId="0" xfId="0" applyFont="1" applyAlignment="1">
      <alignment horizontal="center" vertical="top" wrapText="1"/>
    </xf>
    <xf numFmtId="1" fontId="20" fillId="0" borderId="0" xfId="0" applyNumberFormat="1" applyFont="1" applyAlignment="1">
      <alignment horizontal="center" vertical="top" wrapText="1"/>
    </xf>
    <xf numFmtId="0" fontId="21" fillId="0" borderId="0" xfId="0" applyFont="1" applyAlignment="1">
      <alignment horizontal="center" vertical="top" wrapText="1"/>
    </xf>
    <xf numFmtId="164" fontId="7" fillId="0" borderId="0" xfId="0" applyNumberFormat="1" applyFont="1" applyAlignment="1">
      <alignment horizontal="center" vertical="top" wrapText="1"/>
    </xf>
    <xf numFmtId="0" fontId="7" fillId="0" borderId="0" xfId="0" applyFont="1" applyAlignment="1">
      <alignment vertical="top" wrapText="1"/>
    </xf>
    <xf numFmtId="0" fontId="7" fillId="0" borderId="0" xfId="0" applyFont="1" applyAlignment="1">
      <alignment horizontal="center" vertical="top" wrapText="1"/>
    </xf>
    <xf numFmtId="0" fontId="22" fillId="0" borderId="0" xfId="0" applyFont="1" applyAlignment="1">
      <alignment horizontal="center" vertical="top" wrapText="1"/>
    </xf>
    <xf numFmtId="1" fontId="22" fillId="0" borderId="0" xfId="0" applyNumberFormat="1" applyFont="1" applyAlignment="1">
      <alignment horizontal="center" vertical="top" wrapText="1"/>
    </xf>
    <xf numFmtId="0" fontId="5" fillId="0" borderId="0" xfId="0" applyFont="1" applyAlignment="1">
      <alignment vertical="top" wrapText="1"/>
    </xf>
    <xf numFmtId="164" fontId="5" fillId="0" borderId="0" xfId="0" applyNumberFormat="1" applyFont="1" applyAlignment="1">
      <alignment horizontal="center" vertical="center" wrapText="1"/>
    </xf>
    <xf numFmtId="164" fontId="5" fillId="0" borderId="0" xfId="0" applyNumberFormat="1" applyFont="1" applyAlignment="1">
      <alignment horizontal="left" vertical="top"/>
    </xf>
    <xf numFmtId="164" fontId="8" fillId="0" borderId="0" xfId="0" applyNumberFormat="1" applyFont="1" applyAlignment="1">
      <alignment horizontal="center" vertical="top" wrapText="1"/>
    </xf>
    <xf numFmtId="0" fontId="8" fillId="0" borderId="0" xfId="0" applyFont="1" applyAlignment="1">
      <alignment horizontal="justify" vertical="top" wrapText="1"/>
    </xf>
    <xf numFmtId="0" fontId="8" fillId="0" borderId="0" xfId="0" applyFont="1" applyAlignment="1">
      <alignment horizontal="center" vertical="top"/>
    </xf>
    <xf numFmtId="0" fontId="8" fillId="0" borderId="0" xfId="0" applyFont="1" applyAlignment="1">
      <alignment horizontal="center" vertical="top" wrapText="1"/>
    </xf>
    <xf numFmtId="0" fontId="23" fillId="0" borderId="0" xfId="0" applyFont="1" applyAlignment="1">
      <alignment horizontal="center" vertical="top" wrapText="1"/>
    </xf>
    <xf numFmtId="1" fontId="23" fillId="0" borderId="0" xfId="0" applyNumberFormat="1" applyFont="1" applyAlignment="1">
      <alignment horizontal="center" vertical="top" wrapText="1"/>
    </xf>
    <xf numFmtId="0" fontId="13" fillId="0" borderId="0" xfId="0" applyFont="1" applyAlignment="1">
      <alignment horizontal="left" vertical="top" wrapText="1"/>
    </xf>
    <xf numFmtId="1" fontId="11" fillId="0" borderId="0" xfId="0" applyNumberFormat="1" applyFont="1" applyAlignment="1">
      <alignment horizontal="center" vertical="top" wrapText="1"/>
    </xf>
    <xf numFmtId="0" fontId="11" fillId="0" borderId="0" xfId="2" applyFont="1" applyAlignment="1">
      <alignment horizontal="center" vertical="top" wrapText="1"/>
    </xf>
    <xf numFmtId="0" fontId="11" fillId="0" borderId="0" xfId="2" applyFont="1" applyAlignment="1">
      <alignment vertical="top" wrapText="1"/>
    </xf>
    <xf numFmtId="167" fontId="11" fillId="0" borderId="0" xfId="0" applyNumberFormat="1" applyFont="1" applyAlignment="1">
      <alignment horizontal="center" vertical="top"/>
    </xf>
    <xf numFmtId="1" fontId="11" fillId="0" borderId="0" xfId="2" applyNumberFormat="1" applyFont="1" applyAlignment="1">
      <alignment horizontal="center" vertical="top"/>
    </xf>
    <xf numFmtId="1" fontId="11" fillId="0" borderId="0" xfId="2" applyNumberFormat="1" applyFont="1" applyAlignment="1">
      <alignment horizontal="center" vertical="top" wrapText="1"/>
    </xf>
    <xf numFmtId="0" fontId="12" fillId="0" borderId="0" xfId="0" applyFont="1" applyAlignment="1">
      <alignment vertical="top" wrapText="1"/>
    </xf>
    <xf numFmtId="167" fontId="11" fillId="0" borderId="0" xfId="0" applyNumberFormat="1" applyFont="1" applyAlignment="1">
      <alignment vertical="top"/>
    </xf>
    <xf numFmtId="0" fontId="9" fillId="0" borderId="0" xfId="0" applyFont="1" applyAlignment="1">
      <alignment horizontal="center" vertical="top"/>
    </xf>
    <xf numFmtId="0" fontId="24" fillId="0" borderId="0" xfId="0" applyFont="1" applyAlignment="1">
      <alignment vertical="top"/>
    </xf>
    <xf numFmtId="0" fontId="9" fillId="0" borderId="0" xfId="2" applyFont="1" applyAlignment="1">
      <alignment vertical="top" wrapText="1"/>
    </xf>
    <xf numFmtId="0" fontId="11" fillId="0" borderId="0" xfId="2" applyFont="1" applyAlignment="1">
      <alignment horizontal="left" vertical="top" wrapText="1"/>
    </xf>
    <xf numFmtId="167" fontId="11" fillId="0" borderId="0" xfId="2" applyNumberFormat="1" applyFont="1" applyAlignment="1">
      <alignment horizontal="center" vertical="top" wrapText="1"/>
    </xf>
    <xf numFmtId="3" fontId="9" fillId="0" borderId="0" xfId="0" applyNumberFormat="1" applyFont="1" applyAlignment="1">
      <alignment horizontal="center" vertical="top"/>
    </xf>
    <xf numFmtId="0" fontId="22" fillId="0" borderId="0" xfId="0" applyFont="1" applyAlignment="1">
      <alignment vertical="top"/>
    </xf>
    <xf numFmtId="1" fontId="12" fillId="0" borderId="0" xfId="2" applyNumberFormat="1" applyFont="1" applyAlignment="1">
      <alignment horizontal="left" vertical="top" wrapText="1"/>
    </xf>
    <xf numFmtId="0" fontId="9" fillId="0" borderId="0" xfId="2" applyFont="1" applyAlignment="1">
      <alignment horizontal="center" vertical="top" wrapText="1"/>
    </xf>
    <xf numFmtId="0" fontId="24" fillId="0" borderId="0" xfId="2" applyFont="1" applyAlignment="1">
      <alignment vertical="top" wrapText="1"/>
    </xf>
    <xf numFmtId="3" fontId="9" fillId="0" borderId="0" xfId="2" applyNumberFormat="1" applyFont="1" applyAlignment="1">
      <alignment vertical="top" wrapText="1"/>
    </xf>
    <xf numFmtId="0" fontId="9" fillId="0" borderId="0" xfId="0" applyFont="1" applyAlignment="1">
      <alignment vertical="top"/>
    </xf>
    <xf numFmtId="167" fontId="11" fillId="0" borderId="0" xfId="2" applyNumberFormat="1" applyFont="1" applyAlignment="1">
      <alignment horizontal="center" vertical="top"/>
    </xf>
    <xf numFmtId="0" fontId="10" fillId="0" borderId="0" xfId="3" applyFont="1" applyAlignment="1">
      <alignment horizontal="center" vertical="top" wrapText="1"/>
    </xf>
    <xf numFmtId="0" fontId="25" fillId="0" borderId="0" xfId="3" applyFont="1" applyAlignment="1">
      <alignment horizontal="left" vertical="top" wrapText="1"/>
    </xf>
    <xf numFmtId="167" fontId="10" fillId="0" borderId="0" xfId="3" applyNumberFormat="1" applyFont="1" applyAlignment="1">
      <alignment horizontal="center" vertical="top" wrapText="1"/>
    </xf>
    <xf numFmtId="1" fontId="10" fillId="0" borderId="0" xfId="3" applyNumberFormat="1" applyFont="1" applyAlignment="1">
      <alignment horizontal="center" vertical="top"/>
    </xf>
    <xf numFmtId="1" fontId="10" fillId="0" borderId="0" xfId="3" applyNumberFormat="1" applyFont="1" applyAlignment="1">
      <alignment horizontal="center" vertical="top" wrapText="1"/>
    </xf>
    <xf numFmtId="1" fontId="10" fillId="0" borderId="0" xfId="3" applyNumberFormat="1" applyFont="1" applyAlignment="1">
      <alignment horizontal="left" vertical="top" wrapText="1"/>
    </xf>
    <xf numFmtId="0" fontId="10" fillId="0" borderId="0" xfId="0" applyFont="1" applyAlignment="1">
      <alignment vertical="top"/>
    </xf>
    <xf numFmtId="0" fontId="10" fillId="0" borderId="0" xfId="0" applyFont="1" applyAlignment="1">
      <alignment horizontal="center" vertical="top"/>
    </xf>
    <xf numFmtId="0" fontId="10" fillId="0" borderId="0" xfId="3" applyFont="1" applyAlignment="1">
      <alignment vertical="top" wrapText="1"/>
    </xf>
    <xf numFmtId="1" fontId="12" fillId="0" borderId="0" xfId="3" applyNumberFormat="1" applyFont="1" applyAlignment="1">
      <alignment horizontal="center" vertical="top"/>
    </xf>
    <xf numFmtId="1" fontId="12" fillId="0" borderId="0" xfId="3" applyNumberFormat="1" applyFont="1" applyAlignment="1">
      <alignment horizontal="center" vertical="top" wrapText="1"/>
    </xf>
    <xf numFmtId="0" fontId="11" fillId="0" borderId="0" xfId="0" applyFont="1" applyAlignment="1">
      <alignment wrapText="1"/>
    </xf>
    <xf numFmtId="1" fontId="9" fillId="0" borderId="0" xfId="2" applyNumberFormat="1" applyFont="1" applyAlignment="1">
      <alignment horizontal="center" vertical="top" wrapText="1"/>
    </xf>
    <xf numFmtId="0" fontId="12" fillId="0" borderId="0" xfId="2" applyFont="1" applyAlignment="1">
      <alignment horizontal="center" vertical="top" wrapText="1"/>
    </xf>
    <xf numFmtId="0" fontId="12" fillId="0" borderId="0" xfId="2" applyFont="1" applyAlignment="1">
      <alignment vertical="top" wrapText="1"/>
    </xf>
    <xf numFmtId="167" fontId="12" fillId="0" borderId="0" xfId="0" applyNumberFormat="1" applyFont="1" applyAlignment="1">
      <alignment horizontal="center" vertical="top"/>
    </xf>
    <xf numFmtId="1" fontId="12" fillId="0" borderId="0" xfId="2" applyNumberFormat="1" applyFont="1" applyAlignment="1">
      <alignment horizontal="center" vertical="top"/>
    </xf>
    <xf numFmtId="167" fontId="12" fillId="0" borderId="0" xfId="2" applyNumberFormat="1" applyFont="1" applyAlignment="1">
      <alignment horizontal="center" vertical="top" wrapText="1"/>
    </xf>
    <xf numFmtId="1" fontId="12" fillId="0" borderId="0" xfId="2" applyNumberFormat="1" applyFont="1" applyAlignment="1">
      <alignment horizontal="center" vertical="top" wrapText="1"/>
    </xf>
    <xf numFmtId="0" fontId="11" fillId="0" borderId="0" xfId="0" applyFont="1" applyAlignment="1">
      <alignment horizontal="left" vertical="top" wrapText="1"/>
    </xf>
    <xf numFmtId="0" fontId="11" fillId="0" borderId="0" xfId="0" applyFont="1" applyAlignment="1">
      <alignment horizontal="center" vertical="top"/>
    </xf>
    <xf numFmtId="0" fontId="11" fillId="0" borderId="0" xfId="0" applyFont="1" applyAlignment="1">
      <alignment vertical="top"/>
    </xf>
    <xf numFmtId="0" fontId="26" fillId="0" borderId="1" xfId="0" applyFont="1" applyBorder="1" applyAlignment="1">
      <alignment horizontal="center" vertical="top"/>
    </xf>
    <xf numFmtId="0" fontId="14" fillId="3" borderId="2" xfId="0" applyFont="1" applyFill="1" applyBorder="1" applyAlignment="1">
      <alignment horizontal="center" vertical="top" wrapText="1"/>
    </xf>
    <xf numFmtId="0" fontId="14" fillId="3" borderId="3" xfId="0" applyFont="1" applyFill="1" applyBorder="1" applyAlignment="1">
      <alignment horizontal="center" vertical="top" wrapText="1"/>
    </xf>
    <xf numFmtId="0" fontId="14" fillId="0" borderId="4" xfId="0" applyFont="1" applyBorder="1" applyAlignment="1">
      <alignment horizontal="center" vertical="top" wrapText="1"/>
    </xf>
    <xf numFmtId="0" fontId="14" fillId="0" borderId="5" xfId="0" applyFont="1" applyBorder="1" applyAlignment="1">
      <alignment horizontal="left" vertical="top" wrapText="1"/>
    </xf>
    <xf numFmtId="164" fontId="27" fillId="0" borderId="6" xfId="0" applyNumberFormat="1" applyFont="1" applyBorder="1" applyAlignment="1">
      <alignment horizontal="center" vertical="top" wrapText="1"/>
    </xf>
    <xf numFmtId="0" fontId="15" fillId="0" borderId="7" xfId="0" applyFont="1" applyBorder="1" applyAlignment="1">
      <alignment horizontal="left" vertical="top" wrapText="1"/>
    </xf>
    <xf numFmtId="164" fontId="27" fillId="0" borderId="7" xfId="0" applyNumberFormat="1" applyFont="1" applyBorder="1" applyAlignment="1">
      <alignment horizontal="center" vertical="top" wrapText="1"/>
    </xf>
    <xf numFmtId="0" fontId="0" fillId="0" borderId="7" xfId="0" applyBorder="1" applyAlignment="1">
      <alignment horizontal="left" vertical="top" wrapText="1"/>
    </xf>
    <xf numFmtId="0" fontId="15" fillId="0" borderId="7" xfId="0" applyFont="1" applyBorder="1" applyAlignment="1">
      <alignment horizontal="center" vertical="top" wrapText="1"/>
    </xf>
    <xf numFmtId="164" fontId="27" fillId="0" borderId="4" xfId="0" applyNumberFormat="1" applyFont="1" applyBorder="1" applyAlignment="1">
      <alignment horizontal="center" vertical="top" wrapText="1"/>
    </xf>
    <xf numFmtId="0" fontId="15" fillId="0" borderId="5" xfId="0" applyFont="1" applyBorder="1" applyAlignment="1">
      <alignment horizontal="left" vertical="top" wrapText="1"/>
    </xf>
    <xf numFmtId="164" fontId="27" fillId="0" borderId="5" xfId="0" applyNumberFormat="1" applyFont="1" applyBorder="1" applyAlignment="1">
      <alignment horizontal="center" vertical="top" wrapText="1"/>
    </xf>
    <xf numFmtId="0" fontId="15" fillId="0" borderId="8" xfId="0" applyFont="1" applyBorder="1" applyAlignment="1">
      <alignment horizontal="center" vertical="top" wrapText="1"/>
    </xf>
    <xf numFmtId="0" fontId="28" fillId="0" borderId="0" xfId="0" applyFont="1" applyAlignment="1">
      <alignment horizontal="left" vertical="top"/>
    </xf>
    <xf numFmtId="0" fontId="29" fillId="0" borderId="0" xfId="0" applyFont="1" applyAlignment="1">
      <alignment horizontal="left" vertical="top"/>
    </xf>
    <xf numFmtId="0" fontId="30" fillId="0" borderId="0" xfId="0" applyFont="1" applyAlignment="1">
      <alignment horizontal="left" vertical="top"/>
    </xf>
    <xf numFmtId="0" fontId="31" fillId="0" borderId="7" xfId="0" applyFont="1" applyBorder="1" applyAlignment="1">
      <alignment horizontal="left" vertical="top" wrapText="1"/>
    </xf>
    <xf numFmtId="0" fontId="31" fillId="0" borderId="8" xfId="0" applyFont="1" applyBorder="1" applyAlignment="1">
      <alignment horizontal="left" vertical="top" wrapText="1"/>
    </xf>
    <xf numFmtId="0" fontId="31" fillId="0" borderId="9" xfId="0" applyFont="1" applyBorder="1" applyAlignment="1">
      <alignment horizontal="left" vertical="top" wrapText="1"/>
    </xf>
    <xf numFmtId="0" fontId="31" fillId="0" borderId="6" xfId="0" applyFont="1" applyBorder="1" applyAlignment="1">
      <alignment horizontal="left" vertical="top" wrapText="1"/>
    </xf>
    <xf numFmtId="0" fontId="31" fillId="0" borderId="6" xfId="0" applyFont="1" applyBorder="1" applyAlignment="1">
      <alignment horizontal="center" vertical="top" wrapText="1"/>
    </xf>
    <xf numFmtId="0" fontId="28" fillId="0" borderId="7" xfId="0" applyFont="1" applyBorder="1" applyAlignment="1">
      <alignment horizontal="left" vertical="top" wrapText="1"/>
    </xf>
    <xf numFmtId="0" fontId="28" fillId="0" borderId="9" xfId="0" applyFont="1" applyBorder="1" applyAlignment="1">
      <alignment horizontal="left" vertical="top" wrapText="1"/>
    </xf>
    <xf numFmtId="0" fontId="28" fillId="0" borderId="8" xfId="0" applyFont="1" applyBorder="1" applyAlignment="1">
      <alignment horizontal="left" vertical="top" wrapText="1"/>
    </xf>
    <xf numFmtId="0" fontId="31" fillId="0" borderId="7" xfId="0" applyFont="1" applyBorder="1" applyAlignment="1">
      <alignment horizontal="center" vertical="top" wrapText="1"/>
    </xf>
    <xf numFmtId="0" fontId="31" fillId="0" borderId="8" xfId="0" applyFont="1" applyBorder="1" applyAlignment="1">
      <alignment horizontal="center" vertical="top" wrapText="1"/>
    </xf>
    <xf numFmtId="0" fontId="31" fillId="0" borderId="9" xfId="0" applyFont="1" applyBorder="1" applyAlignment="1">
      <alignment horizontal="center" vertical="top" wrapText="1"/>
    </xf>
    <xf numFmtId="0" fontId="28" fillId="0" borderId="6" xfId="0" applyFont="1" applyBorder="1" applyAlignment="1">
      <alignment horizontal="left" vertical="top" wrapText="1"/>
    </xf>
    <xf numFmtId="0" fontId="11" fillId="0" borderId="0" xfId="2" applyFont="1" applyAlignment="1">
      <alignment horizontal="center" vertical="top" wrapText="1"/>
    </xf>
    <xf numFmtId="0" fontId="11" fillId="0" borderId="0" xfId="2" applyFont="1" applyAlignment="1">
      <alignment vertical="top" wrapText="1"/>
    </xf>
    <xf numFmtId="1" fontId="11" fillId="0" borderId="0" xfId="2" applyNumberFormat="1" applyFont="1" applyAlignment="1">
      <alignment horizontal="center" vertical="top"/>
    </xf>
    <xf numFmtId="1" fontId="11" fillId="0" borderId="0" xfId="2" applyNumberFormat="1" applyFont="1" applyAlignment="1">
      <alignment horizontal="center" vertical="top" wrapText="1"/>
    </xf>
    <xf numFmtId="0" fontId="9" fillId="0" borderId="0" xfId="2" applyFont="1" applyAlignment="1">
      <alignment vertical="top" wrapText="1"/>
    </xf>
    <xf numFmtId="0" fontId="11" fillId="0" borderId="0" xfId="2" applyFont="1" applyAlignment="1">
      <alignment horizontal="left" vertical="top" wrapText="1"/>
    </xf>
    <xf numFmtId="167" fontId="11" fillId="0" borderId="0" xfId="2" applyNumberFormat="1" applyFont="1" applyAlignment="1">
      <alignment horizontal="center" vertical="top" wrapText="1"/>
    </xf>
    <xf numFmtId="1" fontId="12" fillId="0" borderId="0" xfId="2" applyNumberFormat="1" applyFont="1" applyAlignment="1">
      <alignment horizontal="left" vertical="top" wrapText="1"/>
    </xf>
    <xf numFmtId="0" fontId="9" fillId="0" borderId="0" xfId="2" applyFont="1" applyAlignment="1">
      <alignment horizontal="center" vertical="top" wrapText="1"/>
    </xf>
    <xf numFmtId="0" fontId="24" fillId="0" borderId="0" xfId="2" applyFont="1" applyAlignment="1">
      <alignment vertical="top" wrapText="1"/>
    </xf>
    <xf numFmtId="3" fontId="9" fillId="0" borderId="0" xfId="2" applyNumberFormat="1" applyFont="1" applyAlignment="1">
      <alignment vertical="top" wrapText="1"/>
    </xf>
    <xf numFmtId="167" fontId="11" fillId="0" borderId="0" xfId="2" applyNumberFormat="1" applyFont="1" applyAlignment="1">
      <alignment horizontal="center" vertical="top"/>
    </xf>
    <xf numFmtId="0" fontId="10" fillId="0" borderId="0" xfId="3" applyFont="1" applyAlignment="1">
      <alignment horizontal="center" vertical="top" wrapText="1"/>
    </xf>
    <xf numFmtId="0" fontId="25" fillId="0" borderId="0" xfId="3" applyFont="1" applyAlignment="1">
      <alignment horizontal="left" vertical="top" wrapText="1"/>
    </xf>
    <xf numFmtId="167" fontId="10" fillId="0" borderId="0" xfId="3" applyNumberFormat="1" applyFont="1" applyAlignment="1">
      <alignment horizontal="center" vertical="top" wrapText="1"/>
    </xf>
    <xf numFmtId="1" fontId="10" fillId="0" borderId="0" xfId="3" applyNumberFormat="1" applyFont="1" applyAlignment="1">
      <alignment horizontal="left" vertical="top" wrapText="1"/>
    </xf>
    <xf numFmtId="0" fontId="10" fillId="0" borderId="0" xfId="3" applyFont="1" applyAlignment="1">
      <alignment vertical="top" wrapText="1"/>
    </xf>
    <xf numFmtId="1" fontId="9" fillId="0" borderId="0" xfId="2" applyNumberFormat="1" applyFont="1" applyAlignment="1">
      <alignment horizontal="center" vertical="top" wrapText="1"/>
    </xf>
    <xf numFmtId="0" fontId="12" fillId="0" borderId="0" xfId="2" applyFont="1" applyAlignment="1">
      <alignment horizontal="center" vertical="top" wrapText="1"/>
    </xf>
    <xf numFmtId="0" fontId="12" fillId="0" borderId="0" xfId="2" applyFont="1" applyAlignment="1">
      <alignment vertical="top" wrapText="1"/>
    </xf>
    <xf numFmtId="1" fontId="12" fillId="0" borderId="0" xfId="2" applyNumberFormat="1" applyFont="1" applyAlignment="1">
      <alignment horizontal="center" vertical="top" wrapText="1"/>
    </xf>
  </cellXfs>
  <cellStyles count="4">
    <cellStyle name="Normal" xfId="0" builtinId="0"/>
    <cellStyle name="Normal 2" xfId="1"/>
    <cellStyle name="Normal 7" xfId="2"/>
    <cellStyle name="Normal 7 3" xfId="3"/>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calcChain" Target="calcChain.xml" /><Relationship Id="rId9"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r="http://schemas.openxmlformats.org/officeDocument/2006/relationships" xmlns="http://schemas.openxmlformats.org/spreadsheetml/2006/main">
  <sheetPr>
    <tabColor rgb="FFC00000"/>
  </sheetPr>
  <sheetViews>
    <sheetView view="pageBreakPreview" zoomScale="110" zoomScaleNormal="110" zoomScaleSheetLayoutView="110" workbookViewId="0" topLeftCell="C993"/>
  </sheetViews>
  <sheetFormatPr defaultRowHeight="12.75"/>
  <cols>
    <col min="1" max="1" width="8.664063" style="16" customWidth="1"/>
    <col min="2" max="2" width="54.16406" style="16" customWidth="1"/>
    <col min="3" max="3" width="6.5" style="17" bestFit="1" customWidth="1"/>
    <col min="4" max="4" width="9.164063" style="17" customWidth="1"/>
    <col min="5" max="5" width="11.66406" style="17" bestFit="1" customWidth="1"/>
    <col min="6" max="6" width="6.5" style="17" bestFit="1" customWidth="1"/>
    <col min="7" max="7" width="10.5" style="17" bestFit="1" customWidth="1"/>
    <col min="8" max="8" width="12.33203" style="17" bestFit="1" customWidth="1"/>
    <col min="9" max="9" width="18.5" style="16" customWidth="1"/>
    <col min="10" max="10" width="15.5" style="16" customWidth="1"/>
    <col min="11" max="11" width="16.33203" style="16" customWidth="1"/>
    <col min="12" max="12" width="14.33203" style="16" customWidth="1"/>
    <col min="13" max="13" width="17.33203" style="16" customWidth="1"/>
    <col min="14" max="16384" width="9.332031" style="16"/>
  </cols>
  <sheetData>
    <row r="1" s="1" customFormat="1" ht="12">
      <c r="A1" s="18" t="s">
        <v>0</v>
      </c>
      <c r="B1" s="19" t="s">
        <v>1</v>
      </c>
      <c r="C1" s="20" t="s">
        <v>2</v>
      </c>
      <c r="D1" s="20" t="s">
        <v>3</v>
      </c>
      <c r="E1" s="21" t="s">
        <v>4</v>
      </c>
      <c r="F1" s="21" t="s">
        <v>5</v>
      </c>
      <c r="G1" s="21"/>
      <c r="H1" s="21" t="s">
        <v>6</v>
      </c>
      <c r="I1" s="21" t="s">
        <v>7</v>
      </c>
      <c r="N1" s="18"/>
      <c r="P1" s="20"/>
      <c r="Q1" s="20"/>
    </row>
    <row r="2" s="1" customFormat="1" ht="12">
      <c r="A2" s="18"/>
      <c r="B2" s="19"/>
      <c r="C2" s="20"/>
      <c r="D2" s="20"/>
      <c r="E2" s="21"/>
      <c r="F2" s="21" t="s">
        <v>8</v>
      </c>
      <c r="G2" s="21" t="s">
        <v>9</v>
      </c>
      <c r="H2" s="21"/>
      <c r="I2" s="21"/>
      <c r="N2" s="18"/>
      <c r="P2" s="20"/>
      <c r="Q2" s="20"/>
    </row>
    <row r="3" s="2" customFormat="1" ht="12">
      <c r="A3" s="21" t="s">
        <v>10</v>
      </c>
      <c r="B3" s="2" t="s">
        <v>11</v>
      </c>
      <c r="C3" s="21"/>
      <c r="D3" s="21"/>
      <c r="E3" s="21"/>
      <c r="F3" s="21"/>
      <c r="G3" s="21"/>
      <c r="H3" s="21"/>
      <c r="I3" s="21"/>
      <c r="P3" s="21"/>
      <c r="Q3" s="21"/>
    </row>
    <row r="4" s="3" customFormat="1" ht="25.5">
      <c r="A4" s="22" t="s">
        <v>12</v>
      </c>
      <c r="B4" s="22" t="s">
        <v>13</v>
      </c>
      <c r="C4" s="23" t="s">
        <v>14</v>
      </c>
      <c r="D4" s="23" t="s">
        <v>15</v>
      </c>
      <c r="E4" s="23"/>
      <c r="F4" s="23"/>
      <c r="G4" s="23"/>
      <c r="H4" s="23"/>
      <c r="I4" s="23" t="s">
        <v>16</v>
      </c>
    </row>
    <row r="5" ht="22.5" customHeight="1">
      <c r="B5" s="24" t="s">
        <v>17</v>
      </c>
      <c r="C5" s="24"/>
      <c r="D5" s="24"/>
      <c r="E5" s="24"/>
      <c r="F5" s="24"/>
      <c r="G5" s="24"/>
      <c r="H5" s="24"/>
      <c r="I5" s="25"/>
    </row>
    <row r="6" ht="25.5">
      <c r="A6" s="26">
        <v>-101</v>
      </c>
      <c r="B6" s="27" t="s">
        <v>18</v>
      </c>
      <c r="C6" s="28"/>
      <c r="D6" s="28"/>
      <c r="E6" s="28"/>
      <c r="F6" s="28"/>
      <c r="G6" s="28"/>
      <c r="H6" s="28"/>
      <c r="I6" s="26" t="s">
        <v>19</v>
      </c>
    </row>
    <row r="7" ht="25.5">
      <c r="A7" s="28" t="s">
        <v>20</v>
      </c>
      <c r="B7" s="27" t="s">
        <v>21</v>
      </c>
      <c r="D7" s="28" t="s">
        <v>22</v>
      </c>
      <c r="E7" s="26">
        <v>-4710</v>
      </c>
      <c r="F7" s="29">
        <f>C7*E7</f>
        <v>0</v>
      </c>
      <c r="G7" s="29">
        <v>0</v>
      </c>
      <c r="H7" s="30">
        <f>SUM(F7:G7)</f>
        <v>0</v>
      </c>
      <c r="I7" s="28" t="s">
        <v>23</v>
      </c>
    </row>
    <row r="8" ht="25.5">
      <c r="A8" s="28" t="s">
        <v>24</v>
      </c>
      <c r="B8" s="27" t="s">
        <v>25</v>
      </c>
      <c r="D8" s="28" t="s">
        <v>22</v>
      </c>
      <c r="E8" s="26">
        <v>-4442</v>
      </c>
      <c r="F8" s="29">
        <f t="shared" ref="F8:F46" si="0">C8*E8</f>
        <v>0</v>
      </c>
      <c r="G8" s="29">
        <v>0</v>
      </c>
      <c r="H8" s="30">
        <f t="shared" ref="H8:H46" si="1">SUM(F8:G8)</f>
        <v>0</v>
      </c>
      <c r="I8" s="28" t="s">
        <v>26</v>
      </c>
    </row>
    <row r="9" ht="25.5">
      <c r="A9" s="26">
        <v>-102</v>
      </c>
      <c r="B9" s="27" t="s">
        <v>27</v>
      </c>
      <c r="D9" s="28"/>
      <c r="E9" s="28"/>
      <c r="F9" s="29">
        <f t="shared" si="0"/>
        <v>0</v>
      </c>
      <c r="G9" s="29">
        <v>0</v>
      </c>
      <c r="H9" s="30">
        <f t="shared" si="1"/>
        <v>0</v>
      </c>
      <c r="I9" s="26" t="s">
        <v>28</v>
      </c>
    </row>
    <row r="10" ht="25.5">
      <c r="A10" s="28" t="s">
        <v>20</v>
      </c>
      <c r="B10" s="27" t="s">
        <v>29</v>
      </c>
      <c r="D10" s="28" t="s">
        <v>30</v>
      </c>
      <c r="E10" s="26">
        <v>-6432</v>
      </c>
      <c r="F10" s="29">
        <f t="shared" si="0"/>
        <v>0</v>
      </c>
      <c r="G10" s="29">
        <v>0</v>
      </c>
      <c r="H10" s="30">
        <f t="shared" si="1"/>
        <v>0</v>
      </c>
      <c r="I10" s="28" t="s">
        <v>31</v>
      </c>
    </row>
    <row r="11" ht="25.5">
      <c r="A11" s="28" t="s">
        <v>24</v>
      </c>
      <c r="B11" s="27" t="s">
        <v>32</v>
      </c>
      <c r="D11" s="28" t="s">
        <v>30</v>
      </c>
      <c r="E11" s="26">
        <v>-5226</v>
      </c>
      <c r="F11" s="29">
        <f t="shared" si="0"/>
        <v>0</v>
      </c>
      <c r="G11" s="29">
        <v>0</v>
      </c>
      <c r="H11" s="30">
        <f t="shared" si="1"/>
        <v>0</v>
      </c>
      <c r="I11" s="28" t="s">
        <v>33</v>
      </c>
    </row>
    <row r="12" ht="25.5">
      <c r="A12" s="26">
        <v>-103</v>
      </c>
      <c r="B12" s="27" t="s">
        <v>34</v>
      </c>
      <c r="D12" s="28" t="s">
        <v>22</v>
      </c>
      <c r="E12" s="26">
        <v>-3476</v>
      </c>
      <c r="F12" s="29">
        <f t="shared" si="0"/>
        <v>0</v>
      </c>
      <c r="G12" s="29">
        <v>0</v>
      </c>
      <c r="H12" s="30">
        <f t="shared" si="1"/>
        <v>0</v>
      </c>
      <c r="I12" s="26" t="s">
        <v>35</v>
      </c>
    </row>
    <row r="13" ht="25.5">
      <c r="A13" s="26">
        <v>-104</v>
      </c>
      <c r="B13" s="27" t="s">
        <v>36</v>
      </c>
      <c r="D13" s="28"/>
      <c r="E13" s="28"/>
      <c r="F13" s="29">
        <f t="shared" si="0"/>
        <v>0</v>
      </c>
      <c r="G13" s="29">
        <v>0</v>
      </c>
      <c r="H13" s="30">
        <f t="shared" si="1"/>
        <v>0</v>
      </c>
      <c r="I13" s="26" t="s">
        <v>37</v>
      </c>
    </row>
    <row r="14" ht="38.25">
      <c r="A14" s="28" t="s">
        <v>20</v>
      </c>
      <c r="B14" s="27" t="s">
        <v>38</v>
      </c>
      <c r="D14" s="28" t="s">
        <v>22</v>
      </c>
      <c r="E14" s="26">
        <v>-12998</v>
      </c>
      <c r="F14" s="29">
        <f t="shared" si="0"/>
        <v>0</v>
      </c>
      <c r="G14" s="29">
        <v>0</v>
      </c>
      <c r="H14" s="30">
        <f t="shared" si="1"/>
        <v>0</v>
      </c>
      <c r="I14" s="28" t="s">
        <v>39</v>
      </c>
    </row>
    <row r="15" ht="38.25">
      <c r="A15" s="28" t="s">
        <v>24</v>
      </c>
      <c r="B15" s="27" t="s">
        <v>40</v>
      </c>
      <c r="D15" s="28" t="s">
        <v>22</v>
      </c>
      <c r="E15" s="26">
        <v>-17623</v>
      </c>
      <c r="F15" s="29">
        <f t="shared" si="0"/>
        <v>0</v>
      </c>
      <c r="G15" s="29">
        <v>0</v>
      </c>
      <c r="H15" s="30">
        <f t="shared" si="1"/>
        <v>0</v>
      </c>
      <c r="I15" s="28" t="s">
        <v>41</v>
      </c>
    </row>
    <row r="16" ht="38.25">
      <c r="A16" s="28" t="s">
        <v>42</v>
      </c>
      <c r="B16" s="27" t="s">
        <v>43</v>
      </c>
      <c r="D16" s="28" t="s">
        <v>22</v>
      </c>
      <c r="E16" s="26">
        <v>-18820</v>
      </c>
      <c r="F16" s="29">
        <f t="shared" si="0"/>
        <v>0</v>
      </c>
      <c r="G16" s="29">
        <v>0</v>
      </c>
      <c r="H16" s="30">
        <f t="shared" si="1"/>
        <v>0</v>
      </c>
      <c r="I16" s="28" t="s">
        <v>44</v>
      </c>
    </row>
    <row r="17" ht="38.25">
      <c r="A17" s="26">
        <v>-105</v>
      </c>
      <c r="B17" s="27" t="s">
        <v>45</v>
      </c>
      <c r="D17" s="28"/>
      <c r="E17" s="28"/>
      <c r="F17" s="29">
        <f t="shared" si="0"/>
        <v>0</v>
      </c>
      <c r="G17" s="29">
        <v>0</v>
      </c>
      <c r="H17" s="30">
        <f t="shared" si="1"/>
        <v>0</v>
      </c>
      <c r="I17" s="26" t="s">
        <v>46</v>
      </c>
    </row>
    <row r="18" ht="25.5">
      <c r="A18" s="28" t="s">
        <v>20</v>
      </c>
      <c r="B18" s="27" t="s">
        <v>47</v>
      </c>
      <c r="D18" s="28" t="s">
        <v>22</v>
      </c>
      <c r="E18" s="26">
        <v>-32681</v>
      </c>
      <c r="F18" s="29">
        <f t="shared" si="0"/>
        <v>0</v>
      </c>
      <c r="G18" s="29">
        <v>0</v>
      </c>
      <c r="H18" s="30">
        <f t="shared" si="1"/>
        <v>0</v>
      </c>
      <c r="I18" s="28" t="s">
        <v>48</v>
      </c>
    </row>
    <row r="19" ht="25.5">
      <c r="A19" s="28" t="s">
        <v>24</v>
      </c>
      <c r="B19" s="27" t="s">
        <v>49</v>
      </c>
      <c r="D19" s="28" t="s">
        <v>22</v>
      </c>
      <c r="E19" s="26">
        <v>-35227</v>
      </c>
      <c r="F19" s="29">
        <f t="shared" si="0"/>
        <v>0</v>
      </c>
      <c r="G19" s="29">
        <v>0</v>
      </c>
      <c r="H19" s="30">
        <f t="shared" si="1"/>
        <v>0</v>
      </c>
      <c r="I19" s="28" t="s">
        <v>50</v>
      </c>
    </row>
    <row r="20" ht="25.5">
      <c r="A20" s="28" t="s">
        <v>42</v>
      </c>
      <c r="B20" s="27" t="s">
        <v>51</v>
      </c>
      <c r="D20" s="28" t="s">
        <v>22</v>
      </c>
      <c r="E20" s="26">
        <v>-39820</v>
      </c>
      <c r="F20" s="29">
        <f t="shared" si="0"/>
        <v>0</v>
      </c>
      <c r="G20" s="29">
        <v>0</v>
      </c>
      <c r="H20" s="30">
        <f t="shared" si="1"/>
        <v>0</v>
      </c>
      <c r="I20" s="28" t="s">
        <v>52</v>
      </c>
    </row>
    <row r="21" ht="25.5">
      <c r="A21" s="26">
        <v>-106</v>
      </c>
      <c r="B21" s="27" t="s">
        <v>53</v>
      </c>
      <c r="D21" s="28" t="s">
        <v>22</v>
      </c>
      <c r="E21" s="26">
        <v>-4938</v>
      </c>
      <c r="F21" s="29">
        <f t="shared" si="0"/>
        <v>0</v>
      </c>
      <c r="G21" s="29">
        <v>0</v>
      </c>
      <c r="H21" s="30">
        <f t="shared" si="1"/>
        <v>0</v>
      </c>
      <c r="I21" s="26" t="s">
        <v>54</v>
      </c>
    </row>
    <row r="22" ht="25.5">
      <c r="A22" s="26">
        <v>-107</v>
      </c>
      <c r="B22" s="27" t="s">
        <v>55</v>
      </c>
      <c r="D22" s="28" t="s">
        <v>22</v>
      </c>
      <c r="E22" s="26">
        <v>-4740</v>
      </c>
      <c r="F22" s="29">
        <f t="shared" si="0"/>
        <v>0</v>
      </c>
      <c r="G22" s="29">
        <v>0</v>
      </c>
      <c r="H22" s="30">
        <f t="shared" si="1"/>
        <v>0</v>
      </c>
      <c r="I22" s="26" t="s">
        <v>56</v>
      </c>
    </row>
    <row r="23" ht="38.25">
      <c r="A23" s="26">
        <v>-108</v>
      </c>
      <c r="B23" s="27" t="s">
        <v>57</v>
      </c>
      <c r="D23" s="28" t="s">
        <v>22</v>
      </c>
      <c r="E23" s="26">
        <v>-6083</v>
      </c>
      <c r="F23" s="29">
        <f t="shared" si="0"/>
        <v>0</v>
      </c>
      <c r="G23" s="29">
        <v>0</v>
      </c>
      <c r="H23" s="30">
        <f t="shared" si="1"/>
        <v>0</v>
      </c>
      <c r="I23" s="26" t="s">
        <v>58</v>
      </c>
    </row>
    <row r="24" ht="63.75">
      <c r="A24" s="31">
        <v>-109</v>
      </c>
      <c r="B24" s="27" t="s">
        <v>59</v>
      </c>
      <c r="D24" s="28" t="s">
        <v>22</v>
      </c>
      <c r="E24" s="26">
        <v>-3502</v>
      </c>
      <c r="F24" s="29">
        <f t="shared" si="0"/>
        <v>0</v>
      </c>
      <c r="G24" s="29">
        <v>0</v>
      </c>
      <c r="H24" s="30">
        <f t="shared" si="1"/>
        <v>0</v>
      </c>
      <c r="I24" s="26" t="s">
        <v>60</v>
      </c>
    </row>
    <row r="25" ht="38.25">
      <c r="A25" s="26">
        <v>-110</v>
      </c>
      <c r="B25" s="27" t="s">
        <v>61</v>
      </c>
      <c r="D25" s="28"/>
      <c r="E25" s="28"/>
      <c r="F25" s="29">
        <f t="shared" si="0"/>
        <v>0</v>
      </c>
      <c r="G25" s="29">
        <v>0</v>
      </c>
      <c r="H25" s="30">
        <f t="shared" si="1"/>
        <v>0</v>
      </c>
      <c r="I25" s="26" t="s">
        <v>62</v>
      </c>
    </row>
    <row r="26" ht="25.5">
      <c r="A26" s="28" t="s">
        <v>20</v>
      </c>
      <c r="B26" s="27" t="s">
        <v>63</v>
      </c>
      <c r="D26" s="28" t="s">
        <v>22</v>
      </c>
      <c r="E26" s="26">
        <v>-15187</v>
      </c>
      <c r="F26" s="29">
        <f t="shared" si="0"/>
        <v>0</v>
      </c>
      <c r="G26" s="29">
        <v>0</v>
      </c>
      <c r="H26" s="30">
        <f t="shared" si="1"/>
        <v>0</v>
      </c>
      <c r="I26" s="28" t="s">
        <v>64</v>
      </c>
    </row>
    <row r="27" ht="25.5">
      <c r="A27" s="28" t="s">
        <v>24</v>
      </c>
      <c r="B27" s="27" t="s">
        <v>65</v>
      </c>
      <c r="D27" s="28" t="s">
        <v>22</v>
      </c>
      <c r="E27" s="26">
        <v>-20490</v>
      </c>
      <c r="F27" s="29">
        <f t="shared" si="0"/>
        <v>0</v>
      </c>
      <c r="G27" s="29">
        <v>0</v>
      </c>
      <c r="H27" s="30">
        <f t="shared" si="1"/>
        <v>0</v>
      </c>
      <c r="I27" s="28" t="s">
        <v>66</v>
      </c>
    </row>
    <row r="28" ht="25.5">
      <c r="A28" s="28" t="s">
        <v>42</v>
      </c>
      <c r="B28" s="27" t="s">
        <v>67</v>
      </c>
      <c r="D28" s="28" t="s">
        <v>22</v>
      </c>
      <c r="E28" s="26">
        <v>-24051</v>
      </c>
      <c r="F28" s="29">
        <f t="shared" si="0"/>
        <v>0</v>
      </c>
      <c r="G28" s="29">
        <v>0</v>
      </c>
      <c r="H28" s="30">
        <f t="shared" si="1"/>
        <v>0</v>
      </c>
      <c r="I28" s="28" t="s">
        <v>68</v>
      </c>
    </row>
    <row r="29" ht="25.5">
      <c r="A29" s="28" t="s">
        <v>69</v>
      </c>
      <c r="B29" s="27" t="s">
        <v>70</v>
      </c>
      <c r="D29" s="28" t="s">
        <v>22</v>
      </c>
      <c r="E29" s="26">
        <v>-27612</v>
      </c>
      <c r="F29" s="29">
        <f t="shared" si="0"/>
        <v>0</v>
      </c>
      <c r="G29" s="29">
        <v>0</v>
      </c>
      <c r="H29" s="30">
        <f t="shared" si="1"/>
        <v>0</v>
      </c>
      <c r="I29" s="28" t="s">
        <v>71</v>
      </c>
    </row>
    <row r="30" ht="25.5">
      <c r="A30" s="28" t="s">
        <v>72</v>
      </c>
      <c r="B30" s="27" t="s">
        <v>73</v>
      </c>
      <c r="D30" s="28" t="s">
        <v>22</v>
      </c>
      <c r="E30" s="26">
        <v>-31174</v>
      </c>
      <c r="F30" s="29">
        <f t="shared" si="0"/>
        <v>0</v>
      </c>
      <c r="G30" s="29">
        <v>0</v>
      </c>
      <c r="H30" s="30">
        <f t="shared" si="1"/>
        <v>0</v>
      </c>
      <c r="I30" s="28" t="s">
        <v>74</v>
      </c>
    </row>
    <row r="31" ht="25.5">
      <c r="A31" s="28" t="s">
        <v>75</v>
      </c>
      <c r="B31" s="27" t="s">
        <v>76</v>
      </c>
      <c r="D31" s="28" t="s">
        <v>22</v>
      </c>
      <c r="E31" s="26">
        <v>-34735</v>
      </c>
      <c r="F31" s="29">
        <f t="shared" si="0"/>
        <v>0</v>
      </c>
      <c r="G31" s="29">
        <v>0</v>
      </c>
      <c r="H31" s="30">
        <f t="shared" si="1"/>
        <v>0</v>
      </c>
      <c r="I31" s="28" t="s">
        <v>77</v>
      </c>
    </row>
    <row r="32" ht="25.5">
      <c r="A32" s="32">
        <v>111</v>
      </c>
      <c r="B32" s="27" t="s">
        <v>78</v>
      </c>
      <c r="D32" s="28"/>
      <c r="E32" s="28"/>
      <c r="F32" s="29">
        <f t="shared" si="0"/>
        <v>0</v>
      </c>
      <c r="G32" s="29">
        <v>0</v>
      </c>
      <c r="H32" s="30">
        <f t="shared" si="1"/>
        <v>0</v>
      </c>
      <c r="I32" s="32" t="s">
        <v>79</v>
      </c>
    </row>
    <row r="33" ht="25.5">
      <c r="A33" s="28" t="s">
        <v>20</v>
      </c>
      <c r="B33" s="27" t="s">
        <v>80</v>
      </c>
      <c r="D33" s="28" t="s">
        <v>22</v>
      </c>
      <c r="E33" s="32">
        <v>39589</v>
      </c>
      <c r="F33" s="29">
        <f t="shared" si="0"/>
        <v>0</v>
      </c>
      <c r="G33" s="29">
        <v>0</v>
      </c>
      <c r="H33" s="30">
        <f t="shared" si="1"/>
        <v>0</v>
      </c>
      <c r="I33" s="28" t="s">
        <v>81</v>
      </c>
    </row>
    <row r="34" ht="25.5">
      <c r="A34" s="28" t="s">
        <v>24</v>
      </c>
      <c r="B34" s="27" t="s">
        <v>82</v>
      </c>
      <c r="D34" s="28" t="s">
        <v>22</v>
      </c>
      <c r="E34" s="32">
        <v>80476</v>
      </c>
      <c r="F34" s="29">
        <f t="shared" si="0"/>
        <v>0</v>
      </c>
      <c r="G34" s="29">
        <v>0</v>
      </c>
      <c r="H34" s="30">
        <f t="shared" si="1"/>
        <v>0</v>
      </c>
      <c r="I34" s="28" t="s">
        <v>83</v>
      </c>
    </row>
    <row r="35" ht="25.5">
      <c r="A35" s="28" t="s">
        <v>42</v>
      </c>
      <c r="B35" s="27" t="s">
        <v>84</v>
      </c>
      <c r="D35" s="28" t="s">
        <v>22</v>
      </c>
      <c r="E35" s="32">
        <v>153424</v>
      </c>
      <c r="F35" s="29">
        <f t="shared" si="0"/>
        <v>0</v>
      </c>
      <c r="G35" s="29">
        <v>0</v>
      </c>
      <c r="H35" s="30">
        <f t="shared" si="1"/>
        <v>0</v>
      </c>
      <c r="I35" s="28" t="s">
        <v>85</v>
      </c>
    </row>
    <row r="36" ht="25.5">
      <c r="A36" s="28" t="s">
        <v>69</v>
      </c>
      <c r="B36" s="27" t="s">
        <v>86</v>
      </c>
      <c r="D36" s="28" t="s">
        <v>22</v>
      </c>
      <c r="E36" s="32">
        <v>201190</v>
      </c>
      <c r="F36" s="29">
        <f t="shared" si="0"/>
        <v>0</v>
      </c>
      <c r="G36" s="29">
        <v>0</v>
      </c>
      <c r="H36" s="30">
        <f t="shared" si="1"/>
        <v>0</v>
      </c>
      <c r="I36" s="28" t="s">
        <v>87</v>
      </c>
    </row>
    <row r="37" ht="25.5">
      <c r="A37" s="32">
        <v>112</v>
      </c>
      <c r="B37" s="27" t="s">
        <v>88</v>
      </c>
      <c r="D37" s="28"/>
      <c r="E37" s="28"/>
      <c r="F37" s="29">
        <f t="shared" si="0"/>
        <v>0</v>
      </c>
      <c r="G37" s="29">
        <v>0</v>
      </c>
      <c r="H37" s="30">
        <f t="shared" si="1"/>
        <v>0</v>
      </c>
      <c r="I37" s="32" t="s">
        <v>89</v>
      </c>
    </row>
    <row r="38" ht="51">
      <c r="A38" s="28" t="s">
        <v>20</v>
      </c>
      <c r="B38" s="27" t="s">
        <v>90</v>
      </c>
      <c r="D38" s="28" t="s">
        <v>22</v>
      </c>
      <c r="E38" s="32">
        <v>9086</v>
      </c>
      <c r="F38" s="29">
        <f t="shared" si="0"/>
        <v>0</v>
      </c>
      <c r="G38" s="29">
        <v>0</v>
      </c>
      <c r="H38" s="30">
        <f t="shared" si="1"/>
        <v>0</v>
      </c>
      <c r="I38" s="28" t="s">
        <v>91</v>
      </c>
    </row>
    <row r="39" ht="51">
      <c r="A39" s="28" t="s">
        <v>24</v>
      </c>
      <c r="B39" s="27" t="s">
        <v>92</v>
      </c>
      <c r="D39" s="28" t="s">
        <v>22</v>
      </c>
      <c r="E39" s="32">
        <v>9263</v>
      </c>
      <c r="F39" s="29">
        <f t="shared" si="0"/>
        <v>0</v>
      </c>
      <c r="G39" s="29">
        <v>0</v>
      </c>
      <c r="H39" s="30">
        <f t="shared" si="1"/>
        <v>0</v>
      </c>
      <c r="I39" s="28" t="s">
        <v>93</v>
      </c>
    </row>
    <row r="40" ht="51">
      <c r="A40" s="28" t="s">
        <v>42</v>
      </c>
      <c r="B40" s="27" t="s">
        <v>94</v>
      </c>
      <c r="D40" s="28" t="s">
        <v>22</v>
      </c>
      <c r="E40" s="32">
        <v>10443</v>
      </c>
      <c r="F40" s="29">
        <f t="shared" si="0"/>
        <v>0</v>
      </c>
      <c r="G40" s="29">
        <v>0</v>
      </c>
      <c r="H40" s="30">
        <f t="shared" si="1"/>
        <v>0</v>
      </c>
      <c r="I40" s="28" t="s">
        <v>95</v>
      </c>
    </row>
    <row r="41" ht="51">
      <c r="A41" s="28" t="s">
        <v>69</v>
      </c>
      <c r="B41" s="27" t="s">
        <v>96</v>
      </c>
      <c r="D41" s="28" t="s">
        <v>22</v>
      </c>
      <c r="E41" s="32">
        <v>6844</v>
      </c>
      <c r="F41" s="29">
        <f t="shared" si="0"/>
        <v>0</v>
      </c>
      <c r="G41" s="29">
        <v>0</v>
      </c>
      <c r="H41" s="30">
        <f t="shared" si="1"/>
        <v>0</v>
      </c>
      <c r="I41" s="28" t="s">
        <v>97</v>
      </c>
    </row>
    <row r="42" ht="51">
      <c r="A42" s="28" t="s">
        <v>72</v>
      </c>
      <c r="B42" s="27" t="s">
        <v>98</v>
      </c>
      <c r="D42" s="28" t="s">
        <v>22</v>
      </c>
      <c r="E42" s="32">
        <v>5575</v>
      </c>
      <c r="F42" s="29">
        <f t="shared" si="0"/>
        <v>0</v>
      </c>
      <c r="G42" s="29">
        <v>0</v>
      </c>
      <c r="H42" s="30">
        <f t="shared" si="1"/>
        <v>0</v>
      </c>
      <c r="I42" s="28" t="s">
        <v>99</v>
      </c>
    </row>
    <row r="43" ht="51">
      <c r="A43" s="28" t="s">
        <v>75</v>
      </c>
      <c r="B43" s="27" t="s">
        <v>100</v>
      </c>
      <c r="D43" s="28" t="s">
        <v>22</v>
      </c>
      <c r="E43" s="32">
        <v>5575</v>
      </c>
      <c r="F43" s="29">
        <f t="shared" si="0"/>
        <v>0</v>
      </c>
      <c r="G43" s="29">
        <v>0</v>
      </c>
      <c r="H43" s="30">
        <f t="shared" si="1"/>
        <v>0</v>
      </c>
      <c r="I43" s="28" t="s">
        <v>101</v>
      </c>
    </row>
    <row r="44" ht="38.25">
      <c r="A44" s="32">
        <v>113</v>
      </c>
      <c r="B44" s="27" t="s">
        <v>102</v>
      </c>
      <c r="D44" s="28" t="s">
        <v>22</v>
      </c>
      <c r="E44" s="32">
        <v>20309</v>
      </c>
      <c r="F44" s="29">
        <f t="shared" si="0"/>
        <v>0</v>
      </c>
      <c r="G44" s="29">
        <v>0</v>
      </c>
      <c r="H44" s="30">
        <f t="shared" si="1"/>
        <v>0</v>
      </c>
      <c r="I44" s="32" t="s">
        <v>103</v>
      </c>
    </row>
    <row r="45" ht="63.75">
      <c r="A45" s="32">
        <v>114</v>
      </c>
      <c r="B45" s="27" t="s">
        <v>104</v>
      </c>
      <c r="D45" s="28" t="s">
        <v>22</v>
      </c>
      <c r="E45" s="32">
        <v>267</v>
      </c>
      <c r="F45" s="29">
        <f t="shared" si="0"/>
        <v>0</v>
      </c>
      <c r="G45" s="29">
        <v>0</v>
      </c>
      <c r="H45" s="30">
        <f t="shared" si="1"/>
        <v>0</v>
      </c>
      <c r="I45" s="32" t="s">
        <v>105</v>
      </c>
    </row>
    <row r="46" ht="51">
      <c r="A46" s="32">
        <v>115</v>
      </c>
      <c r="B46" s="27" t="s">
        <v>106</v>
      </c>
      <c r="D46" s="28" t="s">
        <v>22</v>
      </c>
      <c r="E46" s="32">
        <v>370</v>
      </c>
      <c r="F46" s="29">
        <f t="shared" si="0"/>
        <v>0</v>
      </c>
      <c r="G46" s="29">
        <v>0</v>
      </c>
      <c r="H46" s="30">
        <f t="shared" si="1"/>
        <v>0</v>
      </c>
      <c r="I46" s="32" t="s">
        <v>107</v>
      </c>
    </row>
    <row r="47">
      <c r="A47" s="33"/>
      <c r="B47" s="33"/>
      <c r="C47" s="32"/>
      <c r="D47" s="32"/>
      <c r="E47" s="32"/>
      <c r="F47" s="32"/>
      <c r="G47" s="32"/>
      <c r="H47" s="32"/>
      <c r="I47" s="33"/>
    </row>
    <row r="48" ht="12.75" customHeight="1">
      <c r="B48" s="25" t="s">
        <v>108</v>
      </c>
      <c r="C48" s="34"/>
      <c r="D48" s="34"/>
      <c r="E48" s="34"/>
      <c r="F48" s="34"/>
      <c r="G48" s="34"/>
      <c r="H48" s="34"/>
      <c r="I48" s="25"/>
    </row>
    <row r="49" ht="25.5">
      <c r="A49" s="32">
        <v>201</v>
      </c>
      <c r="B49" s="27" t="s">
        <v>109</v>
      </c>
      <c r="C49" s="28"/>
      <c r="D49" s="28"/>
      <c r="E49" s="28"/>
      <c r="F49" s="28"/>
      <c r="G49" s="28"/>
      <c r="H49" s="28"/>
      <c r="I49" s="32" t="s">
        <v>110</v>
      </c>
    </row>
    <row r="50" ht="25.5">
      <c r="A50" s="28" t="s">
        <v>20</v>
      </c>
      <c r="B50" s="27" t="s">
        <v>111</v>
      </c>
      <c r="D50" s="28" t="s">
        <v>22</v>
      </c>
      <c r="E50" s="32">
        <v>16216</v>
      </c>
      <c r="F50" s="29">
        <f t="shared" ref="F50:F59" si="2">C50*E50</f>
        <v>0</v>
      </c>
      <c r="G50" s="29">
        <v>0</v>
      </c>
      <c r="H50" s="30">
        <f t="shared" ref="H50:H59" si="3">SUM(F50:G50)</f>
        <v>0</v>
      </c>
      <c r="I50" s="28" t="s">
        <v>112</v>
      </c>
    </row>
    <row r="51" ht="25.5">
      <c r="A51" s="28" t="s">
        <v>24</v>
      </c>
      <c r="B51" s="27" t="s">
        <v>113</v>
      </c>
      <c r="D51" s="28" t="s">
        <v>22</v>
      </c>
      <c r="E51" s="32">
        <v>8083</v>
      </c>
      <c r="F51" s="29">
        <f t="shared" si="2"/>
        <v>0</v>
      </c>
      <c r="G51" s="29">
        <v>0</v>
      </c>
      <c r="H51" s="30">
        <f t="shared" si="3"/>
        <v>0</v>
      </c>
      <c r="I51" s="28" t="s">
        <v>114</v>
      </c>
    </row>
    <row r="52" ht="25.5">
      <c r="A52" s="28" t="s">
        <v>42</v>
      </c>
      <c r="B52" s="27" t="s">
        <v>115</v>
      </c>
      <c r="D52" s="28" t="s">
        <v>22</v>
      </c>
      <c r="E52" s="32">
        <v>4330</v>
      </c>
      <c r="F52" s="29">
        <f t="shared" si="2"/>
        <v>0</v>
      </c>
      <c r="G52" s="29">
        <v>0</v>
      </c>
      <c r="H52" s="30">
        <f t="shared" si="3"/>
        <v>0</v>
      </c>
      <c r="I52" s="28" t="s">
        <v>116</v>
      </c>
    </row>
    <row r="53" ht="51">
      <c r="A53" s="32">
        <v>202</v>
      </c>
      <c r="B53" s="27" t="s">
        <v>117</v>
      </c>
      <c r="D53" s="28" t="s">
        <v>22</v>
      </c>
      <c r="E53" s="32">
        <v>1051</v>
      </c>
      <c r="F53" s="29">
        <f t="shared" si="2"/>
        <v>0</v>
      </c>
      <c r="G53" s="29">
        <v>0</v>
      </c>
      <c r="H53" s="30">
        <f t="shared" si="3"/>
        <v>0</v>
      </c>
      <c r="I53" s="32" t="s">
        <v>118</v>
      </c>
    </row>
    <row r="54" ht="70.5" customHeight="1">
      <c r="A54" s="32">
        <v>203</v>
      </c>
      <c r="B54" s="35" t="s">
        <v>119</v>
      </c>
      <c r="D54" s="28" t="s">
        <v>22</v>
      </c>
      <c r="E54" s="32">
        <v>853</v>
      </c>
      <c r="F54" s="29">
        <f t="shared" si="2"/>
        <v>0</v>
      </c>
      <c r="G54" s="29">
        <v>0</v>
      </c>
      <c r="H54" s="30">
        <f t="shared" si="3"/>
        <v>0</v>
      </c>
      <c r="I54" s="32" t="s">
        <v>120</v>
      </c>
    </row>
    <row r="55" ht="63.75">
      <c r="A55" s="32">
        <v>204</v>
      </c>
      <c r="B55" s="27" t="s">
        <v>121</v>
      </c>
      <c r="D55" s="28" t="s">
        <v>22</v>
      </c>
      <c r="E55" s="32">
        <v>427</v>
      </c>
      <c r="F55" s="29">
        <f t="shared" si="2"/>
        <v>0</v>
      </c>
      <c r="G55" s="29">
        <v>0</v>
      </c>
      <c r="H55" s="30">
        <f t="shared" si="3"/>
        <v>0</v>
      </c>
      <c r="I55" s="32" t="s">
        <v>122</v>
      </c>
    </row>
    <row r="56" ht="38.25">
      <c r="A56" s="32">
        <v>205</v>
      </c>
      <c r="B56" s="27" t="s">
        <v>123</v>
      </c>
      <c r="D56" s="28"/>
      <c r="E56" s="28"/>
      <c r="F56" s="29">
        <f t="shared" si="2"/>
        <v>0</v>
      </c>
      <c r="G56" s="29">
        <v>0</v>
      </c>
      <c r="H56" s="30">
        <f t="shared" si="3"/>
        <v>0</v>
      </c>
      <c r="I56" s="32" t="s">
        <v>124</v>
      </c>
    </row>
    <row r="57" ht="25.5">
      <c r="A57" s="28" t="s">
        <v>20</v>
      </c>
      <c r="B57" s="27" t="s">
        <v>125</v>
      </c>
      <c r="D57" s="28" t="s">
        <v>22</v>
      </c>
      <c r="E57" s="32">
        <v>7124</v>
      </c>
      <c r="F57" s="29">
        <f t="shared" si="2"/>
        <v>0</v>
      </c>
      <c r="G57" s="29">
        <v>0</v>
      </c>
      <c r="H57" s="30">
        <f t="shared" si="3"/>
        <v>0</v>
      </c>
      <c r="I57" s="28" t="s">
        <v>126</v>
      </c>
    </row>
    <row r="58" ht="25.5">
      <c r="A58" s="28" t="s">
        <v>24</v>
      </c>
      <c r="B58" s="27" t="s">
        <v>127</v>
      </c>
      <c r="D58" s="28" t="s">
        <v>22</v>
      </c>
      <c r="E58" s="32">
        <v>3430</v>
      </c>
      <c r="F58" s="29">
        <f t="shared" si="2"/>
        <v>0</v>
      </c>
      <c r="G58" s="29">
        <v>0</v>
      </c>
      <c r="H58" s="30">
        <f t="shared" si="3"/>
        <v>0</v>
      </c>
      <c r="I58" s="28" t="s">
        <v>128</v>
      </c>
    </row>
    <row r="59" ht="25.5">
      <c r="A59" s="28" t="s">
        <v>42</v>
      </c>
      <c r="B59" s="27" t="s">
        <v>129</v>
      </c>
      <c r="D59" s="28" t="s">
        <v>22</v>
      </c>
      <c r="E59" s="32">
        <v>1888</v>
      </c>
      <c r="F59" s="29">
        <f t="shared" si="2"/>
        <v>0</v>
      </c>
      <c r="G59" s="29">
        <v>0</v>
      </c>
      <c r="H59" s="30">
        <f t="shared" si="3"/>
        <v>0</v>
      </c>
      <c r="I59" s="28" t="s">
        <v>130</v>
      </c>
    </row>
    <row r="60">
      <c r="A60" s="36"/>
      <c r="B60" s="36"/>
      <c r="D60" s="28"/>
      <c r="E60" s="28"/>
      <c r="F60" s="28"/>
      <c r="G60" s="28"/>
      <c r="H60" s="28"/>
      <c r="I60" s="36"/>
    </row>
    <row r="61" ht="21.75" customHeight="1">
      <c r="B61" s="37" t="s">
        <v>131</v>
      </c>
      <c r="C61" s="37"/>
      <c r="D61" s="37"/>
      <c r="E61" s="37"/>
      <c r="F61" s="37"/>
      <c r="G61" s="37"/>
      <c r="H61" s="37"/>
      <c r="I61" s="36"/>
    </row>
    <row r="62" ht="89.25">
      <c r="A62" s="32">
        <v>301</v>
      </c>
      <c r="B62" s="27" t="s">
        <v>132</v>
      </c>
      <c r="D62" s="28" t="s">
        <v>22</v>
      </c>
      <c r="E62" s="32">
        <v>2902</v>
      </c>
      <c r="F62" s="29">
        <f t="shared" ref="F62:F72" si="4">C62*E62</f>
        <v>0</v>
      </c>
      <c r="G62" s="29">
        <v>0</v>
      </c>
      <c r="H62" s="30">
        <f t="shared" ref="H62:H72" si="5">SUM(F62:G62)</f>
        <v>0</v>
      </c>
      <c r="I62" s="32" t="s">
        <v>133</v>
      </c>
      <c r="N62" s="16">
        <f>12829*4</f>
        <v>51316</v>
      </c>
    </row>
    <row r="63" ht="25.5">
      <c r="A63" s="32">
        <v>302</v>
      </c>
      <c r="B63" s="27" t="s">
        <v>134</v>
      </c>
      <c r="D63" s="28"/>
      <c r="E63" s="28"/>
      <c r="F63" s="29">
        <f t="shared" si="4"/>
        <v>0</v>
      </c>
      <c r="G63" s="29">
        <v>0</v>
      </c>
      <c r="H63" s="30">
        <f t="shared" si="5"/>
        <v>0</v>
      </c>
      <c r="I63" s="32" t="s">
        <v>135</v>
      </c>
    </row>
    <row r="64" ht="38.25">
      <c r="A64" s="28" t="s">
        <v>20</v>
      </c>
      <c r="B64" s="27" t="s">
        <v>136</v>
      </c>
      <c r="D64" s="28" t="s">
        <v>30</v>
      </c>
      <c r="E64" s="32">
        <v>8670</v>
      </c>
      <c r="F64" s="29">
        <f t="shared" si="4"/>
        <v>0</v>
      </c>
      <c r="G64" s="29">
        <v>0</v>
      </c>
      <c r="H64" s="30">
        <f t="shared" si="5"/>
        <v>0</v>
      </c>
      <c r="I64" s="28" t="s">
        <v>137</v>
      </c>
    </row>
    <row r="65" ht="51">
      <c r="A65" s="28" t="s">
        <v>24</v>
      </c>
      <c r="B65" s="27" t="s">
        <v>138</v>
      </c>
      <c r="D65" s="28" t="s">
        <v>30</v>
      </c>
      <c r="E65" s="32">
        <v>58410</v>
      </c>
      <c r="F65" s="29">
        <f t="shared" si="4"/>
        <v>0</v>
      </c>
      <c r="G65" s="29">
        <v>0</v>
      </c>
      <c r="H65" s="30">
        <f t="shared" si="5"/>
        <v>0</v>
      </c>
      <c r="I65" s="28" t="s">
        <v>139</v>
      </c>
    </row>
    <row r="66" ht="127.5">
      <c r="A66" s="28" t="s">
        <v>42</v>
      </c>
      <c r="B66" s="27" t="s">
        <v>140</v>
      </c>
      <c r="D66" s="28" t="s">
        <v>30</v>
      </c>
      <c r="E66" s="32">
        <v>14160</v>
      </c>
      <c r="F66" s="29">
        <f t="shared" si="4"/>
        <v>0</v>
      </c>
      <c r="G66" s="29">
        <v>0</v>
      </c>
      <c r="H66" s="30">
        <f t="shared" si="5"/>
        <v>0</v>
      </c>
      <c r="I66" s="28" t="s">
        <v>141</v>
      </c>
    </row>
    <row r="67" ht="25.5">
      <c r="A67" s="32">
        <v>303</v>
      </c>
      <c r="B67" s="27" t="s">
        <v>142</v>
      </c>
      <c r="D67" s="28"/>
      <c r="E67" s="28"/>
      <c r="F67" s="29">
        <f t="shared" si="4"/>
        <v>0</v>
      </c>
      <c r="G67" s="29">
        <v>0</v>
      </c>
      <c r="H67" s="30">
        <f t="shared" si="5"/>
        <v>0</v>
      </c>
      <c r="I67" s="32" t="s">
        <v>143</v>
      </c>
    </row>
    <row r="68" ht="63.75">
      <c r="A68" s="28" t="s">
        <v>20</v>
      </c>
      <c r="B68" s="27" t="s">
        <v>144</v>
      </c>
      <c r="D68" s="28" t="s">
        <v>30</v>
      </c>
      <c r="E68" s="32">
        <v>729</v>
      </c>
      <c r="F68" s="29">
        <f t="shared" si="4"/>
        <v>0</v>
      </c>
      <c r="G68" s="29">
        <v>0</v>
      </c>
      <c r="H68" s="30">
        <f t="shared" si="5"/>
        <v>0</v>
      </c>
      <c r="I68" s="28" t="s">
        <v>145</v>
      </c>
    </row>
    <row r="69" ht="51">
      <c r="A69" s="28" t="s">
        <v>24</v>
      </c>
      <c r="B69" s="27" t="s">
        <v>146</v>
      </c>
      <c r="D69" s="28" t="s">
        <v>30</v>
      </c>
      <c r="E69" s="32">
        <v>160</v>
      </c>
      <c r="F69" s="29">
        <f t="shared" si="4"/>
        <v>0</v>
      </c>
      <c r="G69" s="29">
        <v>0</v>
      </c>
      <c r="H69" s="30">
        <f t="shared" si="5"/>
        <v>0</v>
      </c>
      <c r="I69" s="28" t="s">
        <v>147</v>
      </c>
    </row>
    <row r="70" ht="178.5">
      <c r="A70" s="28" t="s">
        <v>42</v>
      </c>
      <c r="B70" s="27" t="s">
        <v>148</v>
      </c>
      <c r="D70" s="28" t="s">
        <v>30</v>
      </c>
      <c r="E70" s="32">
        <v>2203</v>
      </c>
      <c r="F70" s="29">
        <f t="shared" si="4"/>
        <v>0</v>
      </c>
      <c r="G70" s="29">
        <v>0</v>
      </c>
      <c r="H70" s="30">
        <f t="shared" si="5"/>
        <v>0</v>
      </c>
      <c r="I70" s="28" t="s">
        <v>149</v>
      </c>
    </row>
    <row r="71" ht="51">
      <c r="A71" s="28"/>
      <c r="B71" s="27" t="s">
        <v>150</v>
      </c>
      <c r="D71" s="28"/>
      <c r="E71" s="28"/>
      <c r="F71" s="29">
        <f t="shared" si="4"/>
        <v>0</v>
      </c>
      <c r="G71" s="29">
        <v>0</v>
      </c>
      <c r="H71" s="30">
        <f t="shared" si="5"/>
        <v>0</v>
      </c>
      <c r="I71" s="28"/>
    </row>
    <row r="72" ht="369.75">
      <c r="A72" s="28" t="s">
        <v>69</v>
      </c>
      <c r="B72" s="27" t="s">
        <v>151</v>
      </c>
      <c r="D72" s="28" t="s">
        <v>30</v>
      </c>
      <c r="E72" s="32">
        <v>1074</v>
      </c>
      <c r="F72" s="29">
        <f t="shared" si="4"/>
        <v>0</v>
      </c>
      <c r="G72" s="29">
        <v>0</v>
      </c>
      <c r="H72" s="30">
        <f t="shared" si="5"/>
        <v>0</v>
      </c>
      <c r="I72" s="28" t="s">
        <v>152</v>
      </c>
    </row>
    <row r="73">
      <c r="A73" s="28"/>
      <c r="B73" s="28"/>
      <c r="C73" s="28"/>
      <c r="D73" s="28"/>
      <c r="E73" s="28"/>
      <c r="F73" s="28"/>
      <c r="G73" s="28"/>
      <c r="H73" s="28"/>
      <c r="I73" s="28"/>
    </row>
    <row r="74">
      <c r="A74" s="28" t="s">
        <v>153</v>
      </c>
      <c r="B74" s="28"/>
      <c r="C74" s="28"/>
      <c r="D74" s="28"/>
      <c r="E74" s="28"/>
      <c r="F74" s="28"/>
      <c r="G74" s="28"/>
      <c r="H74" s="28"/>
      <c r="I74" s="28"/>
    </row>
    <row r="75" ht="51">
      <c r="A75" s="32">
        <v>401</v>
      </c>
      <c r="B75" s="27" t="s">
        <v>154</v>
      </c>
      <c r="D75" s="28" t="s">
        <v>22</v>
      </c>
      <c r="E75" s="32">
        <v>8294</v>
      </c>
      <c r="F75" s="29">
        <f t="shared" ref="F75:F90" si="6">C75*E75</f>
        <v>0</v>
      </c>
      <c r="G75" s="29">
        <v>0</v>
      </c>
      <c r="H75" s="30">
        <f t="shared" ref="H75:H90" si="7">SUM(F75:G75)</f>
        <v>0</v>
      </c>
      <c r="I75" s="32" t="s">
        <v>155</v>
      </c>
    </row>
    <row r="76" ht="89.25">
      <c r="A76" s="32">
        <v>402</v>
      </c>
      <c r="B76" s="27" t="s">
        <v>156</v>
      </c>
      <c r="D76" s="28" t="s">
        <v>22</v>
      </c>
      <c r="E76" s="32">
        <v>1546</v>
      </c>
      <c r="F76" s="29">
        <f t="shared" si="6"/>
        <v>0</v>
      </c>
      <c r="G76" s="29">
        <v>0</v>
      </c>
      <c r="H76" s="30">
        <f t="shared" si="7"/>
        <v>0</v>
      </c>
      <c r="I76" s="32" t="s">
        <v>157</v>
      </c>
    </row>
    <row r="77" ht="25.5">
      <c r="A77" s="32">
        <v>403</v>
      </c>
      <c r="B77" s="27" t="s">
        <v>158</v>
      </c>
      <c r="D77" s="28" t="s">
        <v>159</v>
      </c>
      <c r="E77" s="32">
        <v>80</v>
      </c>
      <c r="F77" s="29">
        <f t="shared" si="6"/>
        <v>0</v>
      </c>
      <c r="G77" s="29">
        <v>0</v>
      </c>
      <c r="H77" s="30">
        <f t="shared" si="7"/>
        <v>0</v>
      </c>
      <c r="I77" s="32" t="s">
        <v>160</v>
      </c>
    </row>
    <row r="78" ht="51">
      <c r="A78" s="32">
        <v>404</v>
      </c>
      <c r="B78" s="27" t="s">
        <v>161</v>
      </c>
      <c r="D78" s="28" t="s">
        <v>159</v>
      </c>
      <c r="E78" s="32">
        <v>120</v>
      </c>
      <c r="F78" s="29">
        <f t="shared" si="6"/>
        <v>0</v>
      </c>
      <c r="G78" s="29">
        <v>0</v>
      </c>
      <c r="H78" s="30">
        <f t="shared" si="7"/>
        <v>0</v>
      </c>
      <c r="I78" s="32" t="s">
        <v>162</v>
      </c>
    </row>
    <row r="79" ht="25.5">
      <c r="A79" s="32">
        <v>405</v>
      </c>
      <c r="B79" s="27" t="s">
        <v>163</v>
      </c>
      <c r="D79" s="28" t="s">
        <v>22</v>
      </c>
      <c r="E79" s="32">
        <v>2313</v>
      </c>
      <c r="F79" s="29">
        <f t="shared" si="6"/>
        <v>0</v>
      </c>
      <c r="G79" s="29">
        <v>0</v>
      </c>
      <c r="H79" s="30">
        <f t="shared" si="7"/>
        <v>0</v>
      </c>
      <c r="I79" s="32" t="s">
        <v>164</v>
      </c>
    </row>
    <row r="80" ht="51">
      <c r="A80" s="32">
        <v>406</v>
      </c>
      <c r="B80" s="27" t="s">
        <v>165</v>
      </c>
      <c r="D80" s="28"/>
      <c r="E80" s="28"/>
      <c r="F80" s="29">
        <f t="shared" si="6"/>
        <v>0</v>
      </c>
      <c r="G80" s="29">
        <v>0</v>
      </c>
      <c r="H80" s="30">
        <f t="shared" si="7"/>
        <v>0</v>
      </c>
      <c r="I80" s="32" t="s">
        <v>166</v>
      </c>
    </row>
    <row r="81" ht="25.5">
      <c r="A81" s="28" t="s">
        <v>20</v>
      </c>
      <c r="B81" s="27" t="s">
        <v>167</v>
      </c>
      <c r="D81" s="28" t="s">
        <v>22</v>
      </c>
      <c r="E81" s="32">
        <v>3315</v>
      </c>
      <c r="F81" s="29">
        <f t="shared" si="6"/>
        <v>0</v>
      </c>
      <c r="G81" s="29">
        <v>0</v>
      </c>
      <c r="H81" s="30">
        <f t="shared" si="7"/>
        <v>0</v>
      </c>
      <c r="I81" s="28" t="s">
        <v>168</v>
      </c>
    </row>
    <row r="82" ht="25.5">
      <c r="A82" s="28" t="s">
        <v>24</v>
      </c>
      <c r="B82" s="27" t="s">
        <v>169</v>
      </c>
      <c r="D82" s="28" t="s">
        <v>22</v>
      </c>
      <c r="E82" s="32">
        <v>4709</v>
      </c>
      <c r="F82" s="29">
        <f t="shared" si="6"/>
        <v>0</v>
      </c>
      <c r="G82" s="29">
        <v>0</v>
      </c>
      <c r="H82" s="30">
        <f t="shared" si="7"/>
        <v>0</v>
      </c>
      <c r="I82" s="28" t="s">
        <v>170</v>
      </c>
    </row>
    <row r="83" ht="25.5">
      <c r="A83" s="28" t="s">
        <v>42</v>
      </c>
      <c r="B83" s="27" t="s">
        <v>171</v>
      </c>
      <c r="D83" s="28" t="s">
        <v>22</v>
      </c>
      <c r="E83" s="32">
        <v>5665</v>
      </c>
      <c r="F83" s="29">
        <f t="shared" si="6"/>
        <v>0</v>
      </c>
      <c r="G83" s="29">
        <v>0</v>
      </c>
      <c r="H83" s="30">
        <f t="shared" si="7"/>
        <v>0</v>
      </c>
      <c r="I83" s="28" t="s">
        <v>172</v>
      </c>
    </row>
    <row r="84" ht="25.5">
      <c r="A84" s="28" t="s">
        <v>69</v>
      </c>
      <c r="B84" s="27" t="s">
        <v>173</v>
      </c>
      <c r="D84" s="28" t="s">
        <v>22</v>
      </c>
      <c r="E84" s="32">
        <v>7060</v>
      </c>
      <c r="F84" s="29">
        <f t="shared" si="6"/>
        <v>0</v>
      </c>
      <c r="G84" s="29">
        <v>0</v>
      </c>
      <c r="H84" s="30">
        <f t="shared" si="7"/>
        <v>0</v>
      </c>
      <c r="I84" s="28" t="s">
        <v>174</v>
      </c>
    </row>
    <row r="85" ht="25.5">
      <c r="A85" s="32">
        <v>407</v>
      </c>
      <c r="B85" s="27" t="s">
        <v>175</v>
      </c>
      <c r="D85" s="28" t="s">
        <v>22</v>
      </c>
      <c r="E85" s="32">
        <v>277</v>
      </c>
      <c r="F85" s="29">
        <f t="shared" si="6"/>
        <v>0</v>
      </c>
      <c r="G85" s="29">
        <v>0</v>
      </c>
      <c r="H85" s="30">
        <f t="shared" si="7"/>
        <v>0</v>
      </c>
      <c r="I85" s="32" t="s">
        <v>176</v>
      </c>
    </row>
    <row r="86" ht="25.5">
      <c r="A86" s="32">
        <v>408</v>
      </c>
      <c r="B86" s="27" t="s">
        <v>177</v>
      </c>
      <c r="D86" s="28" t="s">
        <v>178</v>
      </c>
      <c r="E86" s="32">
        <v>10</v>
      </c>
      <c r="F86" s="29">
        <f t="shared" si="6"/>
        <v>0</v>
      </c>
      <c r="G86" s="29">
        <v>0</v>
      </c>
      <c r="H86" s="30">
        <f t="shared" si="7"/>
        <v>0</v>
      </c>
      <c r="I86" s="32" t="s">
        <v>179</v>
      </c>
    </row>
    <row r="87" ht="25.5">
      <c r="A87" s="32">
        <v>409</v>
      </c>
      <c r="B87" s="27" t="s">
        <v>180</v>
      </c>
      <c r="D87" s="28" t="s">
        <v>22</v>
      </c>
      <c r="E87" s="32">
        <v>30</v>
      </c>
      <c r="F87" s="29">
        <f t="shared" si="6"/>
        <v>0</v>
      </c>
      <c r="G87" s="29">
        <v>0</v>
      </c>
      <c r="H87" s="30">
        <f t="shared" si="7"/>
        <v>0</v>
      </c>
      <c r="I87" s="32" t="s">
        <v>181</v>
      </c>
    </row>
    <row r="88" ht="25.5">
      <c r="A88" s="32">
        <v>410</v>
      </c>
      <c r="B88" s="27" t="s">
        <v>182</v>
      </c>
      <c r="D88" s="28" t="s">
        <v>22</v>
      </c>
      <c r="E88" s="32">
        <v>146</v>
      </c>
      <c r="F88" s="29">
        <f t="shared" si="6"/>
        <v>0</v>
      </c>
      <c r="G88" s="29">
        <v>0</v>
      </c>
      <c r="H88" s="30">
        <f t="shared" si="7"/>
        <v>0</v>
      </c>
      <c r="I88" s="32" t="s">
        <v>183</v>
      </c>
    </row>
    <row r="89" ht="25.5">
      <c r="A89" s="38">
        <v>411</v>
      </c>
      <c r="B89" s="27" t="s">
        <v>184</v>
      </c>
      <c r="D89" s="28" t="s">
        <v>22</v>
      </c>
      <c r="E89" s="32">
        <v>3</v>
      </c>
      <c r="F89" s="29">
        <f t="shared" si="6"/>
        <v>0</v>
      </c>
      <c r="G89" s="29">
        <v>0</v>
      </c>
      <c r="H89" s="30">
        <f t="shared" si="7"/>
        <v>0</v>
      </c>
      <c r="I89" s="32" t="s">
        <v>185</v>
      </c>
    </row>
    <row r="90" ht="38.25">
      <c r="A90" s="32">
        <v>412</v>
      </c>
      <c r="B90" s="27" t="s">
        <v>186</v>
      </c>
      <c r="D90" s="28" t="s">
        <v>22</v>
      </c>
      <c r="E90" s="32">
        <v>358</v>
      </c>
      <c r="F90" s="29">
        <f t="shared" si="6"/>
        <v>0</v>
      </c>
      <c r="G90" s="29">
        <v>0</v>
      </c>
      <c r="H90" s="30">
        <f t="shared" si="7"/>
        <v>0</v>
      </c>
      <c r="I90" s="32" t="s">
        <v>187</v>
      </c>
    </row>
    <row r="91">
      <c r="A91" s="32"/>
      <c r="B91" s="32"/>
      <c r="C91" s="32"/>
      <c r="D91" s="32"/>
      <c r="E91" s="32"/>
      <c r="F91" s="32"/>
      <c r="G91" s="32"/>
      <c r="H91" s="32"/>
      <c r="I91" s="32"/>
    </row>
    <row r="92" ht="18">
      <c r="A92" s="39" t="s">
        <v>188</v>
      </c>
      <c r="B92" s="39"/>
      <c r="C92" s="39"/>
      <c r="D92" s="39"/>
      <c r="E92" s="39"/>
      <c r="F92" s="39"/>
      <c r="G92" s="39"/>
      <c r="H92" s="39"/>
      <c r="I92" s="39"/>
    </row>
    <row r="93" ht="15.75">
      <c r="A93" s="28"/>
      <c r="B93" s="40" t="s">
        <v>189</v>
      </c>
      <c r="C93" s="28"/>
      <c r="D93" s="28"/>
      <c r="E93" s="28"/>
      <c r="F93" s="28"/>
      <c r="G93" s="28"/>
      <c r="H93" s="28"/>
      <c r="I93" s="28"/>
    </row>
    <row r="94" ht="76.5">
      <c r="A94" s="32">
        <v>501</v>
      </c>
      <c r="B94" s="27" t="s">
        <v>190</v>
      </c>
      <c r="C94" s="28"/>
      <c r="D94" s="28"/>
      <c r="E94" s="28"/>
      <c r="F94" s="29">
        <f t="shared" ref="F94:F129" si="8">C94*E94</f>
        <v>0</v>
      </c>
      <c r="G94" s="29">
        <v>0</v>
      </c>
      <c r="H94" s="30">
        <f t="shared" ref="H94:H129" si="9">SUM(F94:G94)</f>
        <v>0</v>
      </c>
      <c r="I94" s="32" t="s">
        <v>191</v>
      </c>
    </row>
    <row r="95" ht="25.5">
      <c r="A95" s="28" t="s">
        <v>20</v>
      </c>
      <c r="B95" s="27" t="s">
        <v>192</v>
      </c>
      <c r="D95" s="28" t="s">
        <v>22</v>
      </c>
      <c r="E95" s="32">
        <v>4400</v>
      </c>
      <c r="F95" s="29">
        <f t="shared" si="8"/>
        <v>0</v>
      </c>
      <c r="G95" s="29">
        <v>0</v>
      </c>
      <c r="H95" s="30">
        <f t="shared" si="9"/>
        <v>0</v>
      </c>
      <c r="I95" s="28" t="s">
        <v>193</v>
      </c>
    </row>
    <row r="96" ht="25.5">
      <c r="A96" s="28" t="s">
        <v>24</v>
      </c>
      <c r="B96" s="27" t="s">
        <v>194</v>
      </c>
      <c r="D96" s="28" t="s">
        <v>22</v>
      </c>
      <c r="E96" s="32">
        <v>4283</v>
      </c>
      <c r="F96" s="29">
        <f t="shared" si="8"/>
        <v>0</v>
      </c>
      <c r="G96" s="29">
        <v>0</v>
      </c>
      <c r="H96" s="30">
        <f t="shared" si="9"/>
        <v>0</v>
      </c>
      <c r="I96" s="28" t="s">
        <v>195</v>
      </c>
    </row>
    <row r="97" ht="25.5">
      <c r="A97" s="28" t="s">
        <v>42</v>
      </c>
      <c r="B97" s="27" t="s">
        <v>196</v>
      </c>
      <c r="D97" s="28" t="s">
        <v>22</v>
      </c>
      <c r="E97" s="32">
        <v>6753</v>
      </c>
      <c r="F97" s="29">
        <f t="shared" si="8"/>
        <v>0</v>
      </c>
      <c r="G97" s="29">
        <v>0</v>
      </c>
      <c r="H97" s="30">
        <f t="shared" si="9"/>
        <v>0</v>
      </c>
      <c r="I97" s="28" t="s">
        <v>197</v>
      </c>
    </row>
    <row r="98" ht="25.5">
      <c r="A98" s="28" t="s">
        <v>69</v>
      </c>
      <c r="B98" s="27" t="s">
        <v>198</v>
      </c>
      <c r="D98" s="28" t="s">
        <v>22</v>
      </c>
      <c r="E98" s="32">
        <v>6544</v>
      </c>
      <c r="F98" s="29">
        <f t="shared" si="8"/>
        <v>0</v>
      </c>
      <c r="G98" s="29">
        <v>0</v>
      </c>
      <c r="H98" s="30">
        <f t="shared" si="9"/>
        <v>0</v>
      </c>
      <c r="I98" s="28" t="s">
        <v>199</v>
      </c>
    </row>
    <row r="99" ht="25.5">
      <c r="A99" s="28" t="s">
        <v>72</v>
      </c>
      <c r="B99" s="27" t="s">
        <v>200</v>
      </c>
      <c r="D99" s="28" t="s">
        <v>22</v>
      </c>
      <c r="E99" s="32">
        <v>3962</v>
      </c>
      <c r="F99" s="29">
        <f t="shared" si="8"/>
        <v>0</v>
      </c>
      <c r="G99" s="29">
        <v>0</v>
      </c>
      <c r="H99" s="30">
        <f t="shared" si="9"/>
        <v>0</v>
      </c>
      <c r="I99" s="28" t="s">
        <v>201</v>
      </c>
    </row>
    <row r="100" ht="25.5">
      <c r="A100" s="28" t="s">
        <v>75</v>
      </c>
      <c r="B100" s="27" t="s">
        <v>202</v>
      </c>
      <c r="D100" s="28" t="s">
        <v>22</v>
      </c>
      <c r="E100" s="32">
        <v>4485</v>
      </c>
      <c r="F100" s="29">
        <f t="shared" si="8"/>
        <v>0</v>
      </c>
      <c r="G100" s="29">
        <v>0</v>
      </c>
      <c r="H100" s="30">
        <f t="shared" si="9"/>
        <v>0</v>
      </c>
      <c r="I100" s="28" t="s">
        <v>203</v>
      </c>
    </row>
    <row r="101" ht="25.5">
      <c r="A101" s="28" t="s">
        <v>204</v>
      </c>
      <c r="B101" s="27" t="s">
        <v>205</v>
      </c>
      <c r="D101" s="28" t="s">
        <v>22</v>
      </c>
      <c r="E101" s="32">
        <v>4944</v>
      </c>
      <c r="F101" s="29">
        <f t="shared" si="8"/>
        <v>0</v>
      </c>
      <c r="G101" s="29">
        <v>0</v>
      </c>
      <c r="H101" s="30">
        <f t="shared" si="9"/>
        <v>0</v>
      </c>
      <c r="I101" s="28" t="s">
        <v>206</v>
      </c>
    </row>
    <row r="102" ht="76.5">
      <c r="A102" s="38">
        <v>502</v>
      </c>
      <c r="B102" s="27" t="s">
        <v>207</v>
      </c>
      <c r="D102" s="28"/>
      <c r="E102" s="28"/>
      <c r="F102" s="29">
        <f t="shared" si="8"/>
        <v>0</v>
      </c>
      <c r="G102" s="29">
        <v>0</v>
      </c>
      <c r="H102" s="30">
        <f t="shared" si="9"/>
        <v>0</v>
      </c>
      <c r="I102" s="32" t="s">
        <v>208</v>
      </c>
    </row>
    <row r="103" ht="25.5">
      <c r="A103" s="28" t="s">
        <v>20</v>
      </c>
      <c r="B103" s="27" t="s">
        <v>209</v>
      </c>
      <c r="D103" s="28" t="s">
        <v>22</v>
      </c>
      <c r="E103" s="32">
        <v>8307</v>
      </c>
      <c r="F103" s="29">
        <f t="shared" si="8"/>
        <v>0</v>
      </c>
      <c r="G103" s="29">
        <v>0</v>
      </c>
      <c r="H103" s="30">
        <f t="shared" si="9"/>
        <v>0</v>
      </c>
      <c r="I103" s="28" t="s">
        <v>210</v>
      </c>
    </row>
    <row r="104" ht="25.5">
      <c r="A104" s="28" t="s">
        <v>24</v>
      </c>
      <c r="B104" s="27" t="s">
        <v>211</v>
      </c>
      <c r="D104" s="28" t="s">
        <v>22</v>
      </c>
      <c r="E104" s="32">
        <v>4738</v>
      </c>
      <c r="F104" s="29">
        <f t="shared" si="8"/>
        <v>0</v>
      </c>
      <c r="G104" s="29">
        <v>0</v>
      </c>
      <c r="H104" s="30">
        <f t="shared" si="9"/>
        <v>0</v>
      </c>
      <c r="I104" s="28" t="s">
        <v>212</v>
      </c>
    </row>
    <row r="105" ht="25.5">
      <c r="A105" s="28" t="s">
        <v>42</v>
      </c>
      <c r="B105" s="27" t="s">
        <v>213</v>
      </c>
      <c r="D105" s="28" t="s">
        <v>22</v>
      </c>
      <c r="E105" s="32">
        <v>4413</v>
      </c>
      <c r="F105" s="29">
        <f t="shared" si="8"/>
        <v>0</v>
      </c>
      <c r="G105" s="29">
        <v>0</v>
      </c>
      <c r="H105" s="30">
        <f t="shared" si="9"/>
        <v>0</v>
      </c>
      <c r="I105" s="28" t="s">
        <v>214</v>
      </c>
    </row>
    <row r="106" ht="38.25">
      <c r="A106" s="28" t="s">
        <v>69</v>
      </c>
      <c r="B106" s="27" t="s">
        <v>215</v>
      </c>
      <c r="D106" s="28" t="s">
        <v>22</v>
      </c>
      <c r="E106" s="32">
        <v>5062</v>
      </c>
      <c r="F106" s="29">
        <f t="shared" si="8"/>
        <v>0</v>
      </c>
      <c r="G106" s="29">
        <v>0</v>
      </c>
      <c r="H106" s="30">
        <f t="shared" si="9"/>
        <v>0</v>
      </c>
      <c r="I106" s="28" t="s">
        <v>216</v>
      </c>
    </row>
    <row r="107" ht="25.5">
      <c r="A107" s="28" t="s">
        <v>72</v>
      </c>
      <c r="B107" s="27" t="s">
        <v>217</v>
      </c>
      <c r="D107" s="28" t="s">
        <v>22</v>
      </c>
      <c r="E107" s="32">
        <v>6465</v>
      </c>
      <c r="F107" s="29">
        <f t="shared" si="8"/>
        <v>0</v>
      </c>
      <c r="G107" s="29">
        <v>0</v>
      </c>
      <c r="H107" s="30">
        <f t="shared" si="9"/>
        <v>0</v>
      </c>
      <c r="I107" s="28" t="s">
        <v>218</v>
      </c>
    </row>
    <row r="108" ht="102">
      <c r="A108" s="32">
        <v>503</v>
      </c>
      <c r="B108" s="27" t="s">
        <v>219</v>
      </c>
      <c r="D108" s="28" t="s">
        <v>22</v>
      </c>
      <c r="E108" s="32">
        <v>4806</v>
      </c>
      <c r="F108" s="29">
        <f t="shared" si="8"/>
        <v>0</v>
      </c>
      <c r="G108" s="29">
        <v>0</v>
      </c>
      <c r="H108" s="30">
        <f t="shared" si="9"/>
        <v>0</v>
      </c>
      <c r="I108" s="32" t="s">
        <v>220</v>
      </c>
    </row>
    <row r="109" ht="102">
      <c r="A109" s="32">
        <v>504</v>
      </c>
      <c r="B109" s="27" t="s">
        <v>221</v>
      </c>
      <c r="D109" s="28" t="s">
        <v>22</v>
      </c>
      <c r="E109" s="32">
        <v>5841</v>
      </c>
      <c r="F109" s="29">
        <f t="shared" si="8"/>
        <v>0</v>
      </c>
      <c r="G109" s="29">
        <v>0</v>
      </c>
      <c r="H109" s="30">
        <f t="shared" si="9"/>
        <v>0</v>
      </c>
      <c r="I109" s="32" t="s">
        <v>222</v>
      </c>
    </row>
    <row r="110" ht="38.25">
      <c r="A110" s="32">
        <v>505</v>
      </c>
      <c r="B110" s="27" t="s">
        <v>223</v>
      </c>
      <c r="D110" s="28" t="s">
        <v>22</v>
      </c>
      <c r="E110" s="32">
        <v>4349</v>
      </c>
      <c r="F110" s="29">
        <f t="shared" si="8"/>
        <v>0</v>
      </c>
      <c r="G110" s="29">
        <v>0</v>
      </c>
      <c r="H110" s="30">
        <f t="shared" si="9"/>
        <v>0</v>
      </c>
      <c r="I110" s="32" t="s">
        <v>224</v>
      </c>
    </row>
    <row r="111" ht="51">
      <c r="A111" s="32">
        <v>506</v>
      </c>
      <c r="B111" s="27" t="s">
        <v>225</v>
      </c>
      <c r="D111" s="28"/>
      <c r="E111" s="28"/>
      <c r="F111" s="29">
        <f t="shared" si="8"/>
        <v>0</v>
      </c>
      <c r="G111" s="29">
        <v>0</v>
      </c>
      <c r="H111" s="30">
        <f t="shared" si="9"/>
        <v>0</v>
      </c>
      <c r="I111" s="32" t="s">
        <v>226</v>
      </c>
    </row>
    <row r="112" ht="25.5">
      <c r="A112" s="28" t="s">
        <v>20</v>
      </c>
      <c r="B112" s="27" t="s">
        <v>227</v>
      </c>
      <c r="D112" s="28" t="s">
        <v>22</v>
      </c>
      <c r="E112" s="32">
        <v>5701</v>
      </c>
      <c r="F112" s="29">
        <f t="shared" si="8"/>
        <v>0</v>
      </c>
      <c r="G112" s="29">
        <v>0</v>
      </c>
      <c r="H112" s="30">
        <f t="shared" si="9"/>
        <v>0</v>
      </c>
      <c r="I112" s="28" t="s">
        <v>228</v>
      </c>
    </row>
    <row r="113" ht="25.5">
      <c r="A113" s="28" t="s">
        <v>24</v>
      </c>
      <c r="B113" s="27" t="s">
        <v>229</v>
      </c>
      <c r="D113" s="28" t="s">
        <v>22</v>
      </c>
      <c r="E113" s="32">
        <v>5427</v>
      </c>
      <c r="F113" s="29">
        <f t="shared" si="8"/>
        <v>0</v>
      </c>
      <c r="G113" s="29">
        <v>0</v>
      </c>
      <c r="H113" s="30">
        <f t="shared" si="9"/>
        <v>0</v>
      </c>
      <c r="I113" s="28" t="s">
        <v>230</v>
      </c>
    </row>
    <row r="114" ht="102">
      <c r="A114" s="32">
        <v>507</v>
      </c>
      <c r="B114" s="27" t="s">
        <v>231</v>
      </c>
      <c r="D114" s="28"/>
      <c r="E114" s="28"/>
      <c r="F114" s="29">
        <f t="shared" si="8"/>
        <v>0</v>
      </c>
      <c r="G114" s="29">
        <v>0</v>
      </c>
      <c r="H114" s="30">
        <f t="shared" si="9"/>
        <v>0</v>
      </c>
      <c r="I114" s="32" t="s">
        <v>232</v>
      </c>
    </row>
    <row r="115" ht="25.5">
      <c r="A115" s="28" t="s">
        <v>20</v>
      </c>
      <c r="B115" s="27" t="s">
        <v>233</v>
      </c>
      <c r="D115" s="28" t="s">
        <v>22</v>
      </c>
      <c r="E115" s="32">
        <v>2161</v>
      </c>
      <c r="F115" s="29">
        <f t="shared" si="8"/>
        <v>0</v>
      </c>
      <c r="G115" s="29">
        <v>0</v>
      </c>
      <c r="H115" s="30">
        <f t="shared" si="9"/>
        <v>0</v>
      </c>
      <c r="I115" s="28" t="s">
        <v>234</v>
      </c>
    </row>
    <row r="116" ht="25.5">
      <c r="A116" s="28" t="s">
        <v>24</v>
      </c>
      <c r="B116" s="27" t="s">
        <v>235</v>
      </c>
      <c r="D116" s="28" t="s">
        <v>22</v>
      </c>
      <c r="E116" s="32">
        <v>2544</v>
      </c>
      <c r="F116" s="29">
        <f t="shared" si="8"/>
        <v>0</v>
      </c>
      <c r="G116" s="29">
        <v>0</v>
      </c>
      <c r="H116" s="30">
        <f t="shared" si="9"/>
        <v>0</v>
      </c>
      <c r="I116" s="28" t="s">
        <v>236</v>
      </c>
    </row>
    <row r="117" ht="25.5">
      <c r="A117" s="28" t="s">
        <v>42</v>
      </c>
      <c r="B117" s="27" t="s">
        <v>237</v>
      </c>
      <c r="D117" s="28" t="s">
        <v>22</v>
      </c>
      <c r="E117" s="32">
        <v>2544</v>
      </c>
      <c r="F117" s="29">
        <f t="shared" si="8"/>
        <v>0</v>
      </c>
      <c r="G117" s="29">
        <v>0</v>
      </c>
      <c r="H117" s="30">
        <f t="shared" si="9"/>
        <v>0</v>
      </c>
      <c r="I117" s="28" t="s">
        <v>238</v>
      </c>
    </row>
    <row r="118" ht="25.5">
      <c r="A118" s="28" t="s">
        <v>69</v>
      </c>
      <c r="B118" s="27" t="s">
        <v>239</v>
      </c>
      <c r="D118" s="28" t="s">
        <v>22</v>
      </c>
      <c r="E118" s="32">
        <v>2332</v>
      </c>
      <c r="F118" s="29">
        <f t="shared" si="8"/>
        <v>0</v>
      </c>
      <c r="G118" s="29">
        <v>0</v>
      </c>
      <c r="H118" s="30">
        <f t="shared" si="9"/>
        <v>0</v>
      </c>
      <c r="I118" s="28" t="s">
        <v>240</v>
      </c>
    </row>
    <row r="119">
      <c r="A119" s="28"/>
      <c r="B119" s="41" t="s">
        <v>241</v>
      </c>
      <c r="D119" s="28"/>
      <c r="E119" s="28"/>
      <c r="F119" s="29">
        <f t="shared" si="8"/>
        <v>0</v>
      </c>
      <c r="G119" s="29">
        <v>0</v>
      </c>
      <c r="H119" s="30">
        <f t="shared" si="9"/>
        <v>0</v>
      </c>
      <c r="I119" s="28"/>
    </row>
    <row r="120" ht="38.25">
      <c r="A120" s="32">
        <v>508</v>
      </c>
      <c r="B120" s="27" t="s">
        <v>242</v>
      </c>
      <c r="D120" s="28" t="s">
        <v>22</v>
      </c>
      <c r="E120" s="32">
        <v>38790</v>
      </c>
      <c r="F120" s="29">
        <f t="shared" si="8"/>
        <v>0</v>
      </c>
      <c r="G120" s="29">
        <v>0</v>
      </c>
      <c r="H120" s="30">
        <f t="shared" si="9"/>
        <v>0</v>
      </c>
      <c r="I120" s="32" t="s">
        <v>243</v>
      </c>
    </row>
    <row r="121" ht="38.25">
      <c r="A121" s="32">
        <v>509</v>
      </c>
      <c r="B121" s="27" t="s">
        <v>244</v>
      </c>
      <c r="D121" s="28" t="s">
        <v>22</v>
      </c>
      <c r="E121" s="32">
        <v>81472</v>
      </c>
      <c r="F121" s="29">
        <f t="shared" si="8"/>
        <v>0</v>
      </c>
      <c r="G121" s="29">
        <v>0</v>
      </c>
      <c r="H121" s="30">
        <f t="shared" si="9"/>
        <v>0</v>
      </c>
      <c r="I121" s="32" t="s">
        <v>245</v>
      </c>
    </row>
    <row r="122" ht="38.25">
      <c r="A122" s="32">
        <v>510</v>
      </c>
      <c r="B122" s="27" t="s">
        <v>246</v>
      </c>
      <c r="D122" s="28" t="s">
        <v>22</v>
      </c>
      <c r="E122" s="32">
        <v>51162</v>
      </c>
      <c r="F122" s="29">
        <f t="shared" si="8"/>
        <v>0</v>
      </c>
      <c r="G122" s="29">
        <v>0</v>
      </c>
      <c r="H122" s="30">
        <f t="shared" si="9"/>
        <v>0</v>
      </c>
      <c r="I122" s="32" t="s">
        <v>247</v>
      </c>
    </row>
    <row r="123" ht="38.25">
      <c r="A123" s="32">
        <v>511</v>
      </c>
      <c r="B123" s="27" t="s">
        <v>248</v>
      </c>
      <c r="D123" s="28" t="s">
        <v>22</v>
      </c>
      <c r="E123" s="32">
        <v>47501</v>
      </c>
      <c r="F123" s="29">
        <f t="shared" si="8"/>
        <v>0</v>
      </c>
      <c r="G123" s="29">
        <v>0</v>
      </c>
      <c r="H123" s="30">
        <f t="shared" si="9"/>
        <v>0</v>
      </c>
      <c r="I123" s="32" t="s">
        <v>249</v>
      </c>
    </row>
    <row r="124" ht="38.25">
      <c r="A124" s="32">
        <v>512</v>
      </c>
      <c r="B124" s="27" t="s">
        <v>250</v>
      </c>
      <c r="D124" s="28" t="s">
        <v>22</v>
      </c>
      <c r="E124" s="32">
        <v>44093</v>
      </c>
      <c r="F124" s="29">
        <f t="shared" si="8"/>
        <v>0</v>
      </c>
      <c r="G124" s="29">
        <v>0</v>
      </c>
      <c r="H124" s="30">
        <f t="shared" si="9"/>
        <v>0</v>
      </c>
      <c r="I124" s="32" t="s">
        <v>251</v>
      </c>
    </row>
    <row r="125" ht="38.25">
      <c r="A125" s="32">
        <v>513</v>
      </c>
      <c r="B125" s="27" t="s">
        <v>252</v>
      </c>
      <c r="D125" s="28" t="s">
        <v>22</v>
      </c>
      <c r="E125" s="32">
        <v>53569</v>
      </c>
      <c r="F125" s="29">
        <f t="shared" si="8"/>
        <v>0</v>
      </c>
      <c r="G125" s="29">
        <v>0</v>
      </c>
      <c r="H125" s="30">
        <f t="shared" si="9"/>
        <v>0</v>
      </c>
      <c r="I125" s="32" t="s">
        <v>253</v>
      </c>
    </row>
    <row r="126" ht="38.25">
      <c r="A126" s="32">
        <v>514</v>
      </c>
      <c r="B126" s="27" t="s">
        <v>254</v>
      </c>
      <c r="D126" s="28" t="s">
        <v>22</v>
      </c>
      <c r="E126" s="32">
        <v>53228</v>
      </c>
      <c r="F126" s="29">
        <f t="shared" si="8"/>
        <v>0</v>
      </c>
      <c r="G126" s="29">
        <v>0</v>
      </c>
      <c r="H126" s="30">
        <f t="shared" si="9"/>
        <v>0</v>
      </c>
      <c r="I126" s="32" t="s">
        <v>255</v>
      </c>
    </row>
    <row r="127" ht="102">
      <c r="A127" s="32">
        <v>515</v>
      </c>
      <c r="B127" s="27" t="s">
        <v>256</v>
      </c>
      <c r="D127" s="28" t="s">
        <v>22</v>
      </c>
      <c r="E127" s="32">
        <v>5022</v>
      </c>
      <c r="F127" s="29">
        <f t="shared" si="8"/>
        <v>0</v>
      </c>
      <c r="G127" s="29">
        <v>0</v>
      </c>
      <c r="H127" s="30">
        <f t="shared" si="9"/>
        <v>0</v>
      </c>
      <c r="I127" s="32" t="s">
        <v>257</v>
      </c>
    </row>
    <row r="128" ht="76.5">
      <c r="A128" s="32">
        <v>516</v>
      </c>
      <c r="B128" s="27" t="s">
        <v>258</v>
      </c>
      <c r="D128" s="28" t="s">
        <v>22</v>
      </c>
      <c r="E128" s="32">
        <v>5697</v>
      </c>
      <c r="F128" s="29">
        <f t="shared" si="8"/>
        <v>0</v>
      </c>
      <c r="G128" s="29">
        <v>0</v>
      </c>
      <c r="H128" s="30">
        <f t="shared" si="9"/>
        <v>0</v>
      </c>
      <c r="I128" s="32" t="s">
        <v>259</v>
      </c>
    </row>
    <row r="129" ht="89.25">
      <c r="A129" s="32">
        <v>517</v>
      </c>
      <c r="B129" s="27" t="s">
        <v>260</v>
      </c>
      <c r="D129" s="28" t="s">
        <v>22</v>
      </c>
      <c r="E129" s="32">
        <v>5697</v>
      </c>
      <c r="F129" s="29">
        <f t="shared" si="8"/>
        <v>0</v>
      </c>
      <c r="G129" s="29">
        <v>0</v>
      </c>
      <c r="H129" s="30">
        <f t="shared" si="9"/>
        <v>0</v>
      </c>
      <c r="I129" s="32" t="s">
        <v>261</v>
      </c>
    </row>
    <row r="130">
      <c r="A130" s="32"/>
      <c r="B130" s="32"/>
      <c r="C130" s="32"/>
      <c r="D130" s="32"/>
      <c r="E130" s="32"/>
      <c r="F130" s="32"/>
      <c r="G130" s="32"/>
      <c r="H130" s="32"/>
    </row>
    <row r="131" ht="24.75" customHeight="1">
      <c r="B131" s="24" t="s">
        <v>262</v>
      </c>
      <c r="C131" s="24"/>
      <c r="D131" s="24"/>
      <c r="E131" s="24"/>
      <c r="F131" s="24"/>
      <c r="G131" s="24"/>
      <c r="H131" s="24"/>
    </row>
    <row r="132" ht="89.25">
      <c r="A132" s="32">
        <v>601</v>
      </c>
      <c r="B132" s="27" t="s">
        <v>263</v>
      </c>
      <c r="C132" s="28"/>
      <c r="D132" s="28"/>
      <c r="E132" s="28"/>
      <c r="F132" s="28"/>
      <c r="G132" s="28"/>
      <c r="H132" s="28"/>
      <c r="I132" s="32" t="s">
        <v>264</v>
      </c>
    </row>
    <row r="133" ht="25.5">
      <c r="A133" s="28" t="s">
        <v>20</v>
      </c>
      <c r="B133" s="27" t="s">
        <v>265</v>
      </c>
      <c r="D133" s="28" t="s">
        <v>22</v>
      </c>
      <c r="E133" s="32">
        <v>7474</v>
      </c>
      <c r="F133" s="29">
        <f t="shared" ref="F133:F154" si="10">C133*E133</f>
        <v>0</v>
      </c>
      <c r="G133" s="29">
        <v>0</v>
      </c>
      <c r="H133" s="30">
        <f t="shared" ref="H133:H154" si="11">SUM(F133:G133)</f>
        <v>0</v>
      </c>
      <c r="I133" s="28" t="s">
        <v>266</v>
      </c>
    </row>
    <row r="134" ht="25.5">
      <c r="A134" s="28" t="s">
        <v>24</v>
      </c>
      <c r="B134" s="27" t="s">
        <v>267</v>
      </c>
      <c r="D134" s="28" t="s">
        <v>22</v>
      </c>
      <c r="E134" s="32">
        <v>14847</v>
      </c>
      <c r="F134" s="29">
        <f t="shared" si="10"/>
        <v>0</v>
      </c>
      <c r="G134" s="29">
        <v>0</v>
      </c>
      <c r="H134" s="30">
        <f t="shared" si="11"/>
        <v>0</v>
      </c>
      <c r="I134" s="28" t="s">
        <v>268</v>
      </c>
    </row>
    <row r="135" ht="25.5">
      <c r="A135" s="28" t="s">
        <v>42</v>
      </c>
      <c r="B135" s="27" t="s">
        <v>269</v>
      </c>
      <c r="D135" s="28" t="s">
        <v>22</v>
      </c>
      <c r="E135" s="32">
        <v>27712</v>
      </c>
      <c r="F135" s="29">
        <f t="shared" si="10"/>
        <v>0</v>
      </c>
      <c r="G135" s="29">
        <v>0</v>
      </c>
      <c r="H135" s="30">
        <f t="shared" si="11"/>
        <v>0</v>
      </c>
      <c r="I135" s="28" t="s">
        <v>270</v>
      </c>
    </row>
    <row r="136" ht="140.25">
      <c r="A136" s="32">
        <v>602</v>
      </c>
      <c r="B136" s="27" t="s">
        <v>271</v>
      </c>
      <c r="D136" s="28" t="s">
        <v>22</v>
      </c>
      <c r="E136" s="32">
        <v>7585</v>
      </c>
      <c r="F136" s="29">
        <f t="shared" si="10"/>
        <v>0</v>
      </c>
      <c r="G136" s="29">
        <v>0</v>
      </c>
      <c r="H136" s="30">
        <f t="shared" si="11"/>
        <v>0</v>
      </c>
      <c r="I136" s="32" t="s">
        <v>272</v>
      </c>
    </row>
    <row r="137" ht="25.5">
      <c r="A137" s="32">
        <v>603</v>
      </c>
      <c r="B137" s="27" t="s">
        <v>273</v>
      </c>
      <c r="D137" s="28"/>
      <c r="E137" s="28"/>
      <c r="F137" s="29">
        <f t="shared" si="10"/>
        <v>0</v>
      </c>
      <c r="G137" s="29">
        <v>0</v>
      </c>
      <c r="H137" s="30">
        <f t="shared" si="11"/>
        <v>0</v>
      </c>
      <c r="I137" s="32" t="s">
        <v>274</v>
      </c>
    </row>
    <row r="138" ht="63.75">
      <c r="A138" s="28" t="s">
        <v>20</v>
      </c>
      <c r="B138" s="27" t="s">
        <v>275</v>
      </c>
      <c r="D138" s="28" t="s">
        <v>22</v>
      </c>
      <c r="E138" s="32">
        <v>97</v>
      </c>
      <c r="F138" s="29">
        <f t="shared" si="10"/>
        <v>0</v>
      </c>
      <c r="G138" s="29">
        <v>0</v>
      </c>
      <c r="H138" s="30">
        <f t="shared" si="11"/>
        <v>0</v>
      </c>
      <c r="I138" s="28" t="s">
        <v>276</v>
      </c>
    </row>
    <row r="139" ht="63.75">
      <c r="A139" s="28" t="s">
        <v>24</v>
      </c>
      <c r="B139" s="27" t="s">
        <v>277</v>
      </c>
      <c r="D139" s="28" t="s">
        <v>22</v>
      </c>
      <c r="E139" s="32">
        <v>406</v>
      </c>
      <c r="F139" s="29">
        <f t="shared" si="10"/>
        <v>0</v>
      </c>
      <c r="G139" s="29">
        <v>0</v>
      </c>
      <c r="H139" s="30">
        <f t="shared" si="11"/>
        <v>0</v>
      </c>
      <c r="I139" s="28" t="s">
        <v>278</v>
      </c>
    </row>
    <row r="140" ht="186" customHeight="1">
      <c r="A140" s="28" t="s">
        <v>42</v>
      </c>
      <c r="B140" s="27" t="s">
        <v>279</v>
      </c>
      <c r="D140" s="28" t="s">
        <v>30</v>
      </c>
      <c r="E140" s="32">
        <v>703</v>
      </c>
      <c r="F140" s="29">
        <f t="shared" si="10"/>
        <v>0</v>
      </c>
      <c r="G140" s="29">
        <v>0</v>
      </c>
      <c r="H140" s="30">
        <f t="shared" si="11"/>
        <v>0</v>
      </c>
      <c r="I140" s="28" t="s">
        <v>280</v>
      </c>
    </row>
    <row r="141" ht="25.5">
      <c r="A141" s="32">
        <v>604</v>
      </c>
      <c r="B141" s="27" t="s">
        <v>281</v>
      </c>
      <c r="D141" s="28" t="s">
        <v>30</v>
      </c>
      <c r="E141" s="32">
        <v>64</v>
      </c>
      <c r="F141" s="29">
        <f t="shared" si="10"/>
        <v>0</v>
      </c>
      <c r="G141" s="29">
        <v>0</v>
      </c>
      <c r="H141" s="30">
        <f t="shared" si="11"/>
        <v>0</v>
      </c>
      <c r="I141" s="28" t="s">
        <v>282</v>
      </c>
    </row>
    <row r="142" ht="51">
      <c r="A142" s="32">
        <v>605</v>
      </c>
      <c r="B142" s="27" t="s">
        <v>283</v>
      </c>
      <c r="D142" s="28"/>
      <c r="E142" s="28"/>
      <c r="F142" s="29">
        <f t="shared" si="10"/>
        <v>0</v>
      </c>
      <c r="G142" s="29">
        <v>0</v>
      </c>
      <c r="H142" s="30">
        <f t="shared" si="11"/>
        <v>0</v>
      </c>
      <c r="I142" s="28" t="s">
        <v>284</v>
      </c>
    </row>
    <row r="143" ht="25.5">
      <c r="A143" s="28" t="s">
        <v>20</v>
      </c>
      <c r="B143" s="27" t="s">
        <v>285</v>
      </c>
      <c r="D143" s="28" t="s">
        <v>22</v>
      </c>
      <c r="E143" s="32">
        <v>220</v>
      </c>
      <c r="F143" s="29">
        <f t="shared" si="10"/>
        <v>0</v>
      </c>
      <c r="G143" s="29">
        <v>0</v>
      </c>
      <c r="H143" s="30">
        <f t="shared" si="11"/>
        <v>0</v>
      </c>
      <c r="I143" s="28" t="s">
        <v>286</v>
      </c>
    </row>
    <row r="144" ht="25.5">
      <c r="A144" s="28" t="s">
        <v>24</v>
      </c>
      <c r="B144" s="27" t="s">
        <v>287</v>
      </c>
      <c r="D144" s="28" t="s">
        <v>22</v>
      </c>
      <c r="E144" s="32">
        <v>31</v>
      </c>
      <c r="F144" s="29">
        <f t="shared" si="10"/>
        <v>0</v>
      </c>
      <c r="G144" s="29">
        <v>0</v>
      </c>
      <c r="H144" s="30">
        <f t="shared" si="11"/>
        <v>0</v>
      </c>
      <c r="I144" s="28" t="s">
        <v>288</v>
      </c>
    </row>
    <row r="145" ht="51">
      <c r="A145" s="32">
        <v>606</v>
      </c>
      <c r="B145" s="27" t="s">
        <v>289</v>
      </c>
      <c r="D145" s="28" t="s">
        <v>30</v>
      </c>
      <c r="E145" s="32">
        <v>46656</v>
      </c>
      <c r="F145" s="29">
        <f t="shared" si="10"/>
        <v>0</v>
      </c>
      <c r="G145" s="29">
        <v>0</v>
      </c>
      <c r="H145" s="30">
        <f t="shared" si="11"/>
        <v>0</v>
      </c>
      <c r="I145" s="32" t="s">
        <v>290</v>
      </c>
    </row>
    <row r="146">
      <c r="A146" s="33"/>
      <c r="B146" s="33"/>
      <c r="D146" s="32"/>
      <c r="E146" s="32"/>
      <c r="F146" s="29">
        <f t="shared" si="10"/>
        <v>0</v>
      </c>
      <c r="G146" s="29">
        <v>0</v>
      </c>
      <c r="H146" s="30">
        <f t="shared" si="11"/>
        <v>0</v>
      </c>
      <c r="I146" s="33"/>
    </row>
    <row r="147" ht="12.75" customHeight="1">
      <c r="B147" s="36" t="s">
        <v>291</v>
      </c>
      <c r="D147" s="28"/>
      <c r="E147" s="28"/>
      <c r="F147" s="29">
        <f t="shared" si="10"/>
        <v>0</v>
      </c>
      <c r="G147" s="29">
        <v>0</v>
      </c>
      <c r="H147" s="30">
        <f t="shared" si="11"/>
        <v>0</v>
      </c>
      <c r="I147" s="36"/>
    </row>
    <row r="148" ht="38.25">
      <c r="A148" s="32">
        <v>701</v>
      </c>
      <c r="B148" s="27" t="s">
        <v>292</v>
      </c>
      <c r="D148" s="28" t="s">
        <v>293</v>
      </c>
      <c r="E148" s="32">
        <v>191009</v>
      </c>
      <c r="F148" s="29">
        <f t="shared" si="10"/>
        <v>0</v>
      </c>
      <c r="G148" s="29">
        <v>0</v>
      </c>
      <c r="H148" s="30">
        <f t="shared" si="11"/>
        <v>0</v>
      </c>
      <c r="I148" s="32" t="s">
        <v>294</v>
      </c>
    </row>
    <row r="149" ht="25.5">
      <c r="A149" s="32">
        <v>702</v>
      </c>
      <c r="B149" s="27" t="s">
        <v>295</v>
      </c>
      <c r="D149" s="28"/>
      <c r="E149" s="28"/>
      <c r="F149" s="29">
        <f t="shared" si="10"/>
        <v>0</v>
      </c>
      <c r="G149" s="29">
        <v>0</v>
      </c>
      <c r="H149" s="30">
        <f t="shared" si="11"/>
        <v>0</v>
      </c>
      <c r="I149" s="32" t="s">
        <v>296</v>
      </c>
    </row>
    <row r="150" ht="63.75">
      <c r="A150" s="28" t="s">
        <v>20</v>
      </c>
      <c r="B150" s="27" t="s">
        <v>297</v>
      </c>
      <c r="D150" s="28" t="s">
        <v>298</v>
      </c>
      <c r="E150" s="32">
        <v>1153</v>
      </c>
      <c r="F150" s="29">
        <f t="shared" si="10"/>
        <v>0</v>
      </c>
      <c r="G150" s="29">
        <v>0</v>
      </c>
      <c r="H150" s="30">
        <f t="shared" si="11"/>
        <v>0</v>
      </c>
      <c r="I150" s="28" t="s">
        <v>299</v>
      </c>
    </row>
    <row r="151" ht="63.75">
      <c r="A151" s="28" t="s">
        <v>24</v>
      </c>
      <c r="B151" s="27" t="s">
        <v>300</v>
      </c>
      <c r="D151" s="28" t="s">
        <v>298</v>
      </c>
      <c r="E151" s="32">
        <v>2908</v>
      </c>
      <c r="F151" s="29">
        <f t="shared" si="10"/>
        <v>0</v>
      </c>
      <c r="G151" s="29">
        <v>0</v>
      </c>
      <c r="H151" s="30">
        <f t="shared" si="11"/>
        <v>0</v>
      </c>
      <c r="I151" s="28" t="s">
        <v>301</v>
      </c>
    </row>
    <row r="152" ht="76.5">
      <c r="A152" s="28" t="s">
        <v>42</v>
      </c>
      <c r="B152" s="27" t="s">
        <v>302</v>
      </c>
      <c r="D152" s="28" t="s">
        <v>159</v>
      </c>
      <c r="E152" s="32">
        <v>391</v>
      </c>
      <c r="F152" s="29">
        <f t="shared" si="10"/>
        <v>0</v>
      </c>
      <c r="G152" s="29">
        <v>0</v>
      </c>
      <c r="H152" s="30">
        <f t="shared" si="11"/>
        <v>0</v>
      </c>
      <c r="I152" s="28" t="s">
        <v>303</v>
      </c>
    </row>
    <row r="153" ht="76.5">
      <c r="A153" s="28" t="s">
        <v>69</v>
      </c>
      <c r="B153" s="27" t="s">
        <v>304</v>
      </c>
      <c r="D153" s="28" t="s">
        <v>159</v>
      </c>
      <c r="E153" s="32">
        <v>178</v>
      </c>
      <c r="F153" s="29">
        <f t="shared" si="10"/>
        <v>0</v>
      </c>
      <c r="G153" s="29">
        <v>0</v>
      </c>
      <c r="H153" s="30">
        <f t="shared" si="11"/>
        <v>0</v>
      </c>
      <c r="I153" s="28" t="s">
        <v>305</v>
      </c>
    </row>
    <row r="154" ht="63.75">
      <c r="A154" s="28" t="s">
        <v>72</v>
      </c>
      <c r="B154" s="27" t="s">
        <v>306</v>
      </c>
      <c r="D154" s="28" t="s">
        <v>159</v>
      </c>
      <c r="E154" s="32">
        <v>124</v>
      </c>
      <c r="F154" s="29">
        <f t="shared" si="10"/>
        <v>0</v>
      </c>
      <c r="G154" s="29">
        <v>0</v>
      </c>
      <c r="H154" s="30">
        <f t="shared" si="11"/>
        <v>0</v>
      </c>
      <c r="I154" s="28" t="s">
        <v>307</v>
      </c>
    </row>
    <row r="155">
      <c r="A155" s="28"/>
      <c r="B155" s="28"/>
      <c r="C155" s="28"/>
      <c r="D155" s="28"/>
      <c r="E155" s="28"/>
      <c r="F155" s="28"/>
      <c r="G155" s="28"/>
      <c r="H155" s="28"/>
      <c r="I155" s="28"/>
    </row>
    <row r="156">
      <c r="A156" s="34" t="s">
        <v>308</v>
      </c>
      <c r="B156" s="28"/>
      <c r="C156" s="28"/>
      <c r="D156" s="28"/>
      <c r="E156" s="28"/>
      <c r="F156" s="28"/>
      <c r="G156" s="28"/>
      <c r="H156" s="28"/>
      <c r="I156" s="28"/>
    </row>
    <row r="157" ht="25.5">
      <c r="A157" s="32">
        <v>801</v>
      </c>
      <c r="B157" s="27" t="s">
        <v>309</v>
      </c>
      <c r="C157" s="28"/>
      <c r="D157" s="28"/>
      <c r="E157" s="28"/>
      <c r="F157" s="28"/>
      <c r="G157" s="28"/>
      <c r="H157" s="28"/>
      <c r="I157" s="28" t="s">
        <v>310</v>
      </c>
    </row>
    <row r="158" ht="38.25">
      <c r="A158" s="28" t="s">
        <v>20</v>
      </c>
      <c r="B158" s="27" t="s">
        <v>311</v>
      </c>
      <c r="D158" s="28" t="s">
        <v>22</v>
      </c>
      <c r="E158" s="32">
        <v>110464</v>
      </c>
      <c r="F158" s="29">
        <f t="shared" ref="F158:F221" si="12">C158*E158</f>
        <v>0</v>
      </c>
      <c r="G158" s="29">
        <v>0</v>
      </c>
      <c r="H158" s="30">
        <f t="shared" ref="H158:H221" si="13">SUM(F158:G158)</f>
        <v>0</v>
      </c>
      <c r="I158" s="28" t="s">
        <v>312</v>
      </c>
    </row>
    <row r="159" ht="25.5">
      <c r="A159" s="28" t="s">
        <v>24</v>
      </c>
      <c r="B159" s="27" t="s">
        <v>313</v>
      </c>
      <c r="D159" s="28" t="s">
        <v>22</v>
      </c>
      <c r="E159" s="32">
        <v>55373</v>
      </c>
      <c r="F159" s="29">
        <f t="shared" si="12"/>
        <v>0</v>
      </c>
      <c r="G159" s="29">
        <v>0</v>
      </c>
      <c r="H159" s="30">
        <f t="shared" si="13"/>
        <v>0</v>
      </c>
      <c r="I159" s="28" t="s">
        <v>314</v>
      </c>
    </row>
    <row r="160" ht="25.5">
      <c r="A160" s="28" t="s">
        <v>42</v>
      </c>
      <c r="B160" s="27" t="s">
        <v>315</v>
      </c>
      <c r="D160" s="28" t="s">
        <v>22</v>
      </c>
      <c r="E160" s="32">
        <v>34433</v>
      </c>
      <c r="F160" s="29">
        <f t="shared" si="12"/>
        <v>0</v>
      </c>
      <c r="G160" s="29">
        <v>0</v>
      </c>
      <c r="H160" s="30">
        <f t="shared" si="13"/>
        <v>0</v>
      </c>
      <c r="I160" s="28" t="s">
        <v>316</v>
      </c>
    </row>
    <row r="161" ht="25.5">
      <c r="A161" s="32">
        <v>802</v>
      </c>
      <c r="B161" s="27" t="s">
        <v>317</v>
      </c>
      <c r="D161" s="28"/>
      <c r="E161" s="28"/>
      <c r="F161" s="29">
        <f t="shared" si="12"/>
        <v>0</v>
      </c>
      <c r="G161" s="29">
        <v>0</v>
      </c>
      <c r="H161" s="30">
        <f t="shared" si="13"/>
        <v>0</v>
      </c>
      <c r="I161" s="28" t="s">
        <v>318</v>
      </c>
    </row>
    <row r="162" ht="25.5">
      <c r="A162" s="28" t="s">
        <v>20</v>
      </c>
      <c r="B162" s="27" t="s">
        <v>319</v>
      </c>
      <c r="D162" s="28" t="s">
        <v>22</v>
      </c>
      <c r="E162" s="32">
        <v>19470</v>
      </c>
      <c r="F162" s="29">
        <f t="shared" si="12"/>
        <v>0</v>
      </c>
      <c r="G162" s="29">
        <v>0</v>
      </c>
      <c r="H162" s="30">
        <f t="shared" si="13"/>
        <v>0</v>
      </c>
      <c r="I162" s="28" t="s">
        <v>320</v>
      </c>
    </row>
    <row r="163" ht="25.5">
      <c r="A163" s="28" t="s">
        <v>24</v>
      </c>
      <c r="B163" s="27" t="s">
        <v>321</v>
      </c>
      <c r="D163" s="28" t="s">
        <v>22</v>
      </c>
      <c r="E163" s="32">
        <v>25960</v>
      </c>
      <c r="F163" s="29">
        <f t="shared" si="12"/>
        <v>0</v>
      </c>
      <c r="G163" s="29">
        <v>0</v>
      </c>
      <c r="H163" s="30">
        <f t="shared" si="13"/>
        <v>0</v>
      </c>
      <c r="I163" s="28" t="s">
        <v>322</v>
      </c>
    </row>
    <row r="164" ht="25.5">
      <c r="A164" s="32">
        <v>803</v>
      </c>
      <c r="B164" s="27" t="s">
        <v>323</v>
      </c>
      <c r="D164" s="28" t="s">
        <v>22</v>
      </c>
      <c r="E164" s="32">
        <v>500</v>
      </c>
      <c r="F164" s="29">
        <f t="shared" si="12"/>
        <v>0</v>
      </c>
      <c r="G164" s="29">
        <v>0</v>
      </c>
      <c r="H164" s="30">
        <f t="shared" si="13"/>
        <v>0</v>
      </c>
      <c r="I164" s="28" t="s">
        <v>324</v>
      </c>
    </row>
    <row r="165" ht="76.5">
      <c r="A165" s="32">
        <v>804</v>
      </c>
      <c r="B165" s="27" t="s">
        <v>325</v>
      </c>
      <c r="D165" s="28"/>
      <c r="E165" s="28"/>
      <c r="F165" s="29">
        <f t="shared" si="12"/>
        <v>0</v>
      </c>
      <c r="G165" s="29">
        <v>0</v>
      </c>
      <c r="H165" s="30">
        <f t="shared" si="13"/>
        <v>0</v>
      </c>
      <c r="I165" s="28" t="s">
        <v>326</v>
      </c>
    </row>
    <row r="166" ht="25.5">
      <c r="A166" s="28" t="s">
        <v>20</v>
      </c>
      <c r="B166" s="27" t="s">
        <v>327</v>
      </c>
      <c r="D166" s="28" t="s">
        <v>22</v>
      </c>
      <c r="E166" s="32">
        <v>78179</v>
      </c>
      <c r="F166" s="29">
        <f t="shared" si="12"/>
        <v>0</v>
      </c>
      <c r="G166" s="29">
        <v>0</v>
      </c>
      <c r="H166" s="30">
        <f t="shared" si="13"/>
        <v>0</v>
      </c>
      <c r="I166" s="28" t="s">
        <v>328</v>
      </c>
    </row>
    <row r="167" ht="25.5">
      <c r="A167" s="28" t="s">
        <v>24</v>
      </c>
      <c r="B167" s="27" t="s">
        <v>329</v>
      </c>
      <c r="D167" s="28" t="s">
        <v>22</v>
      </c>
      <c r="E167" s="32">
        <v>88000</v>
      </c>
      <c r="F167" s="29">
        <f t="shared" si="12"/>
        <v>0</v>
      </c>
      <c r="G167" s="29">
        <v>0</v>
      </c>
      <c r="H167" s="30">
        <f t="shared" si="13"/>
        <v>0</v>
      </c>
      <c r="I167" s="28" t="s">
        <v>330</v>
      </c>
    </row>
    <row r="168" ht="25.5">
      <c r="A168" s="28" t="s">
        <v>42</v>
      </c>
      <c r="B168" s="27" t="s">
        <v>331</v>
      </c>
      <c r="D168" s="28" t="s">
        <v>22</v>
      </c>
      <c r="E168" s="32">
        <v>190261</v>
      </c>
      <c r="F168" s="29">
        <f t="shared" si="12"/>
        <v>0</v>
      </c>
      <c r="G168" s="29">
        <v>0</v>
      </c>
      <c r="H168" s="30">
        <f t="shared" si="13"/>
        <v>0</v>
      </c>
      <c r="I168" s="28" t="s">
        <v>332</v>
      </c>
    </row>
    <row r="169" ht="127.5">
      <c r="A169" s="32">
        <v>805</v>
      </c>
      <c r="B169" s="27" t="s">
        <v>333</v>
      </c>
      <c r="D169" s="28" t="s">
        <v>22</v>
      </c>
      <c r="E169" s="32">
        <v>61666</v>
      </c>
      <c r="F169" s="29">
        <f t="shared" si="12"/>
        <v>0</v>
      </c>
      <c r="G169" s="29">
        <v>0</v>
      </c>
      <c r="H169" s="30">
        <f t="shared" si="13"/>
        <v>0</v>
      </c>
      <c r="I169" s="28" t="s">
        <v>334</v>
      </c>
    </row>
    <row r="170" ht="127.5">
      <c r="A170" s="32">
        <v>806</v>
      </c>
      <c r="B170" s="27" t="s">
        <v>335</v>
      </c>
      <c r="D170" s="28" t="s">
        <v>22</v>
      </c>
      <c r="E170" s="32">
        <v>227480</v>
      </c>
      <c r="F170" s="29">
        <f t="shared" si="12"/>
        <v>0</v>
      </c>
      <c r="G170" s="29">
        <v>0</v>
      </c>
      <c r="H170" s="30">
        <f t="shared" si="13"/>
        <v>0</v>
      </c>
      <c r="I170" s="28" t="s">
        <v>336</v>
      </c>
    </row>
    <row r="171">
      <c r="A171" s="32"/>
      <c r="B171" s="32"/>
      <c r="C171" s="32"/>
      <c r="D171" s="32"/>
      <c r="E171" s="32"/>
      <c r="F171" s="29">
        <f t="shared" si="12"/>
        <v>0</v>
      </c>
      <c r="G171" s="29">
        <v>0</v>
      </c>
      <c r="H171" s="30">
        <f t="shared" si="13"/>
        <v>0</v>
      </c>
    </row>
    <row r="172">
      <c r="A172" s="28" t="s">
        <v>337</v>
      </c>
      <c r="B172" s="28"/>
      <c r="C172" s="28"/>
      <c r="D172" s="28"/>
      <c r="E172" s="28"/>
      <c r="F172" s="29">
        <f t="shared" si="12"/>
        <v>0</v>
      </c>
      <c r="G172" s="29">
        <v>0</v>
      </c>
      <c r="H172" s="30">
        <f t="shared" si="13"/>
        <v>0</v>
      </c>
    </row>
    <row r="173" ht="242.25">
      <c r="A173" s="32">
        <v>901</v>
      </c>
      <c r="B173" s="27" t="s">
        <v>338</v>
      </c>
      <c r="C173" s="28"/>
      <c r="D173" s="17" t="s">
        <v>22</v>
      </c>
      <c r="E173" s="32">
        <v>173461</v>
      </c>
      <c r="F173" s="29">
        <f t="shared" si="12"/>
        <v>0</v>
      </c>
      <c r="G173" s="29">
        <v>0</v>
      </c>
      <c r="H173" s="30">
        <f t="shared" si="13"/>
        <v>0</v>
      </c>
      <c r="I173" s="32" t="s">
        <v>339</v>
      </c>
    </row>
    <row r="174" ht="242.25">
      <c r="A174" s="38">
        <v>902</v>
      </c>
      <c r="B174" s="27" t="s">
        <v>340</v>
      </c>
      <c r="C174" s="28"/>
      <c r="D174" s="17" t="s">
        <v>22</v>
      </c>
      <c r="E174" s="32">
        <v>197146</v>
      </c>
      <c r="F174" s="29">
        <f t="shared" si="12"/>
        <v>0</v>
      </c>
      <c r="G174" s="29">
        <v>0</v>
      </c>
      <c r="H174" s="30">
        <f t="shared" si="13"/>
        <v>0</v>
      </c>
      <c r="I174" s="32" t="s">
        <v>341</v>
      </c>
    </row>
    <row r="175" ht="25.5">
      <c r="A175" s="32">
        <v>903</v>
      </c>
      <c r="B175" s="27" t="s">
        <v>342</v>
      </c>
      <c r="C175" s="28"/>
      <c r="D175" s="17" t="s">
        <v>22</v>
      </c>
      <c r="E175" s="32">
        <v>694</v>
      </c>
      <c r="F175" s="29">
        <f t="shared" si="12"/>
        <v>0</v>
      </c>
      <c r="G175" s="29">
        <v>0</v>
      </c>
      <c r="H175" s="30">
        <f t="shared" si="13"/>
        <v>0</v>
      </c>
      <c r="I175" s="32" t="s">
        <v>343</v>
      </c>
    </row>
    <row r="176" ht="25.5">
      <c r="A176" s="32">
        <v>904</v>
      </c>
      <c r="B176" s="27" t="s">
        <v>344</v>
      </c>
      <c r="C176" s="28"/>
      <c r="D176" s="17" t="s">
        <v>22</v>
      </c>
      <c r="E176" s="32">
        <v>2333</v>
      </c>
      <c r="F176" s="29">
        <f t="shared" si="12"/>
        <v>0</v>
      </c>
      <c r="G176" s="29">
        <v>0</v>
      </c>
      <c r="H176" s="30">
        <f t="shared" si="13"/>
        <v>0</v>
      </c>
      <c r="I176" s="32" t="s">
        <v>345</v>
      </c>
    </row>
    <row r="177" ht="76.5">
      <c r="A177" s="32">
        <v>905</v>
      </c>
      <c r="B177" s="27" t="s">
        <v>346</v>
      </c>
      <c r="C177" s="28"/>
      <c r="E177" s="28"/>
      <c r="F177" s="29">
        <f t="shared" si="12"/>
        <v>0</v>
      </c>
      <c r="G177" s="29">
        <v>0</v>
      </c>
      <c r="H177" s="30">
        <f t="shared" si="13"/>
        <v>0</v>
      </c>
      <c r="I177" s="32" t="s">
        <v>347</v>
      </c>
    </row>
    <row r="178" ht="25.5">
      <c r="A178" s="28" t="s">
        <v>20</v>
      </c>
      <c r="B178" s="27" t="s">
        <v>348</v>
      </c>
      <c r="C178" s="28"/>
      <c r="D178" s="17" t="s">
        <v>30</v>
      </c>
      <c r="E178" s="32">
        <v>497388</v>
      </c>
      <c r="F178" s="29">
        <f t="shared" si="12"/>
        <v>0</v>
      </c>
      <c r="G178" s="29">
        <v>0</v>
      </c>
      <c r="H178" s="30">
        <f t="shared" si="13"/>
        <v>0</v>
      </c>
      <c r="I178" s="28" t="s">
        <v>349</v>
      </c>
    </row>
    <row r="179" ht="25.5">
      <c r="A179" s="28" t="s">
        <v>24</v>
      </c>
      <c r="B179" s="27" t="s">
        <v>350</v>
      </c>
      <c r="C179" s="28"/>
      <c r="D179" s="17" t="s">
        <v>30</v>
      </c>
      <c r="E179" s="32">
        <v>623709</v>
      </c>
      <c r="F179" s="29">
        <f t="shared" si="12"/>
        <v>0</v>
      </c>
      <c r="G179" s="29">
        <v>0</v>
      </c>
      <c r="H179" s="30">
        <f t="shared" si="13"/>
        <v>0</v>
      </c>
      <c r="I179" s="28" t="s">
        <v>351</v>
      </c>
    </row>
    <row r="180" ht="25.5">
      <c r="A180" s="28" t="s">
        <v>42</v>
      </c>
      <c r="B180" s="27" t="s">
        <v>352</v>
      </c>
      <c r="C180" s="28"/>
      <c r="D180" s="17" t="s">
        <v>30</v>
      </c>
      <c r="E180" s="32">
        <v>856680</v>
      </c>
      <c r="F180" s="29">
        <f t="shared" si="12"/>
        <v>0</v>
      </c>
      <c r="G180" s="29">
        <v>0</v>
      </c>
      <c r="H180" s="30">
        <f t="shared" si="13"/>
        <v>0</v>
      </c>
      <c r="I180" s="28" t="s">
        <v>353</v>
      </c>
    </row>
    <row r="181" ht="24.75" customHeight="1">
      <c r="A181" s="28" t="s">
        <v>69</v>
      </c>
      <c r="B181" s="27" t="s">
        <v>354</v>
      </c>
      <c r="C181" s="28"/>
      <c r="D181" s="17" t="s">
        <v>30</v>
      </c>
      <c r="E181" s="32">
        <v>1200650</v>
      </c>
      <c r="F181" s="29">
        <f t="shared" si="12"/>
        <v>0</v>
      </c>
      <c r="G181" s="29">
        <v>0</v>
      </c>
      <c r="H181" s="30">
        <f t="shared" si="13"/>
        <v>0</v>
      </c>
      <c r="I181" s="28" t="s">
        <v>355</v>
      </c>
    </row>
    <row r="182" ht="51">
      <c r="A182" s="32">
        <v>906</v>
      </c>
      <c r="B182" s="27" t="s">
        <v>356</v>
      </c>
      <c r="C182" s="28"/>
      <c r="D182" s="17" t="s">
        <v>22</v>
      </c>
      <c r="E182" s="32">
        <v>132521</v>
      </c>
      <c r="F182" s="29">
        <f t="shared" si="12"/>
        <v>0</v>
      </c>
      <c r="G182" s="29">
        <v>0</v>
      </c>
      <c r="H182" s="30">
        <f t="shared" si="13"/>
        <v>0</v>
      </c>
      <c r="I182" s="32" t="s">
        <v>357</v>
      </c>
    </row>
    <row r="183" ht="25.5">
      <c r="A183" s="32">
        <v>907</v>
      </c>
      <c r="B183" s="27" t="s">
        <v>358</v>
      </c>
      <c r="C183" s="28"/>
      <c r="E183" s="28"/>
      <c r="F183" s="29">
        <f t="shared" si="12"/>
        <v>0</v>
      </c>
      <c r="G183" s="29">
        <v>0</v>
      </c>
      <c r="H183" s="30">
        <f t="shared" si="13"/>
        <v>0</v>
      </c>
      <c r="I183" s="32" t="s">
        <v>359</v>
      </c>
    </row>
    <row r="184" ht="25.5">
      <c r="A184" s="28" t="s">
        <v>20</v>
      </c>
      <c r="B184" s="42" t="s">
        <v>360</v>
      </c>
      <c r="C184" s="28"/>
      <c r="D184" s="17" t="s">
        <v>22</v>
      </c>
      <c r="E184" s="32">
        <v>146008</v>
      </c>
      <c r="F184" s="29">
        <f t="shared" si="12"/>
        <v>0</v>
      </c>
      <c r="G184" s="29">
        <v>0</v>
      </c>
      <c r="H184" s="30">
        <f t="shared" si="13"/>
        <v>0</v>
      </c>
      <c r="I184" s="28" t="s">
        <v>361</v>
      </c>
    </row>
    <row r="185" ht="25.5">
      <c r="A185" s="28" t="s">
        <v>24</v>
      </c>
      <c r="B185" s="42" t="s">
        <v>362</v>
      </c>
      <c r="C185" s="28"/>
      <c r="D185" s="17" t="s">
        <v>22</v>
      </c>
      <c r="E185" s="32">
        <v>217980</v>
      </c>
      <c r="F185" s="29">
        <f t="shared" si="12"/>
        <v>0</v>
      </c>
      <c r="G185" s="29">
        <v>0</v>
      </c>
      <c r="H185" s="30">
        <f t="shared" si="13"/>
        <v>0</v>
      </c>
      <c r="I185" s="28" t="s">
        <v>363</v>
      </c>
    </row>
    <row r="186" ht="25.5">
      <c r="A186" s="28" t="s">
        <v>42</v>
      </c>
      <c r="B186" s="42" t="s">
        <v>364</v>
      </c>
      <c r="C186" s="28"/>
      <c r="D186" s="17" t="s">
        <v>22</v>
      </c>
      <c r="E186" s="32">
        <v>382594</v>
      </c>
      <c r="F186" s="29">
        <f t="shared" si="12"/>
        <v>0</v>
      </c>
      <c r="G186" s="29">
        <v>0</v>
      </c>
      <c r="H186" s="30">
        <f t="shared" si="13"/>
        <v>0</v>
      </c>
      <c r="I186" s="28" t="s">
        <v>365</v>
      </c>
    </row>
    <row r="187" ht="25.5">
      <c r="A187" s="32">
        <v>908</v>
      </c>
      <c r="B187" s="27" t="s">
        <v>366</v>
      </c>
      <c r="C187" s="28"/>
      <c r="E187" s="28"/>
      <c r="F187" s="29">
        <f t="shared" si="12"/>
        <v>0</v>
      </c>
      <c r="G187" s="29">
        <v>0</v>
      </c>
      <c r="H187" s="30">
        <f t="shared" si="13"/>
        <v>0</v>
      </c>
      <c r="I187" s="32" t="s">
        <v>367</v>
      </c>
    </row>
    <row r="188" ht="63.75">
      <c r="A188" s="28" t="s">
        <v>20</v>
      </c>
      <c r="B188" s="27" t="s">
        <v>368</v>
      </c>
      <c r="C188" s="28"/>
      <c r="D188" s="17" t="s">
        <v>22</v>
      </c>
      <c r="E188" s="32">
        <v>39150</v>
      </c>
      <c r="F188" s="29">
        <f t="shared" si="12"/>
        <v>0</v>
      </c>
      <c r="G188" s="29">
        <v>0</v>
      </c>
      <c r="H188" s="30">
        <f t="shared" si="13"/>
        <v>0</v>
      </c>
      <c r="I188" s="28" t="s">
        <v>369</v>
      </c>
    </row>
    <row r="189" ht="25.5">
      <c r="A189" s="28" t="s">
        <v>24</v>
      </c>
      <c r="B189" s="27" t="s">
        <v>370</v>
      </c>
      <c r="C189" s="28"/>
      <c r="D189" s="17" t="s">
        <v>22</v>
      </c>
      <c r="E189" s="32">
        <v>32673</v>
      </c>
      <c r="F189" s="29">
        <f t="shared" si="12"/>
        <v>0</v>
      </c>
      <c r="G189" s="29">
        <v>0</v>
      </c>
      <c r="H189" s="30">
        <f t="shared" si="13"/>
        <v>0</v>
      </c>
      <c r="I189" s="28" t="s">
        <v>371</v>
      </c>
    </row>
    <row r="190" ht="25.5">
      <c r="A190" s="28" t="s">
        <v>42</v>
      </c>
      <c r="B190" s="27" t="s">
        <v>372</v>
      </c>
      <c r="C190" s="28"/>
      <c r="D190" s="17" t="s">
        <v>22</v>
      </c>
      <c r="E190" s="32">
        <v>50365</v>
      </c>
      <c r="F190" s="29">
        <f t="shared" si="12"/>
        <v>0</v>
      </c>
      <c r="G190" s="29">
        <v>0</v>
      </c>
      <c r="H190" s="30">
        <f t="shared" si="13"/>
        <v>0</v>
      </c>
      <c r="I190" s="28" t="s">
        <v>373</v>
      </c>
    </row>
    <row r="191" ht="25.5">
      <c r="A191" s="28" t="s">
        <v>69</v>
      </c>
      <c r="B191" s="27" t="s">
        <v>374</v>
      </c>
      <c r="C191" s="28"/>
      <c r="D191" s="17" t="s">
        <v>375</v>
      </c>
      <c r="E191" s="32">
        <v>53172</v>
      </c>
      <c r="F191" s="29">
        <f t="shared" si="12"/>
        <v>0</v>
      </c>
      <c r="G191" s="29">
        <v>0</v>
      </c>
      <c r="H191" s="30">
        <f t="shared" si="13"/>
        <v>0</v>
      </c>
      <c r="I191" s="28" t="s">
        <v>376</v>
      </c>
    </row>
    <row r="192" ht="25.5">
      <c r="A192" s="32">
        <v>909</v>
      </c>
      <c r="B192" s="27" t="s">
        <v>377</v>
      </c>
      <c r="C192" s="28"/>
      <c r="E192" s="28"/>
      <c r="F192" s="29">
        <f t="shared" si="12"/>
        <v>0</v>
      </c>
      <c r="G192" s="29">
        <v>0</v>
      </c>
      <c r="H192" s="30">
        <f t="shared" si="13"/>
        <v>0</v>
      </c>
      <c r="I192" s="32" t="s">
        <v>378</v>
      </c>
    </row>
    <row r="193" ht="25.5">
      <c r="A193" s="28" t="s">
        <v>20</v>
      </c>
      <c r="B193" s="27" t="s">
        <v>379</v>
      </c>
      <c r="C193" s="28"/>
      <c r="D193" s="17" t="s">
        <v>22</v>
      </c>
      <c r="E193" s="32">
        <v>34121</v>
      </c>
      <c r="F193" s="29">
        <f t="shared" si="12"/>
        <v>0</v>
      </c>
      <c r="G193" s="29">
        <v>0</v>
      </c>
      <c r="H193" s="30">
        <f t="shared" si="13"/>
        <v>0</v>
      </c>
      <c r="I193" s="28" t="s">
        <v>380</v>
      </c>
    </row>
    <row r="194" ht="25.5">
      <c r="A194" s="28" t="s">
        <v>24</v>
      </c>
      <c r="B194" s="27" t="s">
        <v>381</v>
      </c>
      <c r="C194" s="28"/>
      <c r="D194" s="17" t="s">
        <v>22</v>
      </c>
      <c r="E194" s="32">
        <v>65280</v>
      </c>
      <c r="F194" s="29">
        <f t="shared" si="12"/>
        <v>0</v>
      </c>
      <c r="G194" s="29">
        <v>0</v>
      </c>
      <c r="H194" s="30">
        <f t="shared" si="13"/>
        <v>0</v>
      </c>
      <c r="I194" s="28" t="s">
        <v>382</v>
      </c>
    </row>
    <row r="195" ht="25.5">
      <c r="A195" s="28" t="s">
        <v>42</v>
      </c>
      <c r="B195" s="27" t="s">
        <v>383</v>
      </c>
      <c r="C195" s="28"/>
      <c r="D195" s="17" t="s">
        <v>22</v>
      </c>
      <c r="E195" s="32">
        <v>7268</v>
      </c>
      <c r="F195" s="29">
        <f t="shared" si="12"/>
        <v>0</v>
      </c>
      <c r="G195" s="29">
        <v>0</v>
      </c>
      <c r="H195" s="30">
        <f t="shared" si="13"/>
        <v>0</v>
      </c>
      <c r="I195" s="28" t="s">
        <v>384</v>
      </c>
    </row>
    <row r="196" ht="38.25">
      <c r="A196" s="43" t="s">
        <v>69</v>
      </c>
      <c r="B196" s="27" t="s">
        <v>385</v>
      </c>
      <c r="C196" s="28"/>
      <c r="D196" s="17" t="s">
        <v>22</v>
      </c>
      <c r="E196" s="32">
        <v>1439</v>
      </c>
      <c r="F196" s="29">
        <f t="shared" si="12"/>
        <v>0</v>
      </c>
      <c r="G196" s="29">
        <v>0</v>
      </c>
      <c r="H196" s="30">
        <f t="shared" si="13"/>
        <v>0</v>
      </c>
      <c r="I196" s="28" t="s">
        <v>386</v>
      </c>
    </row>
    <row r="197" ht="25.5">
      <c r="A197" s="28" t="s">
        <v>72</v>
      </c>
      <c r="B197" s="27" t="s">
        <v>387</v>
      </c>
      <c r="C197" s="28"/>
      <c r="E197" s="44">
        <v>80183</v>
      </c>
      <c r="F197" s="29">
        <f t="shared" si="12"/>
        <v>0</v>
      </c>
      <c r="G197" s="29">
        <v>0</v>
      </c>
      <c r="H197" s="30">
        <f t="shared" si="13"/>
        <v>0</v>
      </c>
      <c r="I197" s="28" t="s">
        <v>388</v>
      </c>
    </row>
    <row r="198" ht="25.5">
      <c r="A198" s="28" t="s">
        <v>75</v>
      </c>
      <c r="B198" s="27" t="s">
        <v>389</v>
      </c>
      <c r="C198" s="28"/>
      <c r="D198" s="17" t="s">
        <v>22</v>
      </c>
      <c r="E198" s="32">
        <v>17199</v>
      </c>
      <c r="F198" s="29">
        <f t="shared" si="12"/>
        <v>0</v>
      </c>
      <c r="G198" s="29">
        <v>0</v>
      </c>
      <c r="H198" s="30">
        <f t="shared" si="13"/>
        <v>0</v>
      </c>
      <c r="I198" s="28" t="s">
        <v>390</v>
      </c>
    </row>
    <row r="199" ht="25.5">
      <c r="A199" s="28" t="s">
        <v>204</v>
      </c>
      <c r="B199" s="27" t="s">
        <v>391</v>
      </c>
      <c r="C199" s="28"/>
      <c r="D199" s="17" t="s">
        <v>22</v>
      </c>
      <c r="E199" s="32">
        <v>49373</v>
      </c>
      <c r="F199" s="29">
        <f t="shared" si="12"/>
        <v>0</v>
      </c>
      <c r="G199" s="29">
        <v>0</v>
      </c>
      <c r="H199" s="30">
        <f t="shared" si="13"/>
        <v>0</v>
      </c>
      <c r="I199" s="28" t="s">
        <v>392</v>
      </c>
    </row>
    <row r="200" ht="25.5">
      <c r="A200" s="32">
        <v>910</v>
      </c>
      <c r="B200" s="27" t="s">
        <v>393</v>
      </c>
      <c r="C200" s="28"/>
      <c r="D200" s="17" t="s">
        <v>22</v>
      </c>
      <c r="E200" s="32">
        <v>13177</v>
      </c>
      <c r="F200" s="29">
        <f t="shared" si="12"/>
        <v>0</v>
      </c>
      <c r="G200" s="29">
        <v>0</v>
      </c>
      <c r="H200" s="30">
        <f t="shared" si="13"/>
        <v>0</v>
      </c>
      <c r="I200" s="32" t="s">
        <v>394</v>
      </c>
    </row>
    <row r="201" ht="63.75">
      <c r="A201" s="32">
        <v>911</v>
      </c>
      <c r="B201" s="27" t="s">
        <v>395</v>
      </c>
      <c r="C201" s="28"/>
      <c r="D201" s="17" t="s">
        <v>22</v>
      </c>
      <c r="E201" s="32">
        <v>66716</v>
      </c>
      <c r="F201" s="29">
        <f t="shared" si="12"/>
        <v>0</v>
      </c>
      <c r="G201" s="29">
        <v>0</v>
      </c>
      <c r="H201" s="30">
        <f t="shared" si="13"/>
        <v>0</v>
      </c>
      <c r="I201" s="32" t="s">
        <v>396</v>
      </c>
    </row>
    <row r="202" ht="25.5">
      <c r="A202" s="32">
        <v>912</v>
      </c>
      <c r="B202" s="27" t="s">
        <v>397</v>
      </c>
      <c r="C202" s="28"/>
      <c r="D202" s="28" t="s">
        <v>398</v>
      </c>
      <c r="E202" s="32">
        <v>69582</v>
      </c>
      <c r="F202" s="29">
        <f t="shared" si="12"/>
        <v>0</v>
      </c>
      <c r="G202" s="29">
        <v>0</v>
      </c>
      <c r="H202" s="30">
        <f t="shared" si="13"/>
        <v>0</v>
      </c>
      <c r="I202" s="32" t="s">
        <v>399</v>
      </c>
    </row>
    <row r="203">
      <c r="A203" s="32"/>
      <c r="B203" s="32"/>
      <c r="C203" s="32"/>
      <c r="D203" s="32"/>
      <c r="E203" s="32"/>
      <c r="F203" s="29">
        <f t="shared" si="12"/>
        <v>0</v>
      </c>
      <c r="G203" s="29">
        <v>0</v>
      </c>
      <c r="H203" s="30">
        <f t="shared" si="13"/>
        <v>0</v>
      </c>
    </row>
    <row r="204">
      <c r="A204" s="34" t="s">
        <v>400</v>
      </c>
      <c r="B204" s="34"/>
      <c r="C204" s="34"/>
      <c r="D204" s="34"/>
      <c r="E204" s="34"/>
      <c r="F204" s="29">
        <f t="shared" si="12"/>
        <v>0</v>
      </c>
      <c r="G204" s="29">
        <v>0</v>
      </c>
      <c r="H204" s="30">
        <f t="shared" si="13"/>
        <v>0</v>
      </c>
    </row>
    <row r="205" ht="51">
      <c r="A205" s="32">
        <v>1001</v>
      </c>
      <c r="B205" s="27" t="s">
        <v>401</v>
      </c>
      <c r="D205" s="28" t="s">
        <v>22</v>
      </c>
      <c r="E205" s="32">
        <v>3715</v>
      </c>
      <c r="F205" s="29">
        <f t="shared" si="12"/>
        <v>0</v>
      </c>
      <c r="G205" s="29">
        <v>0</v>
      </c>
      <c r="H205" s="30">
        <f t="shared" si="13"/>
        <v>0</v>
      </c>
      <c r="I205" s="32" t="s">
        <v>402</v>
      </c>
    </row>
    <row r="206" ht="25.5">
      <c r="A206" s="32">
        <v>1002</v>
      </c>
      <c r="B206" s="27" t="s">
        <v>403</v>
      </c>
      <c r="D206" s="28"/>
      <c r="E206" s="28"/>
      <c r="F206" s="29">
        <f t="shared" si="12"/>
        <v>0</v>
      </c>
      <c r="G206" s="29">
        <v>0</v>
      </c>
      <c r="H206" s="30">
        <f t="shared" si="13"/>
        <v>0</v>
      </c>
      <c r="I206" s="32" t="s">
        <v>404</v>
      </c>
    </row>
    <row r="207" ht="38.25">
      <c r="A207" s="28" t="s">
        <v>20</v>
      </c>
      <c r="B207" s="27" t="s">
        <v>405</v>
      </c>
      <c r="D207" s="28" t="s">
        <v>22</v>
      </c>
      <c r="E207" s="32">
        <v>4416</v>
      </c>
      <c r="F207" s="29">
        <f t="shared" si="12"/>
        <v>0</v>
      </c>
      <c r="G207" s="29">
        <v>0</v>
      </c>
      <c r="H207" s="30">
        <f t="shared" si="13"/>
        <v>0</v>
      </c>
      <c r="I207" s="28" t="s">
        <v>406</v>
      </c>
    </row>
    <row r="208" ht="51">
      <c r="A208" s="28" t="s">
        <v>24</v>
      </c>
      <c r="B208" s="27" t="s">
        <v>407</v>
      </c>
      <c r="D208" s="28" t="s">
        <v>22</v>
      </c>
      <c r="E208" s="32">
        <v>5617</v>
      </c>
      <c r="F208" s="29">
        <f t="shared" si="12"/>
        <v>0</v>
      </c>
      <c r="G208" s="29">
        <v>0</v>
      </c>
      <c r="H208" s="30">
        <f t="shared" si="13"/>
        <v>0</v>
      </c>
      <c r="I208" s="28" t="s">
        <v>408</v>
      </c>
    </row>
    <row r="209" ht="51">
      <c r="A209" s="28" t="s">
        <v>42</v>
      </c>
      <c r="B209" s="27" t="s">
        <v>409</v>
      </c>
      <c r="D209" s="28" t="s">
        <v>22</v>
      </c>
      <c r="E209" s="32">
        <v>6282</v>
      </c>
      <c r="F209" s="29">
        <f t="shared" si="12"/>
        <v>0</v>
      </c>
      <c r="G209" s="29">
        <v>0</v>
      </c>
      <c r="H209" s="30">
        <f t="shared" si="13"/>
        <v>0</v>
      </c>
      <c r="I209" s="28" t="s">
        <v>410</v>
      </c>
    </row>
    <row r="210" ht="25.5">
      <c r="A210" s="28" t="s">
        <v>69</v>
      </c>
      <c r="B210" s="27" t="s">
        <v>411</v>
      </c>
      <c r="D210" s="28" t="s">
        <v>22</v>
      </c>
      <c r="E210" s="32">
        <v>1495</v>
      </c>
      <c r="F210" s="29">
        <f t="shared" si="12"/>
        <v>0</v>
      </c>
      <c r="G210" s="29">
        <v>0</v>
      </c>
      <c r="H210" s="30">
        <f t="shared" si="13"/>
        <v>0</v>
      </c>
      <c r="I210" s="28" t="s">
        <v>412</v>
      </c>
    </row>
    <row r="211" ht="127.5">
      <c r="A211" s="43" t="s">
        <v>72</v>
      </c>
      <c r="B211" s="27" t="s">
        <v>413</v>
      </c>
      <c r="D211" s="28" t="s">
        <v>30</v>
      </c>
      <c r="E211" s="32">
        <v>10108</v>
      </c>
      <c r="F211" s="29">
        <f t="shared" si="12"/>
        <v>0</v>
      </c>
      <c r="G211" s="29">
        <v>0</v>
      </c>
      <c r="H211" s="30">
        <f t="shared" si="13"/>
        <v>0</v>
      </c>
      <c r="I211" s="28" t="s">
        <v>414</v>
      </c>
    </row>
    <row r="212" ht="51">
      <c r="A212" s="28" t="s">
        <v>75</v>
      </c>
      <c r="B212" s="27" t="s">
        <v>415</v>
      </c>
      <c r="D212" s="28" t="s">
        <v>22</v>
      </c>
      <c r="E212" s="32">
        <v>6222</v>
      </c>
      <c r="F212" s="29">
        <f t="shared" si="12"/>
        <v>0</v>
      </c>
      <c r="G212" s="29">
        <v>0</v>
      </c>
      <c r="H212" s="30">
        <f t="shared" si="13"/>
        <v>0</v>
      </c>
      <c r="I212" s="28" t="s">
        <v>416</v>
      </c>
    </row>
    <row r="213" ht="38.25">
      <c r="A213" s="28" t="s">
        <v>204</v>
      </c>
      <c r="B213" s="27" t="s">
        <v>417</v>
      </c>
      <c r="D213" s="28" t="s">
        <v>22</v>
      </c>
      <c r="E213" s="32">
        <v>5113</v>
      </c>
      <c r="F213" s="29">
        <f t="shared" si="12"/>
        <v>0</v>
      </c>
      <c r="G213" s="29">
        <v>0</v>
      </c>
      <c r="H213" s="30">
        <f t="shared" si="13"/>
        <v>0</v>
      </c>
      <c r="I213" s="28" t="s">
        <v>418</v>
      </c>
    </row>
    <row r="214" ht="25.5">
      <c r="A214" s="28" t="s">
        <v>419</v>
      </c>
      <c r="B214" s="27" t="s">
        <v>420</v>
      </c>
      <c r="D214" s="28" t="s">
        <v>22</v>
      </c>
      <c r="E214" s="32">
        <v>5992</v>
      </c>
      <c r="F214" s="29">
        <f t="shared" si="12"/>
        <v>0</v>
      </c>
      <c r="G214" s="29">
        <v>0</v>
      </c>
      <c r="H214" s="30">
        <f t="shared" si="13"/>
        <v>0</v>
      </c>
      <c r="I214" s="28" t="s">
        <v>421</v>
      </c>
    </row>
    <row r="215" ht="51">
      <c r="A215" s="28" t="s">
        <v>422</v>
      </c>
      <c r="B215" s="27" t="s">
        <v>423</v>
      </c>
      <c r="D215" s="28" t="s">
        <v>22</v>
      </c>
      <c r="E215" s="32">
        <v>4265</v>
      </c>
      <c r="F215" s="29">
        <f t="shared" si="12"/>
        <v>0</v>
      </c>
      <c r="G215" s="29">
        <v>0</v>
      </c>
      <c r="H215" s="30">
        <f t="shared" si="13"/>
        <v>0</v>
      </c>
      <c r="I215" s="28" t="s">
        <v>424</v>
      </c>
    </row>
    <row r="216" ht="25.5">
      <c r="A216" s="32">
        <v>1003</v>
      </c>
      <c r="B216" s="27" t="s">
        <v>425</v>
      </c>
      <c r="D216" s="28"/>
      <c r="E216" s="28"/>
      <c r="F216" s="29"/>
      <c r="G216" s="29"/>
      <c r="H216" s="30"/>
      <c r="I216" s="32" t="s">
        <v>426</v>
      </c>
    </row>
    <row r="217" ht="25.5">
      <c r="A217" s="28" t="s">
        <v>20</v>
      </c>
      <c r="B217" s="27" t="s">
        <v>427</v>
      </c>
      <c r="D217" s="28" t="s">
        <v>428</v>
      </c>
      <c r="E217" s="32">
        <v>17649</v>
      </c>
      <c r="F217" s="29">
        <f t="shared" si="12"/>
        <v>0</v>
      </c>
      <c r="G217" s="29">
        <v>0</v>
      </c>
      <c r="H217" s="30">
        <f t="shared" si="13"/>
        <v>0</v>
      </c>
      <c r="I217" s="28" t="s">
        <v>429</v>
      </c>
    </row>
    <row r="218" ht="25.5">
      <c r="A218" s="28" t="s">
        <v>24</v>
      </c>
      <c r="B218" s="27" t="s">
        <v>430</v>
      </c>
      <c r="D218" s="28" t="s">
        <v>159</v>
      </c>
      <c r="E218" s="32">
        <v>35</v>
      </c>
      <c r="F218" s="29">
        <f t="shared" si="12"/>
        <v>0</v>
      </c>
      <c r="G218" s="29">
        <v>0</v>
      </c>
      <c r="H218" s="30">
        <f t="shared" si="13"/>
        <v>0</v>
      </c>
      <c r="I218" s="28" t="s">
        <v>431</v>
      </c>
    </row>
    <row r="219" ht="38.25">
      <c r="A219" s="28" t="s">
        <v>42</v>
      </c>
      <c r="B219" s="27" t="s">
        <v>432</v>
      </c>
      <c r="D219" s="28" t="s">
        <v>159</v>
      </c>
      <c r="E219" s="32">
        <v>88</v>
      </c>
      <c r="F219" s="29">
        <f t="shared" si="12"/>
        <v>0</v>
      </c>
      <c r="G219" s="29">
        <v>0</v>
      </c>
      <c r="H219" s="30">
        <f t="shared" si="13"/>
        <v>0</v>
      </c>
      <c r="I219" s="28" t="s">
        <v>433</v>
      </c>
    </row>
    <row r="220" ht="76.5">
      <c r="A220" s="28" t="s">
        <v>69</v>
      </c>
      <c r="B220" s="27" t="s">
        <v>434</v>
      </c>
      <c r="D220" s="28" t="s">
        <v>159</v>
      </c>
      <c r="E220" s="32">
        <v>304</v>
      </c>
      <c r="F220" s="29">
        <f t="shared" si="12"/>
        <v>0</v>
      </c>
      <c r="G220" s="29">
        <v>0</v>
      </c>
      <c r="H220" s="30">
        <f t="shared" si="13"/>
        <v>0</v>
      </c>
      <c r="I220" s="28" t="s">
        <v>435</v>
      </c>
    </row>
    <row r="221" ht="76.5">
      <c r="A221" s="28" t="s">
        <v>72</v>
      </c>
      <c r="B221" s="27" t="s">
        <v>436</v>
      </c>
      <c r="D221" s="28" t="s">
        <v>428</v>
      </c>
      <c r="E221" s="32">
        <v>413592</v>
      </c>
      <c r="F221" s="29">
        <f t="shared" si="12"/>
        <v>0</v>
      </c>
      <c r="G221" s="29">
        <v>0</v>
      </c>
      <c r="H221" s="30">
        <f t="shared" si="13"/>
        <v>0</v>
      </c>
      <c r="I221" s="28" t="s">
        <v>437</v>
      </c>
    </row>
    <row r="222" ht="25.5">
      <c r="A222" s="43" t="s">
        <v>75</v>
      </c>
      <c r="B222" s="27" t="s">
        <v>438</v>
      </c>
      <c r="D222" s="28" t="s">
        <v>428</v>
      </c>
      <c r="E222" s="32">
        <v>9623</v>
      </c>
      <c r="F222" s="29">
        <f t="shared" ref="F222:F285" si="14">C222*E222</f>
        <v>0</v>
      </c>
      <c r="G222" s="29">
        <v>0</v>
      </c>
      <c r="H222" s="30">
        <f t="shared" ref="H222:H285" si="15">SUM(F222:G222)</f>
        <v>0</v>
      </c>
      <c r="I222" s="28" t="s">
        <v>439</v>
      </c>
    </row>
    <row r="223" ht="25.5">
      <c r="A223" s="28" t="s">
        <v>204</v>
      </c>
      <c r="B223" s="27" t="s">
        <v>440</v>
      </c>
      <c r="D223" s="28" t="s">
        <v>159</v>
      </c>
      <c r="E223" s="32">
        <v>37</v>
      </c>
      <c r="F223" s="29">
        <f t="shared" si="14"/>
        <v>0</v>
      </c>
      <c r="G223" s="29">
        <v>0</v>
      </c>
      <c r="H223" s="30">
        <f t="shared" si="15"/>
        <v>0</v>
      </c>
      <c r="I223" s="28" t="s">
        <v>441</v>
      </c>
    </row>
    <row r="224" ht="25.5">
      <c r="A224" s="32" t="s">
        <v>442</v>
      </c>
      <c r="B224" s="27" t="s">
        <v>443</v>
      </c>
      <c r="D224" s="28"/>
      <c r="E224" s="28"/>
      <c r="F224" s="29">
        <f t="shared" si="14"/>
        <v>0</v>
      </c>
      <c r="G224" s="29">
        <v>0</v>
      </c>
      <c r="H224" s="30">
        <f t="shared" si="15"/>
        <v>0</v>
      </c>
      <c r="I224" s="32" t="s">
        <v>444</v>
      </c>
    </row>
    <row r="225" ht="25.5">
      <c r="A225" s="28" t="s">
        <v>20</v>
      </c>
      <c r="B225" s="27" t="s">
        <v>445</v>
      </c>
      <c r="D225" s="28" t="s">
        <v>22</v>
      </c>
      <c r="E225" s="32">
        <v>1492</v>
      </c>
      <c r="F225" s="29">
        <f t="shared" si="14"/>
        <v>0</v>
      </c>
      <c r="G225" s="29">
        <v>0</v>
      </c>
      <c r="H225" s="30">
        <f t="shared" si="15"/>
        <v>0</v>
      </c>
      <c r="I225" s="28" t="s">
        <v>446</v>
      </c>
    </row>
    <row r="226" ht="25.5">
      <c r="A226" s="28" t="s">
        <v>24</v>
      </c>
      <c r="B226" s="27" t="s">
        <v>447</v>
      </c>
      <c r="D226" s="28" t="s">
        <v>22</v>
      </c>
      <c r="E226" s="32">
        <v>2469</v>
      </c>
      <c r="F226" s="29">
        <f t="shared" si="14"/>
        <v>0</v>
      </c>
      <c r="G226" s="29">
        <v>0</v>
      </c>
      <c r="H226" s="30">
        <f t="shared" si="15"/>
        <v>0</v>
      </c>
      <c r="I226" s="28" t="s">
        <v>448</v>
      </c>
    </row>
    <row r="227" ht="25.5">
      <c r="A227" s="28" t="s">
        <v>42</v>
      </c>
      <c r="B227" s="27" t="s">
        <v>449</v>
      </c>
      <c r="D227" s="28" t="s">
        <v>22</v>
      </c>
      <c r="E227" s="32">
        <v>3740</v>
      </c>
      <c r="F227" s="29">
        <f t="shared" si="14"/>
        <v>0</v>
      </c>
      <c r="G227" s="29">
        <v>0</v>
      </c>
      <c r="H227" s="30">
        <f t="shared" si="15"/>
        <v>0</v>
      </c>
      <c r="I227" s="28" t="s">
        <v>450</v>
      </c>
    </row>
    <row r="228" ht="25.5">
      <c r="A228" s="28" t="s">
        <v>69</v>
      </c>
      <c r="B228" s="27" t="s">
        <v>451</v>
      </c>
      <c r="D228" s="28" t="s">
        <v>22</v>
      </c>
      <c r="E228" s="32">
        <v>2157</v>
      </c>
      <c r="F228" s="29">
        <f t="shared" si="14"/>
        <v>0</v>
      </c>
      <c r="G228" s="29">
        <v>0</v>
      </c>
      <c r="H228" s="30">
        <f t="shared" si="15"/>
        <v>0</v>
      </c>
      <c r="I228" s="28" t="s">
        <v>452</v>
      </c>
    </row>
    <row r="229" ht="63.75">
      <c r="A229" s="32">
        <v>1005</v>
      </c>
      <c r="B229" s="27" t="s">
        <v>453</v>
      </c>
      <c r="D229" s="28"/>
      <c r="E229" s="28"/>
      <c r="F229" s="29">
        <f t="shared" si="14"/>
        <v>0</v>
      </c>
      <c r="G229" s="29">
        <v>0</v>
      </c>
      <c r="H229" s="30">
        <f t="shared" si="15"/>
        <v>0</v>
      </c>
      <c r="I229" s="32" t="s">
        <v>454</v>
      </c>
    </row>
    <row r="230" ht="25.5">
      <c r="A230" s="28" t="s">
        <v>20</v>
      </c>
      <c r="B230" s="27" t="s">
        <v>455</v>
      </c>
      <c r="D230" s="28" t="s">
        <v>22</v>
      </c>
      <c r="E230" s="32">
        <v>1817</v>
      </c>
      <c r="F230" s="29">
        <f t="shared" si="14"/>
        <v>0</v>
      </c>
      <c r="G230" s="29">
        <v>0</v>
      </c>
      <c r="H230" s="30">
        <f t="shared" si="15"/>
        <v>0</v>
      </c>
      <c r="I230" s="28" t="s">
        <v>456</v>
      </c>
    </row>
    <row r="231" ht="25.5">
      <c r="A231" s="28" t="s">
        <v>24</v>
      </c>
      <c r="B231" s="27" t="s">
        <v>457</v>
      </c>
      <c r="D231" s="28" t="s">
        <v>22</v>
      </c>
      <c r="E231" s="32">
        <v>3240</v>
      </c>
      <c r="F231" s="29">
        <f t="shared" si="14"/>
        <v>0</v>
      </c>
      <c r="G231" s="29">
        <v>0</v>
      </c>
      <c r="H231" s="30">
        <f t="shared" si="15"/>
        <v>0</v>
      </c>
      <c r="I231" s="28" t="s">
        <v>458</v>
      </c>
    </row>
    <row r="232" ht="25.5">
      <c r="A232" s="32">
        <v>1006</v>
      </c>
      <c r="B232" s="27" t="s">
        <v>459</v>
      </c>
      <c r="D232" s="28"/>
      <c r="E232" s="28"/>
      <c r="F232" s="29">
        <f t="shared" si="14"/>
        <v>0</v>
      </c>
      <c r="G232" s="29">
        <v>0</v>
      </c>
      <c r="H232" s="30">
        <f t="shared" si="15"/>
        <v>0</v>
      </c>
      <c r="I232" s="32" t="s">
        <v>460</v>
      </c>
    </row>
    <row r="233" ht="38.25">
      <c r="A233" s="28" t="s">
        <v>20</v>
      </c>
      <c r="B233" s="27" t="s">
        <v>461</v>
      </c>
      <c r="D233" s="28" t="s">
        <v>22</v>
      </c>
      <c r="E233" s="32">
        <v>909</v>
      </c>
      <c r="F233" s="29">
        <f t="shared" si="14"/>
        <v>0</v>
      </c>
      <c r="G233" s="29">
        <v>0</v>
      </c>
      <c r="H233" s="30">
        <f t="shared" si="15"/>
        <v>0</v>
      </c>
      <c r="I233" s="28" t="s">
        <v>462</v>
      </c>
    </row>
    <row r="234" ht="38.25">
      <c r="A234" s="28" t="s">
        <v>24</v>
      </c>
      <c r="B234" s="27" t="s">
        <v>463</v>
      </c>
      <c r="D234" s="28" t="s">
        <v>22</v>
      </c>
      <c r="E234" s="32">
        <v>999</v>
      </c>
      <c r="F234" s="29">
        <f t="shared" si="14"/>
        <v>0</v>
      </c>
      <c r="G234" s="29">
        <v>0</v>
      </c>
      <c r="H234" s="30">
        <f t="shared" si="15"/>
        <v>0</v>
      </c>
      <c r="I234" s="28" t="s">
        <v>464</v>
      </c>
    </row>
    <row r="235" ht="25.5">
      <c r="A235" s="32">
        <v>1007</v>
      </c>
      <c r="B235" s="27" t="s">
        <v>465</v>
      </c>
      <c r="D235" s="28"/>
      <c r="E235" s="28"/>
      <c r="F235" s="29">
        <f t="shared" si="14"/>
        <v>0</v>
      </c>
      <c r="G235" s="29">
        <v>0</v>
      </c>
      <c r="H235" s="30">
        <f t="shared" si="15"/>
        <v>0</v>
      </c>
      <c r="I235" s="32" t="s">
        <v>466</v>
      </c>
    </row>
    <row r="236" ht="63.75">
      <c r="A236" s="28" t="s">
        <v>20</v>
      </c>
      <c r="B236" s="27" t="s">
        <v>467</v>
      </c>
      <c r="D236" s="28" t="s">
        <v>30</v>
      </c>
      <c r="E236" s="32">
        <v>5195</v>
      </c>
      <c r="F236" s="29">
        <f t="shared" si="14"/>
        <v>0</v>
      </c>
      <c r="G236" s="29">
        <v>0</v>
      </c>
      <c r="H236" s="30">
        <f t="shared" si="15"/>
        <v>0</v>
      </c>
      <c r="I236" s="28" t="s">
        <v>468</v>
      </c>
    </row>
    <row r="237" ht="38.25">
      <c r="A237" s="43" t="s">
        <v>24</v>
      </c>
      <c r="B237" s="27" t="s">
        <v>469</v>
      </c>
      <c r="D237" s="28" t="s">
        <v>30</v>
      </c>
      <c r="E237" s="32">
        <v>389</v>
      </c>
      <c r="F237" s="29">
        <f t="shared" si="14"/>
        <v>0</v>
      </c>
      <c r="G237" s="29">
        <v>0</v>
      </c>
      <c r="H237" s="30">
        <f t="shared" si="15"/>
        <v>0</v>
      </c>
      <c r="I237" s="28" t="s">
        <v>470</v>
      </c>
    </row>
    <row r="238" ht="38.25">
      <c r="A238" s="32">
        <v>1008</v>
      </c>
      <c r="B238" s="27" t="s">
        <v>471</v>
      </c>
      <c r="D238" s="28"/>
      <c r="E238" s="28"/>
      <c r="F238" s="29">
        <f t="shared" si="14"/>
        <v>0</v>
      </c>
      <c r="G238" s="29">
        <v>0</v>
      </c>
      <c r="H238" s="30">
        <f t="shared" si="15"/>
        <v>0</v>
      </c>
      <c r="I238" s="32" t="s">
        <v>472</v>
      </c>
    </row>
    <row r="239" ht="25.5">
      <c r="A239" s="28" t="s">
        <v>20</v>
      </c>
      <c r="B239" s="27" t="s">
        <v>473</v>
      </c>
      <c r="D239" s="28" t="s">
        <v>22</v>
      </c>
      <c r="E239" s="32">
        <v>7674</v>
      </c>
      <c r="F239" s="29">
        <f t="shared" si="14"/>
        <v>0</v>
      </c>
      <c r="G239" s="29">
        <v>0</v>
      </c>
      <c r="H239" s="30">
        <f t="shared" si="15"/>
        <v>0</v>
      </c>
      <c r="I239" s="28" t="s">
        <v>474</v>
      </c>
    </row>
    <row r="240" ht="25.5">
      <c r="A240" s="28" t="s">
        <v>24</v>
      </c>
      <c r="B240" s="27" t="s">
        <v>475</v>
      </c>
      <c r="D240" s="28" t="s">
        <v>22</v>
      </c>
      <c r="E240" s="32">
        <v>9278</v>
      </c>
      <c r="F240" s="29">
        <f t="shared" si="14"/>
        <v>0</v>
      </c>
      <c r="G240" s="29">
        <v>0</v>
      </c>
      <c r="H240" s="30">
        <f t="shared" si="15"/>
        <v>0</v>
      </c>
      <c r="I240" s="28" t="s">
        <v>476</v>
      </c>
    </row>
    <row r="241" ht="25.5">
      <c r="A241" s="28" t="s">
        <v>42</v>
      </c>
      <c r="B241" s="27" t="s">
        <v>477</v>
      </c>
      <c r="D241" s="28" t="s">
        <v>22</v>
      </c>
      <c r="E241" s="32">
        <v>11167</v>
      </c>
      <c r="F241" s="29">
        <f t="shared" si="14"/>
        <v>0</v>
      </c>
      <c r="G241" s="29">
        <v>0</v>
      </c>
      <c r="H241" s="30">
        <f t="shared" si="15"/>
        <v>0</v>
      </c>
      <c r="I241" s="28" t="s">
        <v>478</v>
      </c>
    </row>
    <row r="242" ht="25.5">
      <c r="A242" s="32">
        <v>1009</v>
      </c>
      <c r="B242" s="27" t="s">
        <v>479</v>
      </c>
      <c r="D242" s="28"/>
      <c r="E242" s="28"/>
      <c r="F242" s="29">
        <f t="shared" si="14"/>
        <v>0</v>
      </c>
      <c r="G242" s="29">
        <v>0</v>
      </c>
      <c r="H242" s="30">
        <f t="shared" si="15"/>
        <v>0</v>
      </c>
      <c r="I242" s="32" t="s">
        <v>480</v>
      </c>
    </row>
    <row r="243" ht="63.75">
      <c r="A243" s="28" t="s">
        <v>20</v>
      </c>
      <c r="B243" s="27" t="s">
        <v>481</v>
      </c>
      <c r="D243" s="28" t="s">
        <v>428</v>
      </c>
      <c r="E243" s="32">
        <v>66223</v>
      </c>
      <c r="F243" s="29">
        <f t="shared" si="14"/>
        <v>0</v>
      </c>
      <c r="G243" s="29">
        <v>0</v>
      </c>
      <c r="H243" s="30">
        <f t="shared" si="15"/>
        <v>0</v>
      </c>
      <c r="I243" s="28" t="s">
        <v>482</v>
      </c>
    </row>
    <row r="244" ht="25.5">
      <c r="A244" s="28" t="s">
        <v>24</v>
      </c>
      <c r="B244" s="27" t="s">
        <v>483</v>
      </c>
      <c r="D244" s="28" t="s">
        <v>22</v>
      </c>
      <c r="E244" s="32">
        <v>85</v>
      </c>
      <c r="F244" s="29">
        <f t="shared" si="14"/>
        <v>0</v>
      </c>
      <c r="G244" s="29">
        <v>0</v>
      </c>
      <c r="H244" s="30">
        <f t="shared" si="15"/>
        <v>0</v>
      </c>
      <c r="I244" s="28" t="s">
        <v>484</v>
      </c>
    </row>
    <row r="245" ht="25.5">
      <c r="A245" s="28" t="s">
        <v>42</v>
      </c>
      <c r="B245" s="27" t="s">
        <v>485</v>
      </c>
      <c r="D245" s="28" t="s">
        <v>22</v>
      </c>
      <c r="E245" s="32">
        <v>34</v>
      </c>
      <c r="F245" s="29">
        <f t="shared" si="14"/>
        <v>0</v>
      </c>
      <c r="G245" s="29">
        <v>0</v>
      </c>
      <c r="H245" s="30">
        <f t="shared" si="15"/>
        <v>0</v>
      </c>
      <c r="I245" s="28" t="s">
        <v>486</v>
      </c>
    </row>
    <row r="246" ht="25.5">
      <c r="A246" s="28" t="s">
        <v>69</v>
      </c>
      <c r="B246" s="27" t="s">
        <v>487</v>
      </c>
      <c r="D246" s="28" t="s">
        <v>22</v>
      </c>
      <c r="E246" s="32">
        <v>43</v>
      </c>
      <c r="F246" s="29">
        <f t="shared" si="14"/>
        <v>0</v>
      </c>
      <c r="G246" s="29">
        <v>0</v>
      </c>
      <c r="H246" s="30">
        <f t="shared" si="15"/>
        <v>0</v>
      </c>
      <c r="I246" s="28" t="s">
        <v>488</v>
      </c>
    </row>
    <row r="247" ht="51">
      <c r="A247" s="28" t="s">
        <v>72</v>
      </c>
      <c r="B247" s="27" t="s">
        <v>489</v>
      </c>
      <c r="D247" s="28" t="s">
        <v>22</v>
      </c>
      <c r="E247" s="32">
        <v>1046</v>
      </c>
      <c r="F247" s="29">
        <f t="shared" si="14"/>
        <v>0</v>
      </c>
      <c r="G247" s="29">
        <v>0</v>
      </c>
      <c r="H247" s="30">
        <f t="shared" si="15"/>
        <v>0</v>
      </c>
      <c r="I247" s="28" t="s">
        <v>490</v>
      </c>
    </row>
    <row r="248" ht="76.5">
      <c r="A248" s="28" t="s">
        <v>75</v>
      </c>
      <c r="B248" s="27" t="s">
        <v>491</v>
      </c>
      <c r="D248" s="28" t="s">
        <v>22</v>
      </c>
      <c r="E248" s="32">
        <v>1770</v>
      </c>
      <c r="F248" s="29">
        <f t="shared" si="14"/>
        <v>0</v>
      </c>
      <c r="G248" s="29">
        <v>0</v>
      </c>
      <c r="H248" s="30">
        <f t="shared" si="15"/>
        <v>0</v>
      </c>
      <c r="I248" s="28" t="s">
        <v>492</v>
      </c>
    </row>
    <row r="249" ht="315.75" customHeight="1">
      <c r="A249" s="28" t="s">
        <v>204</v>
      </c>
      <c r="B249" s="27" t="s">
        <v>493</v>
      </c>
      <c r="D249" s="28" t="s">
        <v>22</v>
      </c>
      <c r="E249" s="32">
        <v>240421</v>
      </c>
      <c r="F249" s="29">
        <f t="shared" si="14"/>
        <v>0</v>
      </c>
      <c r="G249" s="29">
        <v>0</v>
      </c>
      <c r="H249" s="30">
        <f t="shared" si="15"/>
        <v>0</v>
      </c>
      <c r="I249" s="28" t="s">
        <v>494</v>
      </c>
    </row>
    <row r="250" ht="38.25">
      <c r="A250" s="28" t="s">
        <v>419</v>
      </c>
      <c r="B250" s="27" t="s">
        <v>495</v>
      </c>
      <c r="D250" s="28" t="s">
        <v>22</v>
      </c>
      <c r="E250" s="32">
        <v>259600</v>
      </c>
      <c r="F250" s="29">
        <f t="shared" si="14"/>
        <v>0</v>
      </c>
      <c r="G250" s="29">
        <v>0</v>
      </c>
      <c r="H250" s="30">
        <f t="shared" si="15"/>
        <v>0</v>
      </c>
      <c r="I250" s="28" t="s">
        <v>496</v>
      </c>
    </row>
    <row r="251" ht="38.25">
      <c r="A251" s="28" t="s">
        <v>422</v>
      </c>
      <c r="B251" s="27" t="s">
        <v>497</v>
      </c>
      <c r="D251" s="28" t="s">
        <v>22</v>
      </c>
      <c r="E251" s="32">
        <v>175230</v>
      </c>
      <c r="F251" s="29">
        <f t="shared" si="14"/>
        <v>0</v>
      </c>
      <c r="G251" s="29">
        <v>0</v>
      </c>
      <c r="H251" s="30">
        <f t="shared" si="15"/>
        <v>0</v>
      </c>
      <c r="I251" s="28" t="s">
        <v>498</v>
      </c>
    </row>
    <row r="252" ht="38.25">
      <c r="A252" s="28" t="s">
        <v>499</v>
      </c>
      <c r="B252" s="27" t="s">
        <v>500</v>
      </c>
      <c r="D252" s="28" t="s">
        <v>22</v>
      </c>
      <c r="E252" s="32">
        <v>88783</v>
      </c>
      <c r="F252" s="29">
        <f t="shared" si="14"/>
        <v>0</v>
      </c>
      <c r="G252" s="29">
        <v>0</v>
      </c>
      <c r="H252" s="30">
        <f t="shared" si="15"/>
        <v>0</v>
      </c>
      <c r="I252" s="28" t="s">
        <v>501</v>
      </c>
    </row>
    <row r="253" ht="38.25">
      <c r="A253" s="28" t="s">
        <v>502</v>
      </c>
      <c r="B253" s="27" t="s">
        <v>503</v>
      </c>
      <c r="D253" s="28" t="s">
        <v>22</v>
      </c>
      <c r="E253" s="32">
        <v>32645</v>
      </c>
      <c r="F253" s="29">
        <v>0</v>
      </c>
      <c r="G253" s="29">
        <v>0</v>
      </c>
      <c r="H253" s="30">
        <f t="shared" si="15"/>
        <v>0</v>
      </c>
      <c r="I253" s="28" t="s">
        <v>504</v>
      </c>
    </row>
    <row r="254" ht="25.5">
      <c r="A254" s="32">
        <v>1010</v>
      </c>
      <c r="B254" s="27" t="s">
        <v>505</v>
      </c>
      <c r="D254" s="28"/>
      <c r="E254" s="28"/>
      <c r="F254" s="29">
        <f t="shared" si="14"/>
        <v>0</v>
      </c>
      <c r="G254" s="29">
        <v>0</v>
      </c>
      <c r="H254" s="30">
        <f t="shared" si="15"/>
        <v>0</v>
      </c>
      <c r="I254" s="32" t="s">
        <v>506</v>
      </c>
    </row>
    <row r="255" ht="51">
      <c r="A255" s="28" t="s">
        <v>20</v>
      </c>
      <c r="B255" s="27" t="s">
        <v>507</v>
      </c>
      <c r="D255" s="28" t="s">
        <v>22</v>
      </c>
      <c r="E255" s="32">
        <v>27500</v>
      </c>
      <c r="F255" s="29">
        <f t="shared" si="14"/>
        <v>0</v>
      </c>
      <c r="G255" s="29">
        <v>0</v>
      </c>
      <c r="H255" s="30">
        <f t="shared" si="15"/>
        <v>0</v>
      </c>
      <c r="I255" s="28" t="s">
        <v>508</v>
      </c>
    </row>
    <row r="256" ht="25.5">
      <c r="A256" s="28" t="s">
        <v>24</v>
      </c>
      <c r="B256" s="27" t="s">
        <v>509</v>
      </c>
      <c r="D256" s="28" t="s">
        <v>22</v>
      </c>
      <c r="E256" s="32">
        <v>28500</v>
      </c>
      <c r="F256" s="29">
        <f t="shared" si="14"/>
        <v>0</v>
      </c>
      <c r="G256" s="29">
        <v>0</v>
      </c>
      <c r="H256" s="30">
        <f t="shared" si="15"/>
        <v>0</v>
      </c>
      <c r="I256" s="28" t="s">
        <v>510</v>
      </c>
    </row>
    <row r="257" ht="38.25">
      <c r="A257" s="28" t="s">
        <v>42</v>
      </c>
      <c r="B257" s="27" t="s">
        <v>511</v>
      </c>
      <c r="D257" s="28" t="s">
        <v>22</v>
      </c>
      <c r="E257" s="32">
        <v>2300</v>
      </c>
      <c r="F257" s="29">
        <f t="shared" si="14"/>
        <v>0</v>
      </c>
      <c r="G257" s="29">
        <v>0</v>
      </c>
      <c r="H257" s="30">
        <f t="shared" si="15"/>
        <v>0</v>
      </c>
      <c r="I257" s="28" t="s">
        <v>512</v>
      </c>
    </row>
    <row r="258" ht="25.5">
      <c r="A258" s="28" t="s">
        <v>69</v>
      </c>
      <c r="B258" s="27" t="s">
        <v>513</v>
      </c>
      <c r="D258" s="28" t="s">
        <v>22</v>
      </c>
      <c r="E258" s="32">
        <v>6700</v>
      </c>
      <c r="F258" s="29">
        <f t="shared" si="14"/>
        <v>0</v>
      </c>
      <c r="G258" s="29">
        <v>0</v>
      </c>
      <c r="H258" s="30">
        <f t="shared" si="15"/>
        <v>0</v>
      </c>
      <c r="I258" s="28" t="s">
        <v>514</v>
      </c>
    </row>
    <row r="259" ht="25.5">
      <c r="A259" s="28" t="s">
        <v>72</v>
      </c>
      <c r="B259" s="27" t="s">
        <v>515</v>
      </c>
      <c r="D259" s="28" t="s">
        <v>22</v>
      </c>
      <c r="E259" s="32">
        <v>15727</v>
      </c>
      <c r="F259" s="29">
        <f t="shared" si="14"/>
        <v>0</v>
      </c>
      <c r="G259" s="29">
        <v>0</v>
      </c>
      <c r="H259" s="30">
        <f t="shared" si="15"/>
        <v>0</v>
      </c>
      <c r="I259" s="28" t="s">
        <v>516</v>
      </c>
    </row>
    <row r="260" ht="25.5">
      <c r="A260" s="28" t="s">
        <v>75</v>
      </c>
      <c r="B260" s="27" t="s">
        <v>517</v>
      </c>
      <c r="D260" s="28" t="s">
        <v>22</v>
      </c>
      <c r="E260" s="32">
        <v>29349</v>
      </c>
      <c r="F260" s="29">
        <f t="shared" si="14"/>
        <v>0</v>
      </c>
      <c r="G260" s="29">
        <v>0</v>
      </c>
      <c r="H260" s="30">
        <f t="shared" si="15"/>
        <v>0</v>
      </c>
      <c r="I260" s="28" t="s">
        <v>518</v>
      </c>
    </row>
    <row r="261" ht="25.5">
      <c r="A261" s="28" t="s">
        <v>204</v>
      </c>
      <c r="B261" s="27" t="s">
        <v>519</v>
      </c>
      <c r="D261" s="28" t="s">
        <v>22</v>
      </c>
      <c r="E261" s="32">
        <v>8411</v>
      </c>
      <c r="F261" s="29">
        <f t="shared" si="14"/>
        <v>0</v>
      </c>
      <c r="G261" s="29">
        <v>0</v>
      </c>
      <c r="H261" s="30">
        <f t="shared" si="15"/>
        <v>0</v>
      </c>
      <c r="I261" s="28" t="s">
        <v>520</v>
      </c>
    </row>
    <row r="262" ht="25.5">
      <c r="A262" s="32">
        <v>1011</v>
      </c>
      <c r="B262" s="27" t="s">
        <v>521</v>
      </c>
      <c r="D262" s="28"/>
      <c r="E262" s="28"/>
      <c r="F262" s="29">
        <f t="shared" si="14"/>
        <v>0</v>
      </c>
      <c r="G262" s="29">
        <v>0</v>
      </c>
      <c r="H262" s="30">
        <f t="shared" si="15"/>
        <v>0</v>
      </c>
      <c r="I262" s="32" t="s">
        <v>522</v>
      </c>
    </row>
    <row r="263" ht="51">
      <c r="A263" s="28" t="s">
        <v>20</v>
      </c>
      <c r="B263" s="27" t="s">
        <v>523</v>
      </c>
      <c r="D263" s="28" t="s">
        <v>22</v>
      </c>
      <c r="E263" s="32">
        <v>52</v>
      </c>
      <c r="F263" s="29">
        <f t="shared" si="14"/>
        <v>0</v>
      </c>
      <c r="G263" s="29">
        <v>0</v>
      </c>
      <c r="H263" s="30">
        <f t="shared" si="15"/>
        <v>0</v>
      </c>
      <c r="I263" s="28" t="s">
        <v>524</v>
      </c>
    </row>
    <row r="264" ht="51">
      <c r="A264" s="28" t="s">
        <v>24</v>
      </c>
      <c r="B264" s="27" t="s">
        <v>525</v>
      </c>
      <c r="D264" s="28" t="s">
        <v>22</v>
      </c>
      <c r="E264" s="32">
        <v>574</v>
      </c>
      <c r="F264" s="29">
        <f t="shared" si="14"/>
        <v>0</v>
      </c>
      <c r="G264" s="29">
        <v>0</v>
      </c>
      <c r="H264" s="30">
        <f t="shared" si="15"/>
        <v>0</v>
      </c>
      <c r="I264" s="28" t="s">
        <v>526</v>
      </c>
    </row>
    <row r="265" ht="25.5">
      <c r="A265" s="28" t="s">
        <v>42</v>
      </c>
      <c r="B265" s="27" t="s">
        <v>527</v>
      </c>
      <c r="D265" s="28" t="s">
        <v>22</v>
      </c>
      <c r="E265" s="32">
        <v>32</v>
      </c>
      <c r="F265" s="29">
        <f t="shared" si="14"/>
        <v>0</v>
      </c>
      <c r="G265" s="29">
        <v>0</v>
      </c>
      <c r="H265" s="30">
        <f t="shared" si="15"/>
        <v>0</v>
      </c>
      <c r="I265" s="28" t="s">
        <v>528</v>
      </c>
    </row>
    <row r="266" ht="25.5">
      <c r="A266" s="28" t="s">
        <v>69</v>
      </c>
      <c r="B266" s="27" t="s">
        <v>529</v>
      </c>
      <c r="D266" s="28" t="s">
        <v>22</v>
      </c>
      <c r="E266" s="32">
        <v>35761</v>
      </c>
      <c r="F266" s="29">
        <f t="shared" si="14"/>
        <v>0</v>
      </c>
      <c r="G266" s="29">
        <v>0</v>
      </c>
      <c r="H266" s="30">
        <f t="shared" si="15"/>
        <v>0</v>
      </c>
      <c r="I266" s="28" t="s">
        <v>530</v>
      </c>
    </row>
    <row r="267" ht="51">
      <c r="A267" s="28" t="s">
        <v>72</v>
      </c>
      <c r="B267" s="27" t="s">
        <v>531</v>
      </c>
      <c r="D267" s="28" t="s">
        <v>22</v>
      </c>
      <c r="E267" s="32">
        <v>47074</v>
      </c>
      <c r="F267" s="29">
        <f t="shared" si="14"/>
        <v>0</v>
      </c>
      <c r="G267" s="29">
        <v>0</v>
      </c>
      <c r="H267" s="30">
        <f t="shared" si="15"/>
        <v>0</v>
      </c>
      <c r="I267" s="28" t="s">
        <v>532</v>
      </c>
    </row>
    <row r="268">
      <c r="A268" s="28"/>
      <c r="B268" s="28"/>
      <c r="C268" s="28"/>
      <c r="D268" s="28"/>
      <c r="E268" s="28"/>
      <c r="F268" s="29">
        <f t="shared" si="14"/>
        <v>0</v>
      </c>
      <c r="G268" s="29">
        <v>0</v>
      </c>
      <c r="H268" s="30">
        <f t="shared" si="15"/>
        <v>0</v>
      </c>
    </row>
    <row r="269">
      <c r="A269" s="34" t="s">
        <v>533</v>
      </c>
      <c r="B269" s="34"/>
      <c r="C269" s="34"/>
      <c r="D269" s="34"/>
      <c r="E269" s="34"/>
      <c r="F269" s="29">
        <f t="shared" si="14"/>
        <v>0</v>
      </c>
      <c r="G269" s="29">
        <v>0</v>
      </c>
      <c r="H269" s="30">
        <f t="shared" si="15"/>
        <v>0</v>
      </c>
    </row>
    <row r="270" ht="63.75">
      <c r="A270" s="32">
        <v>1101</v>
      </c>
      <c r="B270" s="27" t="s">
        <v>534</v>
      </c>
      <c r="D270" s="28" t="s">
        <v>22</v>
      </c>
      <c r="E270" s="32">
        <v>7027</v>
      </c>
      <c r="F270" s="29">
        <f t="shared" si="14"/>
        <v>0</v>
      </c>
      <c r="G270" s="29">
        <v>0</v>
      </c>
      <c r="H270" s="30">
        <f t="shared" si="15"/>
        <v>0</v>
      </c>
      <c r="I270" s="32" t="s">
        <v>535</v>
      </c>
    </row>
    <row r="271" ht="38.25">
      <c r="A271" s="32">
        <v>1102</v>
      </c>
      <c r="B271" s="27" t="s">
        <v>536</v>
      </c>
      <c r="D271" s="28" t="s">
        <v>22</v>
      </c>
      <c r="E271" s="32">
        <v>23724</v>
      </c>
      <c r="F271" s="29">
        <f t="shared" si="14"/>
        <v>0</v>
      </c>
      <c r="G271" s="29">
        <v>0</v>
      </c>
      <c r="H271" s="30">
        <f t="shared" si="15"/>
        <v>0</v>
      </c>
      <c r="I271" s="32" t="s">
        <v>537</v>
      </c>
    </row>
    <row r="272" ht="38.25">
      <c r="A272" s="32">
        <v>1103</v>
      </c>
      <c r="B272" s="27" t="s">
        <v>538</v>
      </c>
      <c r="D272" s="28" t="s">
        <v>30</v>
      </c>
      <c r="E272" s="32">
        <v>3836</v>
      </c>
      <c r="F272" s="29">
        <f t="shared" si="14"/>
        <v>0</v>
      </c>
      <c r="G272" s="29">
        <v>0</v>
      </c>
      <c r="H272" s="30">
        <f t="shared" si="15"/>
        <v>0</v>
      </c>
      <c r="I272" s="32" t="s">
        <v>539</v>
      </c>
    </row>
    <row r="273" ht="25.5">
      <c r="A273" s="32">
        <v>1104</v>
      </c>
      <c r="B273" s="27" t="s">
        <v>540</v>
      </c>
      <c r="D273" s="28" t="s">
        <v>30</v>
      </c>
      <c r="E273" s="32">
        <v>3821</v>
      </c>
      <c r="F273" s="29">
        <f t="shared" si="14"/>
        <v>0</v>
      </c>
      <c r="G273" s="29">
        <v>0</v>
      </c>
      <c r="H273" s="30">
        <f t="shared" si="15"/>
        <v>0</v>
      </c>
      <c r="I273" s="32" t="s">
        <v>541</v>
      </c>
    </row>
    <row r="274" ht="25.5">
      <c r="A274" s="32">
        <v>1105</v>
      </c>
      <c r="B274" s="27" t="s">
        <v>542</v>
      </c>
      <c r="D274" s="28" t="s">
        <v>22</v>
      </c>
      <c r="E274" s="32">
        <v>4634</v>
      </c>
      <c r="F274" s="29">
        <f t="shared" si="14"/>
        <v>0</v>
      </c>
      <c r="G274" s="29">
        <v>0</v>
      </c>
      <c r="H274" s="30">
        <f t="shared" si="15"/>
        <v>0</v>
      </c>
      <c r="I274" s="32" t="s">
        <v>543</v>
      </c>
    </row>
    <row r="275" ht="38.25">
      <c r="A275" s="32">
        <v>1106</v>
      </c>
      <c r="B275" s="27" t="s">
        <v>544</v>
      </c>
      <c r="D275" s="28" t="s">
        <v>22</v>
      </c>
      <c r="E275" s="32">
        <v>4803</v>
      </c>
      <c r="F275" s="29">
        <f t="shared" si="14"/>
        <v>0</v>
      </c>
      <c r="G275" s="29">
        <v>0</v>
      </c>
      <c r="H275" s="30">
        <f t="shared" si="15"/>
        <v>0</v>
      </c>
      <c r="I275" s="32" t="s">
        <v>545</v>
      </c>
    </row>
    <row r="276">
      <c r="A276" s="32"/>
      <c r="B276" s="32"/>
      <c r="C276" s="32"/>
      <c r="D276" s="32"/>
      <c r="E276" s="32"/>
      <c r="F276" s="29">
        <f t="shared" si="14"/>
        <v>0</v>
      </c>
      <c r="G276" s="29">
        <v>0</v>
      </c>
      <c r="H276" s="30">
        <f t="shared" si="15"/>
        <v>0</v>
      </c>
    </row>
    <row r="277">
      <c r="A277" s="34" t="s">
        <v>546</v>
      </c>
      <c r="B277" s="34"/>
      <c r="C277" s="34"/>
      <c r="D277" s="34"/>
      <c r="E277" s="34"/>
      <c r="F277" s="29">
        <f t="shared" si="14"/>
        <v>0</v>
      </c>
      <c r="G277" s="29">
        <v>0</v>
      </c>
      <c r="H277" s="30">
        <f t="shared" si="15"/>
        <v>0</v>
      </c>
    </row>
    <row r="278" ht="38.25">
      <c r="A278" s="32">
        <v>1301</v>
      </c>
      <c r="B278" s="27" t="s">
        <v>547</v>
      </c>
      <c r="D278" s="28" t="s">
        <v>22</v>
      </c>
      <c r="E278" s="32">
        <v>9297</v>
      </c>
      <c r="F278" s="29">
        <f t="shared" si="14"/>
        <v>0</v>
      </c>
      <c r="G278" s="29">
        <v>0</v>
      </c>
      <c r="H278" s="30">
        <f t="shared" si="15"/>
        <v>0</v>
      </c>
      <c r="I278" s="32" t="s">
        <v>548</v>
      </c>
    </row>
    <row r="279" ht="38.25">
      <c r="A279" s="32">
        <v>1302</v>
      </c>
      <c r="B279" s="27" t="s">
        <v>549</v>
      </c>
      <c r="D279" s="28" t="s">
        <v>22</v>
      </c>
      <c r="E279" s="32">
        <v>15500</v>
      </c>
      <c r="F279" s="29">
        <f t="shared" si="14"/>
        <v>0</v>
      </c>
      <c r="G279" s="29">
        <v>0</v>
      </c>
      <c r="H279" s="30">
        <f t="shared" si="15"/>
        <v>0</v>
      </c>
      <c r="I279" s="32" t="s">
        <v>550</v>
      </c>
    </row>
    <row r="280" ht="25.5">
      <c r="A280" s="32">
        <v>1303</v>
      </c>
      <c r="B280" s="27" t="s">
        <v>551</v>
      </c>
      <c r="D280" s="28" t="s">
        <v>22</v>
      </c>
      <c r="E280" s="32">
        <v>2604</v>
      </c>
      <c r="F280" s="29">
        <f t="shared" si="14"/>
        <v>0</v>
      </c>
      <c r="G280" s="29">
        <v>0</v>
      </c>
      <c r="H280" s="30">
        <f t="shared" si="15"/>
        <v>0</v>
      </c>
      <c r="I280" s="32" t="s">
        <v>552</v>
      </c>
    </row>
    <row r="281" ht="38.25">
      <c r="A281" s="32">
        <v>1304</v>
      </c>
      <c r="B281" s="27" t="s">
        <v>553</v>
      </c>
      <c r="D281" s="28" t="s">
        <v>22</v>
      </c>
      <c r="E281" s="32">
        <v>14721</v>
      </c>
      <c r="F281" s="29">
        <f t="shared" si="14"/>
        <v>0</v>
      </c>
      <c r="G281" s="29">
        <v>0</v>
      </c>
      <c r="H281" s="30">
        <f t="shared" si="15"/>
        <v>0</v>
      </c>
      <c r="I281" s="32" t="s">
        <v>554</v>
      </c>
    </row>
    <row r="282">
      <c r="A282" s="32"/>
      <c r="B282" s="32"/>
      <c r="C282" s="32"/>
      <c r="D282" s="32"/>
      <c r="E282" s="32"/>
      <c r="F282" s="29">
        <f t="shared" si="14"/>
        <v>0</v>
      </c>
      <c r="G282" s="29">
        <v>0</v>
      </c>
      <c r="H282" s="30">
        <f t="shared" si="15"/>
        <v>0</v>
      </c>
    </row>
    <row r="283">
      <c r="A283" s="45" t="s">
        <v>555</v>
      </c>
      <c r="B283" s="45"/>
      <c r="C283" s="45"/>
      <c r="D283" s="45"/>
      <c r="E283" s="34"/>
      <c r="F283" s="29">
        <f t="shared" si="14"/>
        <v>0</v>
      </c>
      <c r="G283" s="29">
        <v>0</v>
      </c>
      <c r="H283" s="30">
        <f t="shared" si="15"/>
        <v>0</v>
      </c>
    </row>
    <row r="284" ht="38.25">
      <c r="A284" s="32">
        <v>1401</v>
      </c>
      <c r="B284" s="27" t="s">
        <v>556</v>
      </c>
      <c r="D284" s="28" t="s">
        <v>30</v>
      </c>
      <c r="E284" s="32">
        <v>674335</v>
      </c>
      <c r="F284" s="29">
        <f t="shared" si="14"/>
        <v>0</v>
      </c>
      <c r="G284" s="29">
        <v>0</v>
      </c>
      <c r="H284" s="30">
        <f t="shared" si="15"/>
        <v>0</v>
      </c>
      <c r="I284" s="32" t="s">
        <v>557</v>
      </c>
    </row>
    <row r="285" ht="89.25">
      <c r="A285" s="32">
        <v>1402</v>
      </c>
      <c r="B285" s="27" t="s">
        <v>558</v>
      </c>
      <c r="D285" s="28"/>
      <c r="E285" s="28"/>
      <c r="F285" s="29">
        <f t="shared" si="14"/>
        <v>0</v>
      </c>
      <c r="G285" s="29">
        <v>0</v>
      </c>
      <c r="H285" s="30">
        <f t="shared" si="15"/>
        <v>0</v>
      </c>
      <c r="I285" s="32" t="s">
        <v>559</v>
      </c>
    </row>
    <row r="286" ht="25.5">
      <c r="A286" s="28" t="s">
        <v>20</v>
      </c>
      <c r="B286" s="27" t="s">
        <v>560</v>
      </c>
      <c r="D286" s="28" t="s">
        <v>22</v>
      </c>
      <c r="E286" s="32">
        <v>51555</v>
      </c>
      <c r="F286" s="29">
        <f t="shared" ref="F286:F349" si="16">C286*E286</f>
        <v>0</v>
      </c>
      <c r="G286" s="29">
        <v>0</v>
      </c>
      <c r="H286" s="30">
        <f t="shared" ref="H286:H349" si="17">SUM(F286:G286)</f>
        <v>0</v>
      </c>
      <c r="I286" s="28" t="s">
        <v>561</v>
      </c>
    </row>
    <row r="287" ht="25.5">
      <c r="A287" s="28" t="s">
        <v>24</v>
      </c>
      <c r="B287" s="27" t="s">
        <v>562</v>
      </c>
      <c r="D287" s="28" t="s">
        <v>22</v>
      </c>
      <c r="E287" s="32">
        <v>34370</v>
      </c>
      <c r="F287" s="29">
        <f t="shared" si="16"/>
        <v>0</v>
      </c>
      <c r="G287" s="29">
        <v>0</v>
      </c>
      <c r="H287" s="30">
        <f t="shared" si="17"/>
        <v>0</v>
      </c>
      <c r="I287" s="28" t="s">
        <v>563</v>
      </c>
    </row>
    <row r="288" ht="25.5">
      <c r="A288" s="28" t="s">
        <v>42</v>
      </c>
      <c r="B288" s="27" t="s">
        <v>564</v>
      </c>
      <c r="D288" s="28" t="s">
        <v>22</v>
      </c>
      <c r="E288" s="32">
        <v>17185</v>
      </c>
      <c r="F288" s="29">
        <f t="shared" si="16"/>
        <v>0</v>
      </c>
      <c r="G288" s="29">
        <v>0</v>
      </c>
      <c r="H288" s="30">
        <f t="shared" si="17"/>
        <v>0</v>
      </c>
      <c r="I288" s="28" t="s">
        <v>565</v>
      </c>
    </row>
    <row r="289" ht="25.5">
      <c r="A289" s="28" t="s">
        <v>69</v>
      </c>
      <c r="B289" s="27" t="s">
        <v>566</v>
      </c>
      <c r="D289" s="28" t="s">
        <v>22</v>
      </c>
      <c r="E289" s="32">
        <v>34230</v>
      </c>
      <c r="F289" s="29">
        <f t="shared" si="16"/>
        <v>0</v>
      </c>
      <c r="G289" s="29">
        <v>0</v>
      </c>
      <c r="H289" s="30">
        <f t="shared" si="17"/>
        <v>0</v>
      </c>
      <c r="I289" s="28" t="s">
        <v>567</v>
      </c>
    </row>
    <row r="290" ht="25.5">
      <c r="A290" s="28" t="s">
        <v>72</v>
      </c>
      <c r="B290" s="27" t="s">
        <v>568</v>
      </c>
      <c r="D290" s="28" t="s">
        <v>30</v>
      </c>
      <c r="E290" s="32">
        <v>30934</v>
      </c>
      <c r="F290" s="29">
        <f t="shared" si="16"/>
        <v>0</v>
      </c>
      <c r="G290" s="29">
        <v>0</v>
      </c>
      <c r="H290" s="30">
        <f t="shared" si="17"/>
        <v>0</v>
      </c>
      <c r="I290" s="28" t="s">
        <v>569</v>
      </c>
    </row>
    <row r="291" ht="25.5">
      <c r="A291" s="28" t="s">
        <v>75</v>
      </c>
      <c r="B291" s="27" t="s">
        <v>570</v>
      </c>
      <c r="D291" s="28" t="s">
        <v>30</v>
      </c>
      <c r="E291" s="32">
        <v>43669</v>
      </c>
      <c r="F291" s="29">
        <f t="shared" si="16"/>
        <v>0</v>
      </c>
      <c r="G291" s="29">
        <v>0</v>
      </c>
      <c r="H291" s="30">
        <f t="shared" si="17"/>
        <v>0</v>
      </c>
      <c r="I291" s="28" t="s">
        <v>571</v>
      </c>
    </row>
    <row r="292" ht="25.5">
      <c r="A292" s="28" t="s">
        <v>204</v>
      </c>
      <c r="B292" s="27" t="s">
        <v>572</v>
      </c>
      <c r="D292" s="28" t="s">
        <v>22</v>
      </c>
      <c r="E292" s="32">
        <v>47877</v>
      </c>
      <c r="F292" s="29">
        <f t="shared" si="16"/>
        <v>0</v>
      </c>
      <c r="G292" s="29">
        <v>0</v>
      </c>
      <c r="H292" s="30">
        <f t="shared" si="17"/>
        <v>0</v>
      </c>
      <c r="I292" s="28" t="s">
        <v>573</v>
      </c>
    </row>
    <row r="293" ht="25.5">
      <c r="A293" s="28" t="s">
        <v>419</v>
      </c>
      <c r="B293" s="27" t="s">
        <v>574</v>
      </c>
      <c r="D293" s="28" t="s">
        <v>22</v>
      </c>
      <c r="E293" s="32">
        <v>35876</v>
      </c>
      <c r="F293" s="29">
        <f t="shared" si="16"/>
        <v>0</v>
      </c>
      <c r="G293" s="29">
        <v>0</v>
      </c>
      <c r="H293" s="30">
        <f t="shared" si="17"/>
        <v>0</v>
      </c>
      <c r="I293" s="28" t="s">
        <v>575</v>
      </c>
    </row>
    <row r="294" ht="25.5">
      <c r="A294" s="28" t="s">
        <v>422</v>
      </c>
      <c r="B294" s="27" t="s">
        <v>576</v>
      </c>
      <c r="D294" s="28" t="s">
        <v>22</v>
      </c>
      <c r="E294" s="32">
        <v>16415</v>
      </c>
      <c r="F294" s="29">
        <f t="shared" si="16"/>
        <v>0</v>
      </c>
      <c r="G294" s="29">
        <v>0</v>
      </c>
      <c r="H294" s="30">
        <f t="shared" si="17"/>
        <v>0</v>
      </c>
      <c r="I294" s="28" t="s">
        <v>577</v>
      </c>
    </row>
    <row r="295" ht="229.5">
      <c r="A295" s="32">
        <v>1403</v>
      </c>
      <c r="B295" s="27" t="s">
        <v>578</v>
      </c>
      <c r="D295" s="28" t="s">
        <v>30</v>
      </c>
      <c r="E295" s="32">
        <v>887832</v>
      </c>
      <c r="F295" s="29">
        <f t="shared" si="16"/>
        <v>0</v>
      </c>
      <c r="G295" s="29">
        <v>0</v>
      </c>
      <c r="H295" s="30">
        <f t="shared" si="17"/>
        <v>0</v>
      </c>
      <c r="I295" s="32" t="s">
        <v>579</v>
      </c>
    </row>
    <row r="296" ht="76.5">
      <c r="A296" s="32">
        <v>1404</v>
      </c>
      <c r="B296" s="27" t="s">
        <v>580</v>
      </c>
      <c r="D296" s="28"/>
      <c r="E296" s="28"/>
      <c r="F296" s="29">
        <f t="shared" si="16"/>
        <v>0</v>
      </c>
      <c r="G296" s="29">
        <v>0</v>
      </c>
      <c r="H296" s="30">
        <f t="shared" si="17"/>
        <v>0</v>
      </c>
      <c r="I296" s="32" t="s">
        <v>581</v>
      </c>
    </row>
    <row r="297" ht="25.5">
      <c r="A297" s="28" t="s">
        <v>20</v>
      </c>
      <c r="B297" s="27" t="s">
        <v>582</v>
      </c>
      <c r="D297" s="28" t="s">
        <v>22</v>
      </c>
      <c r="E297" s="32">
        <v>41220</v>
      </c>
      <c r="F297" s="29">
        <f t="shared" si="16"/>
        <v>0</v>
      </c>
      <c r="G297" s="29">
        <v>0</v>
      </c>
      <c r="H297" s="30">
        <f t="shared" si="17"/>
        <v>0</v>
      </c>
      <c r="I297" s="28" t="s">
        <v>583</v>
      </c>
    </row>
    <row r="298" ht="25.5">
      <c r="A298" s="28" t="s">
        <v>24</v>
      </c>
      <c r="B298" s="27" t="s">
        <v>582</v>
      </c>
      <c r="D298" s="28" t="s">
        <v>22</v>
      </c>
      <c r="E298" s="32">
        <v>41141</v>
      </c>
      <c r="F298" s="29">
        <f t="shared" si="16"/>
        <v>0</v>
      </c>
      <c r="G298" s="29">
        <v>0</v>
      </c>
      <c r="H298" s="30">
        <f t="shared" si="17"/>
        <v>0</v>
      </c>
      <c r="I298" s="28" t="s">
        <v>584</v>
      </c>
    </row>
    <row r="299" ht="25.5">
      <c r="A299" s="28" t="s">
        <v>42</v>
      </c>
      <c r="B299" s="27" t="s">
        <v>585</v>
      </c>
      <c r="D299" s="28" t="s">
        <v>22</v>
      </c>
      <c r="E299" s="32">
        <v>41141</v>
      </c>
      <c r="F299" s="29">
        <f t="shared" si="16"/>
        <v>0</v>
      </c>
      <c r="G299" s="29">
        <v>0</v>
      </c>
      <c r="H299" s="30">
        <f t="shared" si="17"/>
        <v>0</v>
      </c>
      <c r="I299" s="28" t="s">
        <v>586</v>
      </c>
    </row>
    <row r="300" ht="25.5">
      <c r="A300" s="28" t="s">
        <v>69</v>
      </c>
      <c r="B300" s="27" t="s">
        <v>587</v>
      </c>
      <c r="D300" s="28" t="s">
        <v>22</v>
      </c>
      <c r="E300" s="32">
        <v>110256</v>
      </c>
      <c r="F300" s="29">
        <f t="shared" si="16"/>
        <v>0</v>
      </c>
      <c r="G300" s="29">
        <v>0</v>
      </c>
      <c r="H300" s="30">
        <f t="shared" si="17"/>
        <v>0</v>
      </c>
      <c r="I300" s="28" t="s">
        <v>588</v>
      </c>
    </row>
    <row r="301" ht="25.5">
      <c r="A301" s="28" t="s">
        <v>72</v>
      </c>
      <c r="B301" s="27" t="s">
        <v>589</v>
      </c>
      <c r="D301" s="28" t="s">
        <v>22</v>
      </c>
      <c r="E301" s="32">
        <v>41141</v>
      </c>
      <c r="F301" s="29">
        <f t="shared" si="16"/>
        <v>0</v>
      </c>
      <c r="G301" s="29">
        <v>0</v>
      </c>
      <c r="H301" s="30">
        <f t="shared" si="17"/>
        <v>0</v>
      </c>
      <c r="I301" s="28" t="s">
        <v>590</v>
      </c>
    </row>
    <row r="302" ht="25.5">
      <c r="A302" s="28" t="s">
        <v>72</v>
      </c>
      <c r="B302" s="27" t="s">
        <v>589</v>
      </c>
      <c r="D302" s="28" t="s">
        <v>22</v>
      </c>
      <c r="E302" s="32">
        <v>41141</v>
      </c>
      <c r="F302" s="29">
        <f t="shared" si="16"/>
        <v>0</v>
      </c>
      <c r="G302" s="29">
        <v>0</v>
      </c>
      <c r="H302" s="30">
        <f t="shared" si="17"/>
        <v>0</v>
      </c>
      <c r="I302" s="28" t="s">
        <v>590</v>
      </c>
    </row>
    <row r="303" ht="25.5">
      <c r="A303" s="28" t="s">
        <v>75</v>
      </c>
      <c r="B303" s="27" t="s">
        <v>591</v>
      </c>
      <c r="D303" s="28" t="s">
        <v>22</v>
      </c>
      <c r="E303" s="32">
        <v>24684</v>
      </c>
      <c r="F303" s="29">
        <f t="shared" si="16"/>
        <v>0</v>
      </c>
      <c r="G303" s="29">
        <v>0</v>
      </c>
      <c r="H303" s="30">
        <f t="shared" si="17"/>
        <v>0</v>
      </c>
      <c r="I303" s="28" t="s">
        <v>592</v>
      </c>
    </row>
    <row r="304" ht="25.5">
      <c r="A304" s="28" t="s">
        <v>204</v>
      </c>
      <c r="B304" s="27" t="s">
        <v>593</v>
      </c>
      <c r="D304" s="28" t="s">
        <v>22</v>
      </c>
      <c r="E304" s="32">
        <v>55951</v>
      </c>
      <c r="F304" s="29">
        <f t="shared" si="16"/>
        <v>0</v>
      </c>
      <c r="G304" s="29">
        <v>0</v>
      </c>
      <c r="H304" s="30">
        <f t="shared" si="17"/>
        <v>0</v>
      </c>
      <c r="I304" s="28" t="s">
        <v>594</v>
      </c>
    </row>
    <row r="305" ht="25.5">
      <c r="A305" s="28" t="s">
        <v>419</v>
      </c>
      <c r="B305" s="27" t="s">
        <v>595</v>
      </c>
      <c r="D305" s="28" t="s">
        <v>22</v>
      </c>
      <c r="E305" s="32">
        <v>59243</v>
      </c>
      <c r="F305" s="29">
        <f t="shared" si="16"/>
        <v>0</v>
      </c>
      <c r="G305" s="29">
        <v>0</v>
      </c>
      <c r="H305" s="30">
        <f t="shared" si="17"/>
        <v>0</v>
      </c>
      <c r="I305" s="28" t="s">
        <v>596</v>
      </c>
    </row>
    <row r="306" ht="318.75">
      <c r="A306" s="32">
        <v>1405</v>
      </c>
      <c r="B306" s="27" t="s">
        <v>597</v>
      </c>
      <c r="D306" s="28" t="s">
        <v>30</v>
      </c>
      <c r="E306" s="32">
        <v>133197</v>
      </c>
      <c r="F306" s="29">
        <f t="shared" si="16"/>
        <v>0</v>
      </c>
      <c r="G306" s="29">
        <v>0</v>
      </c>
      <c r="H306" s="30">
        <f t="shared" si="17"/>
        <v>0</v>
      </c>
      <c r="I306" s="32" t="s">
        <v>598</v>
      </c>
    </row>
    <row r="307" ht="76.5" customHeight="1">
      <c r="A307" s="32">
        <v>1406</v>
      </c>
      <c r="B307" s="27" t="s">
        <v>599</v>
      </c>
      <c r="D307" s="28" t="s">
        <v>22</v>
      </c>
      <c r="E307" s="32">
        <v>83799</v>
      </c>
      <c r="F307" s="29">
        <f t="shared" si="16"/>
        <v>0</v>
      </c>
      <c r="G307" s="29">
        <v>0</v>
      </c>
      <c r="H307" s="30">
        <f t="shared" si="17"/>
        <v>0</v>
      </c>
      <c r="I307" s="32" t="s">
        <v>600</v>
      </c>
    </row>
    <row r="308">
      <c r="A308" s="32"/>
      <c r="B308" s="32"/>
      <c r="C308" s="32"/>
      <c r="D308" s="32"/>
      <c r="E308" s="32"/>
      <c r="F308" s="29">
        <f t="shared" si="16"/>
        <v>0</v>
      </c>
      <c r="G308" s="29">
        <v>0</v>
      </c>
      <c r="H308" s="30">
        <f t="shared" si="17"/>
        <v>0</v>
      </c>
    </row>
    <row r="309">
      <c r="A309" s="34" t="s">
        <v>601</v>
      </c>
      <c r="B309" s="34"/>
      <c r="C309" s="34"/>
      <c r="D309" s="34"/>
      <c r="E309" s="34"/>
      <c r="F309" s="29">
        <f t="shared" si="16"/>
        <v>0</v>
      </c>
      <c r="G309" s="29">
        <v>0</v>
      </c>
      <c r="H309" s="30">
        <f t="shared" si="17"/>
        <v>0</v>
      </c>
    </row>
    <row r="310" s="4" customFormat="1" ht="229.5">
      <c r="A310" s="46">
        <v>1501</v>
      </c>
      <c r="B310" s="47" t="s">
        <v>602</v>
      </c>
      <c r="C310" s="48"/>
      <c r="D310" s="49" t="s">
        <v>30</v>
      </c>
      <c r="E310" s="50">
        <v>16837</v>
      </c>
      <c r="F310" s="51">
        <f t="shared" si="16"/>
        <v>0</v>
      </c>
      <c r="G310" s="51">
        <v>0</v>
      </c>
      <c r="H310" s="52">
        <f t="shared" si="17"/>
        <v>0</v>
      </c>
      <c r="I310" s="50" t="s">
        <v>603</v>
      </c>
    </row>
    <row r="311" s="5" customFormat="1" ht="63.75">
      <c r="A311" s="53">
        <v>1502</v>
      </c>
      <c r="B311" s="54" t="s">
        <v>604</v>
      </c>
      <c r="C311" s="55"/>
      <c r="D311" s="56" t="s">
        <v>30</v>
      </c>
      <c r="E311" s="53">
        <v>14999</v>
      </c>
      <c r="F311" s="57">
        <f t="shared" si="16"/>
        <v>0</v>
      </c>
      <c r="G311" s="57">
        <v>0</v>
      </c>
      <c r="H311" s="58">
        <f t="shared" si="17"/>
        <v>0</v>
      </c>
      <c r="I311" s="53" t="s">
        <v>605</v>
      </c>
    </row>
    <row r="312" s="5" customFormat="1" ht="25.5">
      <c r="A312" s="53">
        <v>1503</v>
      </c>
      <c r="B312" s="54" t="s">
        <v>606</v>
      </c>
      <c r="C312" s="55"/>
      <c r="D312" s="56" t="s">
        <v>159</v>
      </c>
      <c r="E312" s="53">
        <v>546</v>
      </c>
      <c r="F312" s="57">
        <f t="shared" si="16"/>
        <v>0</v>
      </c>
      <c r="G312" s="57">
        <v>0</v>
      </c>
      <c r="H312" s="58">
        <f t="shared" si="17"/>
        <v>0</v>
      </c>
      <c r="I312" s="53" t="s">
        <v>607</v>
      </c>
    </row>
    <row r="313" s="5" customFormat="1" ht="140.25">
      <c r="A313" s="59">
        <v>1504</v>
      </c>
      <c r="B313" s="54" t="s">
        <v>608</v>
      </c>
      <c r="C313" s="55"/>
      <c r="D313" s="56" t="s">
        <v>30</v>
      </c>
      <c r="E313" s="53">
        <v>65725</v>
      </c>
      <c r="F313" s="57">
        <f t="shared" si="16"/>
        <v>0</v>
      </c>
      <c r="G313" s="57">
        <v>0</v>
      </c>
      <c r="H313" s="58">
        <f t="shared" si="17"/>
        <v>0</v>
      </c>
      <c r="I313" s="53" t="s">
        <v>609</v>
      </c>
    </row>
    <row r="314" s="5" customFormat="1" ht="25.5">
      <c r="A314" s="53">
        <v>1505</v>
      </c>
      <c r="B314" s="54" t="s">
        <v>610</v>
      </c>
      <c r="C314" s="55"/>
      <c r="D314" s="56" t="s">
        <v>611</v>
      </c>
      <c r="E314" s="53">
        <v>175</v>
      </c>
      <c r="F314" s="57">
        <f t="shared" si="16"/>
        <v>0</v>
      </c>
      <c r="G314" s="57">
        <v>0</v>
      </c>
      <c r="H314" s="58">
        <f t="shared" si="17"/>
        <v>0</v>
      </c>
      <c r="I314" s="53" t="s">
        <v>612</v>
      </c>
    </row>
    <row r="315">
      <c r="A315" s="32"/>
      <c r="B315" s="32"/>
      <c r="C315" s="32"/>
      <c r="D315" s="32"/>
      <c r="E315" s="32"/>
      <c r="F315" s="29">
        <f t="shared" si="16"/>
        <v>0</v>
      </c>
      <c r="G315" s="29">
        <v>0</v>
      </c>
      <c r="H315" s="30">
        <f t="shared" si="17"/>
        <v>0</v>
      </c>
    </row>
    <row r="316">
      <c r="A316" s="28" t="s">
        <v>613</v>
      </c>
      <c r="B316" s="28"/>
      <c r="C316" s="28"/>
      <c r="D316" s="28"/>
      <c r="E316" s="28"/>
      <c r="F316" s="29">
        <f t="shared" si="16"/>
        <v>0</v>
      </c>
      <c r="G316" s="29">
        <v>0</v>
      </c>
      <c r="H316" s="30">
        <f t="shared" si="17"/>
        <v>0</v>
      </c>
    </row>
    <row r="317" ht="25.5">
      <c r="A317" s="32">
        <v>1601</v>
      </c>
      <c r="B317" s="27" t="s">
        <v>614</v>
      </c>
      <c r="C317" s="28"/>
      <c r="D317" s="28"/>
      <c r="E317" s="28"/>
      <c r="F317" s="29">
        <f t="shared" si="16"/>
        <v>0</v>
      </c>
      <c r="G317" s="29">
        <v>0</v>
      </c>
      <c r="H317" s="30">
        <f t="shared" si="17"/>
        <v>0</v>
      </c>
      <c r="I317" s="32" t="s">
        <v>615</v>
      </c>
    </row>
    <row r="318" ht="323.25" customHeight="1">
      <c r="A318" s="43" t="s">
        <v>20</v>
      </c>
      <c r="B318" s="27" t="s">
        <v>616</v>
      </c>
      <c r="D318" s="28" t="s">
        <v>30</v>
      </c>
      <c r="E318" s="32">
        <v>433500</v>
      </c>
      <c r="F318" s="29">
        <f t="shared" si="16"/>
        <v>0</v>
      </c>
      <c r="G318" s="29">
        <v>0</v>
      </c>
      <c r="H318" s="30">
        <f t="shared" si="17"/>
        <v>0</v>
      </c>
      <c r="I318" s="28" t="s">
        <v>617</v>
      </c>
    </row>
    <row r="319" ht="38.25">
      <c r="A319" s="28" t="s">
        <v>24</v>
      </c>
      <c r="B319" s="27" t="s">
        <v>618</v>
      </c>
      <c r="D319" s="28" t="s">
        <v>22</v>
      </c>
      <c r="E319" s="32">
        <v>21985</v>
      </c>
      <c r="F319" s="29">
        <f t="shared" si="16"/>
        <v>0</v>
      </c>
      <c r="G319" s="29">
        <v>0</v>
      </c>
      <c r="H319" s="30">
        <f t="shared" si="17"/>
        <v>0</v>
      </c>
      <c r="I319" s="28" t="s">
        <v>619</v>
      </c>
    </row>
    <row r="320" ht="76.5">
      <c r="A320" s="28" t="s">
        <v>42</v>
      </c>
      <c r="B320" s="27" t="s">
        <v>620</v>
      </c>
      <c r="D320" s="28" t="s">
        <v>22</v>
      </c>
      <c r="E320" s="32">
        <v>12496</v>
      </c>
      <c r="F320" s="29">
        <f t="shared" si="16"/>
        <v>0</v>
      </c>
      <c r="G320" s="29">
        <v>0</v>
      </c>
      <c r="H320" s="30">
        <f t="shared" si="17"/>
        <v>0</v>
      </c>
      <c r="I320" s="28" t="s">
        <v>621</v>
      </c>
    </row>
    <row r="321" ht="38.25">
      <c r="A321" s="28" t="s">
        <v>69</v>
      </c>
      <c r="B321" s="27" t="s">
        <v>622</v>
      </c>
      <c r="D321" s="28" t="s">
        <v>22</v>
      </c>
      <c r="E321" s="32">
        <v>16082</v>
      </c>
      <c r="F321" s="29">
        <f t="shared" si="16"/>
        <v>0</v>
      </c>
      <c r="G321" s="29">
        <v>0</v>
      </c>
      <c r="H321" s="30">
        <f t="shared" si="17"/>
        <v>0</v>
      </c>
      <c r="I321" s="28" t="s">
        <v>623</v>
      </c>
    </row>
    <row r="322" ht="38.25">
      <c r="A322" s="28" t="s">
        <v>72</v>
      </c>
      <c r="B322" s="27" t="s">
        <v>624</v>
      </c>
      <c r="D322" s="28" t="s">
        <v>22</v>
      </c>
      <c r="E322" s="32">
        <v>1371</v>
      </c>
      <c r="F322" s="29">
        <f t="shared" si="16"/>
        <v>0</v>
      </c>
      <c r="G322" s="29">
        <v>0</v>
      </c>
      <c r="H322" s="30">
        <f t="shared" si="17"/>
        <v>0</v>
      </c>
      <c r="I322" s="28" t="s">
        <v>625</v>
      </c>
    </row>
    <row r="323" ht="76.5">
      <c r="A323" s="28" t="s">
        <v>75</v>
      </c>
      <c r="B323" s="27" t="s">
        <v>626</v>
      </c>
      <c r="D323" s="28" t="s">
        <v>22</v>
      </c>
      <c r="E323" s="32">
        <v>81900</v>
      </c>
      <c r="F323" s="29">
        <f t="shared" si="16"/>
        <v>0</v>
      </c>
      <c r="G323" s="29">
        <v>0</v>
      </c>
      <c r="H323" s="30">
        <f t="shared" si="17"/>
        <v>0</v>
      </c>
      <c r="I323" s="28" t="s">
        <v>627</v>
      </c>
    </row>
    <row r="324" ht="76.5">
      <c r="A324" s="28" t="s">
        <v>204</v>
      </c>
      <c r="B324" s="27" t="s">
        <v>628</v>
      </c>
      <c r="D324" s="28" t="s">
        <v>22</v>
      </c>
      <c r="E324" s="32">
        <v>33578</v>
      </c>
      <c r="F324" s="29">
        <f t="shared" si="16"/>
        <v>0</v>
      </c>
      <c r="G324" s="29">
        <v>0</v>
      </c>
      <c r="H324" s="30">
        <f t="shared" si="17"/>
        <v>0</v>
      </c>
      <c r="I324" s="28" t="s">
        <v>629</v>
      </c>
    </row>
    <row r="325" ht="25.5">
      <c r="A325" s="32">
        <v>1602</v>
      </c>
      <c r="B325" s="27" t="s">
        <v>630</v>
      </c>
      <c r="D325" s="28"/>
      <c r="E325" s="28"/>
      <c r="F325" s="29">
        <f t="shared" si="16"/>
        <v>0</v>
      </c>
      <c r="G325" s="29">
        <v>0</v>
      </c>
      <c r="H325" s="30">
        <f t="shared" si="17"/>
        <v>0</v>
      </c>
      <c r="I325" s="32" t="s">
        <v>631</v>
      </c>
    </row>
    <row r="326" ht="25.5">
      <c r="A326" s="28" t="s">
        <v>20</v>
      </c>
      <c r="B326" s="27" t="s">
        <v>632</v>
      </c>
      <c r="D326" s="28" t="s">
        <v>375</v>
      </c>
      <c r="E326" s="32">
        <v>27258</v>
      </c>
      <c r="F326" s="29">
        <f t="shared" si="16"/>
        <v>0</v>
      </c>
      <c r="G326" s="29">
        <v>0</v>
      </c>
      <c r="H326" s="30">
        <f t="shared" si="17"/>
        <v>0</v>
      </c>
      <c r="I326" s="28" t="s">
        <v>633</v>
      </c>
    </row>
    <row r="327" ht="25.5">
      <c r="A327" s="28" t="s">
        <v>24</v>
      </c>
      <c r="B327" s="27" t="s">
        <v>634</v>
      </c>
      <c r="D327" s="28" t="s">
        <v>22</v>
      </c>
      <c r="E327" s="32">
        <v>32450</v>
      </c>
      <c r="F327" s="29">
        <f t="shared" si="16"/>
        <v>0</v>
      </c>
      <c r="G327" s="29">
        <v>0</v>
      </c>
      <c r="H327" s="30">
        <f t="shared" si="17"/>
        <v>0</v>
      </c>
      <c r="I327" s="28" t="s">
        <v>635</v>
      </c>
    </row>
    <row r="328" ht="51">
      <c r="A328" s="28" t="s">
        <v>42</v>
      </c>
      <c r="B328" s="27" t="s">
        <v>636</v>
      </c>
      <c r="D328" s="28" t="s">
        <v>375</v>
      </c>
      <c r="E328" s="32">
        <v>179124</v>
      </c>
      <c r="F328" s="29">
        <f t="shared" si="16"/>
        <v>0</v>
      </c>
      <c r="G328" s="29">
        <v>0</v>
      </c>
      <c r="H328" s="30">
        <f t="shared" si="17"/>
        <v>0</v>
      </c>
      <c r="I328" s="28" t="s">
        <v>637</v>
      </c>
    </row>
    <row r="329">
      <c r="A329" s="28"/>
      <c r="B329" s="28"/>
      <c r="C329" s="28"/>
      <c r="D329" s="28"/>
      <c r="E329" s="28"/>
      <c r="F329" s="29">
        <f t="shared" si="16"/>
        <v>0</v>
      </c>
      <c r="G329" s="29">
        <v>0</v>
      </c>
      <c r="H329" s="30">
        <f t="shared" si="17"/>
        <v>0</v>
      </c>
    </row>
    <row r="330">
      <c r="A330" s="34" t="s">
        <v>638</v>
      </c>
      <c r="B330" s="34"/>
      <c r="C330" s="34"/>
      <c r="D330" s="34"/>
      <c r="E330" s="34"/>
      <c r="F330" s="29">
        <f t="shared" si="16"/>
        <v>0</v>
      </c>
      <c r="G330" s="29">
        <v>0</v>
      </c>
      <c r="H330" s="30">
        <f t="shared" si="17"/>
        <v>0</v>
      </c>
    </row>
    <row r="331" ht="25.5">
      <c r="A331" s="32">
        <v>1701</v>
      </c>
      <c r="B331" s="27" t="s">
        <v>639</v>
      </c>
      <c r="D331" s="28" t="s">
        <v>22</v>
      </c>
      <c r="E331" s="32">
        <v>78</v>
      </c>
      <c r="F331" s="29">
        <f t="shared" si="16"/>
        <v>0</v>
      </c>
      <c r="G331" s="29">
        <v>0</v>
      </c>
      <c r="H331" s="30">
        <f t="shared" si="17"/>
        <v>0</v>
      </c>
      <c r="I331" s="32" t="s">
        <v>640</v>
      </c>
    </row>
    <row r="332" ht="25.5">
      <c r="A332" s="32">
        <v>1702</v>
      </c>
      <c r="B332" s="27" t="s">
        <v>641</v>
      </c>
      <c r="D332" s="28" t="s">
        <v>22</v>
      </c>
      <c r="E332" s="32">
        <v>1163</v>
      </c>
      <c r="F332" s="29">
        <f t="shared" si="16"/>
        <v>0</v>
      </c>
      <c r="G332" s="29">
        <v>0</v>
      </c>
      <c r="H332" s="30">
        <f t="shared" si="17"/>
        <v>0</v>
      </c>
      <c r="I332" s="32" t="s">
        <v>642</v>
      </c>
    </row>
    <row r="333" ht="25.5">
      <c r="A333" s="32">
        <v>1703</v>
      </c>
      <c r="B333" s="27" t="s">
        <v>643</v>
      </c>
      <c r="D333" s="28" t="s">
        <v>22</v>
      </c>
      <c r="E333" s="32">
        <v>51</v>
      </c>
      <c r="F333" s="29">
        <f t="shared" si="16"/>
        <v>0</v>
      </c>
      <c r="G333" s="29">
        <v>0</v>
      </c>
      <c r="H333" s="30">
        <f t="shared" si="17"/>
        <v>0</v>
      </c>
      <c r="I333" s="32" t="s">
        <v>644</v>
      </c>
    </row>
    <row r="334" ht="38.25">
      <c r="A334" s="32">
        <v>1704</v>
      </c>
      <c r="B334" s="27" t="s">
        <v>645</v>
      </c>
      <c r="D334" s="28" t="s">
        <v>22</v>
      </c>
      <c r="E334" s="32">
        <v>2073</v>
      </c>
      <c r="F334" s="29">
        <f t="shared" si="16"/>
        <v>0</v>
      </c>
      <c r="G334" s="29">
        <v>0</v>
      </c>
      <c r="H334" s="30">
        <f t="shared" si="17"/>
        <v>0</v>
      </c>
      <c r="I334" s="32" t="s">
        <v>646</v>
      </c>
    </row>
    <row r="335" ht="25.5">
      <c r="A335" s="32">
        <v>1705</v>
      </c>
      <c r="B335" s="27" t="s">
        <v>647</v>
      </c>
      <c r="D335" s="28"/>
      <c r="E335" s="28"/>
      <c r="F335" s="29">
        <f t="shared" si="16"/>
        <v>0</v>
      </c>
      <c r="G335" s="29">
        <v>0</v>
      </c>
      <c r="H335" s="30">
        <f t="shared" si="17"/>
        <v>0</v>
      </c>
      <c r="I335" s="32" t="s">
        <v>648</v>
      </c>
    </row>
    <row r="336" ht="25.5">
      <c r="A336" s="28" t="s">
        <v>20</v>
      </c>
      <c r="B336" s="27" t="s">
        <v>649</v>
      </c>
      <c r="D336" s="28" t="s">
        <v>22</v>
      </c>
      <c r="E336" s="32">
        <v>25</v>
      </c>
      <c r="F336" s="29">
        <f t="shared" si="16"/>
        <v>0</v>
      </c>
      <c r="G336" s="29">
        <v>0</v>
      </c>
      <c r="H336" s="30">
        <f t="shared" si="17"/>
        <v>0</v>
      </c>
      <c r="I336" s="28" t="s">
        <v>650</v>
      </c>
    </row>
    <row r="337" ht="25.5">
      <c r="A337" s="28" t="s">
        <v>24</v>
      </c>
      <c r="B337" s="27" t="s">
        <v>651</v>
      </c>
      <c r="D337" s="28" t="s">
        <v>22</v>
      </c>
      <c r="E337" s="32">
        <v>12</v>
      </c>
      <c r="F337" s="29">
        <f t="shared" si="16"/>
        <v>0</v>
      </c>
      <c r="G337" s="29">
        <v>0</v>
      </c>
      <c r="H337" s="30">
        <f t="shared" si="17"/>
        <v>0</v>
      </c>
      <c r="I337" s="28" t="s">
        <v>652</v>
      </c>
    </row>
    <row r="338" ht="25.5">
      <c r="A338" s="28" t="s">
        <v>42</v>
      </c>
      <c r="B338" s="27" t="s">
        <v>653</v>
      </c>
      <c r="D338" s="28" t="s">
        <v>22</v>
      </c>
      <c r="E338" s="32">
        <v>3</v>
      </c>
      <c r="F338" s="29">
        <f t="shared" si="16"/>
        <v>0</v>
      </c>
      <c r="G338" s="29">
        <v>0</v>
      </c>
      <c r="H338" s="30">
        <f t="shared" si="17"/>
        <v>0</v>
      </c>
      <c r="I338" s="28" t="s">
        <v>654</v>
      </c>
    </row>
    <row r="339" ht="25.5">
      <c r="A339" s="28" t="s">
        <v>69</v>
      </c>
      <c r="B339" s="27" t="s">
        <v>655</v>
      </c>
      <c r="D339" s="28" t="s">
        <v>22</v>
      </c>
      <c r="E339" s="32">
        <v>6</v>
      </c>
      <c r="F339" s="29">
        <f t="shared" si="16"/>
        <v>0</v>
      </c>
      <c r="G339" s="29">
        <v>0</v>
      </c>
      <c r="H339" s="30">
        <f t="shared" si="17"/>
        <v>0</v>
      </c>
      <c r="I339" s="28" t="s">
        <v>656</v>
      </c>
    </row>
    <row r="340" ht="25.5">
      <c r="A340" s="32">
        <v>1706</v>
      </c>
      <c r="B340" s="27" t="s">
        <v>657</v>
      </c>
      <c r="D340" s="28" t="s">
        <v>22</v>
      </c>
      <c r="E340" s="32">
        <v>5274</v>
      </c>
      <c r="F340" s="29">
        <f t="shared" si="16"/>
        <v>0</v>
      </c>
      <c r="G340" s="29">
        <v>0</v>
      </c>
      <c r="H340" s="30">
        <f t="shared" si="17"/>
        <v>0</v>
      </c>
      <c r="I340" s="32" t="s">
        <v>658</v>
      </c>
    </row>
    <row r="341" ht="38.25">
      <c r="A341" s="32">
        <v>1707</v>
      </c>
      <c r="B341" s="27" t="s">
        <v>659</v>
      </c>
      <c r="D341" s="28" t="s">
        <v>22</v>
      </c>
      <c r="E341" s="32">
        <v>18</v>
      </c>
      <c r="F341" s="29">
        <f t="shared" si="16"/>
        <v>0</v>
      </c>
      <c r="G341" s="29">
        <v>0</v>
      </c>
      <c r="H341" s="30">
        <f t="shared" si="17"/>
        <v>0</v>
      </c>
      <c r="I341" s="32" t="s">
        <v>660</v>
      </c>
    </row>
    <row r="342" ht="38.25">
      <c r="A342" s="32">
        <v>1708</v>
      </c>
      <c r="B342" s="27" t="s">
        <v>661</v>
      </c>
      <c r="D342" s="28" t="s">
        <v>22</v>
      </c>
      <c r="E342" s="32">
        <v>300</v>
      </c>
      <c r="F342" s="29">
        <f t="shared" si="16"/>
        <v>0</v>
      </c>
      <c r="G342" s="29">
        <v>0</v>
      </c>
      <c r="H342" s="30">
        <f t="shared" si="17"/>
        <v>0</v>
      </c>
      <c r="I342" s="32" t="s">
        <v>662</v>
      </c>
    </row>
    <row r="343" ht="25.5">
      <c r="A343" s="32">
        <v>1709</v>
      </c>
      <c r="B343" s="27" t="s">
        <v>663</v>
      </c>
      <c r="D343" s="28" t="s">
        <v>22</v>
      </c>
      <c r="E343" s="32">
        <v>557</v>
      </c>
      <c r="F343" s="29">
        <f t="shared" si="16"/>
        <v>0</v>
      </c>
      <c r="G343" s="29">
        <v>0</v>
      </c>
      <c r="H343" s="30">
        <f t="shared" si="17"/>
        <v>0</v>
      </c>
      <c r="I343" s="32" t="s">
        <v>664</v>
      </c>
    </row>
    <row r="344" ht="25.5">
      <c r="A344" s="32">
        <v>1710</v>
      </c>
      <c r="B344" s="27" t="s">
        <v>665</v>
      </c>
      <c r="D344" s="28" t="s">
        <v>22</v>
      </c>
      <c r="E344" s="32">
        <v>1390</v>
      </c>
      <c r="F344" s="29">
        <f t="shared" si="16"/>
        <v>0</v>
      </c>
      <c r="G344" s="29">
        <v>0</v>
      </c>
      <c r="H344" s="30">
        <f t="shared" si="17"/>
        <v>0</v>
      </c>
      <c r="I344" s="32" t="s">
        <v>666</v>
      </c>
    </row>
    <row r="345" ht="63.75">
      <c r="A345" s="32">
        <v>1711</v>
      </c>
      <c r="B345" s="27" t="s">
        <v>667</v>
      </c>
      <c r="D345" s="28" t="s">
        <v>668</v>
      </c>
      <c r="E345" s="32">
        <v>6183</v>
      </c>
      <c r="F345" s="29">
        <f t="shared" si="16"/>
        <v>0</v>
      </c>
      <c r="G345" s="29">
        <v>0</v>
      </c>
      <c r="H345" s="30">
        <f t="shared" si="17"/>
        <v>0</v>
      </c>
      <c r="I345" s="32" t="s">
        <v>669</v>
      </c>
    </row>
    <row r="346" ht="63.75">
      <c r="A346" s="32">
        <v>1712</v>
      </c>
      <c r="B346" s="27" t="s">
        <v>670</v>
      </c>
      <c r="D346" s="28" t="s">
        <v>22</v>
      </c>
      <c r="E346" s="32">
        <v>195</v>
      </c>
      <c r="F346" s="29">
        <f t="shared" si="16"/>
        <v>0</v>
      </c>
      <c r="G346" s="29">
        <v>0</v>
      </c>
      <c r="H346" s="30">
        <f t="shared" si="17"/>
        <v>0</v>
      </c>
      <c r="I346" s="32" t="s">
        <v>671</v>
      </c>
    </row>
    <row r="347" ht="89.25">
      <c r="A347" s="38">
        <v>1713</v>
      </c>
      <c r="B347" s="27" t="s">
        <v>672</v>
      </c>
      <c r="D347" s="28" t="s">
        <v>30</v>
      </c>
      <c r="E347" s="32">
        <v>3766</v>
      </c>
      <c r="F347" s="29">
        <f t="shared" si="16"/>
        <v>0</v>
      </c>
      <c r="G347" s="29">
        <v>0</v>
      </c>
      <c r="H347" s="30">
        <f t="shared" si="17"/>
        <v>0</v>
      </c>
      <c r="I347" s="32" t="s">
        <v>673</v>
      </c>
    </row>
    <row r="348" ht="25.5">
      <c r="A348" s="32">
        <v>1714</v>
      </c>
      <c r="B348" s="27" t="s">
        <v>674</v>
      </c>
      <c r="D348" s="28" t="s">
        <v>22</v>
      </c>
      <c r="E348" s="32">
        <v>486</v>
      </c>
      <c r="F348" s="29">
        <f t="shared" si="16"/>
        <v>0</v>
      </c>
      <c r="G348" s="29">
        <v>0</v>
      </c>
      <c r="H348" s="30">
        <f t="shared" si="17"/>
        <v>0</v>
      </c>
      <c r="I348" s="32" t="s">
        <v>675</v>
      </c>
    </row>
    <row r="349" ht="114.75">
      <c r="A349" s="32">
        <v>1715</v>
      </c>
      <c r="B349" s="27" t="s">
        <v>676</v>
      </c>
      <c r="D349" s="28" t="s">
        <v>22</v>
      </c>
      <c r="E349" s="32">
        <v>22602</v>
      </c>
      <c r="F349" s="29">
        <f t="shared" si="16"/>
        <v>0</v>
      </c>
      <c r="G349" s="29">
        <v>0</v>
      </c>
      <c r="H349" s="30">
        <f t="shared" si="17"/>
        <v>0</v>
      </c>
      <c r="I349" s="32" t="s">
        <v>677</v>
      </c>
    </row>
    <row r="350" ht="25.5">
      <c r="A350" s="32">
        <v>1716</v>
      </c>
      <c r="B350" s="27" t="s">
        <v>678</v>
      </c>
      <c r="D350" s="28"/>
      <c r="E350" s="28"/>
      <c r="F350" s="29">
        <f t="shared" ref="F350:F414" si="18">C350*E350</f>
        <v>0</v>
      </c>
      <c r="G350" s="29">
        <v>0</v>
      </c>
      <c r="H350" s="30">
        <f t="shared" ref="H350:H414" si="19">SUM(F350:G350)</f>
        <v>0</v>
      </c>
      <c r="I350" s="32" t="s">
        <v>679</v>
      </c>
    </row>
    <row r="351" ht="25.5">
      <c r="A351" s="28" t="s">
        <v>20</v>
      </c>
      <c r="B351" s="27" t="s">
        <v>680</v>
      </c>
      <c r="D351" s="28" t="s">
        <v>22</v>
      </c>
      <c r="E351" s="32">
        <v>29573</v>
      </c>
      <c r="F351" s="29">
        <f t="shared" si="18"/>
        <v>0</v>
      </c>
      <c r="G351" s="29">
        <v>0</v>
      </c>
      <c r="H351" s="30">
        <f t="shared" si="19"/>
        <v>0</v>
      </c>
      <c r="I351" s="28" t="s">
        <v>681</v>
      </c>
    </row>
    <row r="352" ht="25.5">
      <c r="A352" s="28" t="s">
        <v>24</v>
      </c>
      <c r="B352" s="27" t="s">
        <v>682</v>
      </c>
      <c r="D352" s="28" t="s">
        <v>22</v>
      </c>
      <c r="E352" s="32">
        <v>4018</v>
      </c>
      <c r="F352" s="29">
        <f t="shared" si="18"/>
        <v>0</v>
      </c>
      <c r="G352" s="29">
        <v>0</v>
      </c>
      <c r="H352" s="30">
        <f t="shared" si="19"/>
        <v>0</v>
      </c>
      <c r="I352" s="28" t="s">
        <v>683</v>
      </c>
    </row>
    <row r="353" ht="25.5">
      <c r="A353" s="28" t="s">
        <v>42</v>
      </c>
      <c r="B353" s="27" t="s">
        <v>684</v>
      </c>
      <c r="D353" s="28" t="s">
        <v>22</v>
      </c>
      <c r="E353" s="32">
        <v>5516</v>
      </c>
      <c r="F353" s="29">
        <f t="shared" si="18"/>
        <v>0</v>
      </c>
      <c r="G353" s="29">
        <v>0</v>
      </c>
      <c r="H353" s="30">
        <f t="shared" si="19"/>
        <v>0</v>
      </c>
      <c r="I353" s="28" t="s">
        <v>685</v>
      </c>
    </row>
    <row r="354" ht="25.5">
      <c r="A354" s="28" t="s">
        <v>69</v>
      </c>
      <c r="B354" s="27" t="s">
        <v>686</v>
      </c>
      <c r="D354" s="28" t="s">
        <v>22</v>
      </c>
      <c r="E354" s="32">
        <v>10671</v>
      </c>
      <c r="F354" s="29">
        <f t="shared" si="18"/>
        <v>0</v>
      </c>
      <c r="G354" s="29">
        <v>0</v>
      </c>
      <c r="H354" s="30">
        <f t="shared" si="19"/>
        <v>0</v>
      </c>
      <c r="I354" s="28" t="s">
        <v>687</v>
      </c>
    </row>
    <row r="355" ht="25.5">
      <c r="A355" s="28" t="s">
        <v>72</v>
      </c>
      <c r="B355" s="27" t="s">
        <v>688</v>
      </c>
      <c r="D355" s="28" t="s">
        <v>22</v>
      </c>
      <c r="E355" s="32">
        <v>26479</v>
      </c>
      <c r="F355" s="29">
        <f t="shared" si="18"/>
        <v>0</v>
      </c>
      <c r="G355" s="29">
        <v>0</v>
      </c>
      <c r="H355" s="30">
        <f t="shared" si="19"/>
        <v>0</v>
      </c>
      <c r="I355" s="28" t="s">
        <v>689</v>
      </c>
    </row>
    <row r="356" ht="25.5">
      <c r="A356" s="28" t="s">
        <v>75</v>
      </c>
      <c r="B356" s="27" t="s">
        <v>690</v>
      </c>
      <c r="D356" s="28" t="s">
        <v>22</v>
      </c>
      <c r="E356" s="32">
        <v>489</v>
      </c>
      <c r="F356" s="29">
        <f t="shared" si="18"/>
        <v>0</v>
      </c>
      <c r="G356" s="29">
        <v>0</v>
      </c>
      <c r="H356" s="30">
        <f t="shared" si="19"/>
        <v>0</v>
      </c>
      <c r="I356" s="28" t="s">
        <v>691</v>
      </c>
    </row>
    <row r="357" ht="38.25">
      <c r="A357" s="28" t="s">
        <v>204</v>
      </c>
      <c r="B357" s="27" t="s">
        <v>692</v>
      </c>
      <c r="D357" s="28" t="s">
        <v>30</v>
      </c>
      <c r="E357" s="32">
        <v>2099</v>
      </c>
      <c r="F357" s="29">
        <f t="shared" si="18"/>
        <v>0</v>
      </c>
      <c r="G357" s="29">
        <v>0</v>
      </c>
      <c r="H357" s="30">
        <f t="shared" si="19"/>
        <v>0</v>
      </c>
      <c r="I357" s="28" t="s">
        <v>693</v>
      </c>
    </row>
    <row r="358" ht="38.25">
      <c r="A358" s="28" t="s">
        <v>419</v>
      </c>
      <c r="B358" s="27" t="s">
        <v>694</v>
      </c>
      <c r="D358" s="28" t="s">
        <v>22</v>
      </c>
      <c r="E358" s="32">
        <v>658</v>
      </c>
      <c r="F358" s="29">
        <f t="shared" si="18"/>
        <v>0</v>
      </c>
      <c r="G358" s="29">
        <v>0</v>
      </c>
      <c r="H358" s="30">
        <f t="shared" si="19"/>
        <v>0</v>
      </c>
      <c r="I358" s="28" t="s">
        <v>695</v>
      </c>
    </row>
    <row r="359" ht="38.25">
      <c r="A359" s="28" t="s">
        <v>422</v>
      </c>
      <c r="B359" s="27" t="s">
        <v>696</v>
      </c>
      <c r="D359" s="28" t="s">
        <v>22</v>
      </c>
      <c r="E359" s="32">
        <v>154</v>
      </c>
      <c r="F359" s="29">
        <f t="shared" si="18"/>
        <v>0</v>
      </c>
      <c r="G359" s="29">
        <v>0</v>
      </c>
      <c r="H359" s="30">
        <f t="shared" si="19"/>
        <v>0</v>
      </c>
      <c r="I359" s="28" t="s">
        <v>697</v>
      </c>
    </row>
    <row r="360" ht="25.5">
      <c r="A360" s="28" t="s">
        <v>499</v>
      </c>
      <c r="B360" s="27" t="s">
        <v>698</v>
      </c>
      <c r="D360" s="28" t="s">
        <v>22</v>
      </c>
      <c r="E360" s="32">
        <v>563</v>
      </c>
      <c r="F360" s="29">
        <f t="shared" si="18"/>
        <v>0</v>
      </c>
      <c r="G360" s="29">
        <v>0</v>
      </c>
      <c r="H360" s="30">
        <f t="shared" si="19"/>
        <v>0</v>
      </c>
      <c r="I360" s="28" t="s">
        <v>699</v>
      </c>
    </row>
    <row r="361" ht="63.75">
      <c r="A361" s="28" t="s">
        <v>502</v>
      </c>
      <c r="B361" s="27" t="s">
        <v>700</v>
      </c>
      <c r="D361" s="28" t="s">
        <v>22</v>
      </c>
      <c r="E361" s="32">
        <v>34</v>
      </c>
      <c r="F361" s="29">
        <f t="shared" si="18"/>
        <v>0</v>
      </c>
      <c r="G361" s="29">
        <v>0</v>
      </c>
      <c r="H361" s="30">
        <f t="shared" si="19"/>
        <v>0</v>
      </c>
      <c r="I361" s="28" t="s">
        <v>701</v>
      </c>
    </row>
    <row r="362" ht="25.5">
      <c r="A362" s="28" t="s">
        <v>702</v>
      </c>
      <c r="B362" s="27" t="s">
        <v>703</v>
      </c>
      <c r="D362" s="28" t="s">
        <v>704</v>
      </c>
      <c r="E362" s="32">
        <v>9122</v>
      </c>
      <c r="F362" s="29">
        <f t="shared" si="18"/>
        <v>0</v>
      </c>
      <c r="G362" s="29">
        <v>0</v>
      </c>
      <c r="H362" s="30">
        <f t="shared" si="19"/>
        <v>0</v>
      </c>
      <c r="I362" s="28" t="s">
        <v>705</v>
      </c>
    </row>
    <row r="363" ht="38.25">
      <c r="A363" s="28" t="s">
        <v>706</v>
      </c>
      <c r="B363" s="27" t="s">
        <v>707</v>
      </c>
      <c r="D363" s="28" t="s">
        <v>22</v>
      </c>
      <c r="E363" s="32">
        <v>2390</v>
      </c>
      <c r="F363" s="29">
        <f t="shared" si="18"/>
        <v>0</v>
      </c>
      <c r="G363" s="29">
        <v>0</v>
      </c>
      <c r="H363" s="30">
        <f t="shared" si="19"/>
        <v>0</v>
      </c>
      <c r="I363" s="28" t="s">
        <v>708</v>
      </c>
    </row>
    <row r="364" ht="25.5">
      <c r="A364" s="28" t="s">
        <v>709</v>
      </c>
      <c r="B364" s="27" t="s">
        <v>710</v>
      </c>
      <c r="D364" s="28" t="s">
        <v>22</v>
      </c>
      <c r="E364" s="32">
        <v>9281</v>
      </c>
      <c r="F364" s="29">
        <f t="shared" si="18"/>
        <v>0</v>
      </c>
      <c r="G364" s="29">
        <v>0</v>
      </c>
      <c r="H364" s="30">
        <f t="shared" si="19"/>
        <v>0</v>
      </c>
      <c r="I364" s="28" t="s">
        <v>711</v>
      </c>
    </row>
    <row r="365" ht="38.25">
      <c r="A365" s="28" t="s">
        <v>712</v>
      </c>
      <c r="B365" s="27" t="s">
        <v>713</v>
      </c>
      <c r="D365" s="28" t="s">
        <v>22</v>
      </c>
      <c r="E365" s="17">
        <v>2401</v>
      </c>
      <c r="F365" s="29">
        <f>C365*E366</f>
        <v>0</v>
      </c>
      <c r="G365" s="29">
        <v>0</v>
      </c>
      <c r="H365" s="30">
        <f t="shared" si="19"/>
        <v>0</v>
      </c>
      <c r="I365" s="28" t="s">
        <v>714</v>
      </c>
    </row>
    <row r="366" ht="25.5">
      <c r="A366" s="28" t="s">
        <v>715</v>
      </c>
      <c r="B366" s="27" t="s">
        <v>716</v>
      </c>
      <c r="D366" s="28" t="s">
        <v>22</v>
      </c>
      <c r="E366" s="32">
        <v>16135</v>
      </c>
      <c r="F366" s="29">
        <f>C366*E367</f>
        <v>0</v>
      </c>
      <c r="G366" s="29">
        <v>0</v>
      </c>
      <c r="H366" s="30">
        <f t="shared" si="19"/>
        <v>0</v>
      </c>
      <c r="I366" s="28" t="s">
        <v>717</v>
      </c>
    </row>
    <row r="367" ht="25.5">
      <c r="A367" s="3" t="s">
        <v>718</v>
      </c>
      <c r="B367" s="27" t="s">
        <v>719</v>
      </c>
      <c r="D367" s="28" t="s">
        <v>22</v>
      </c>
      <c r="E367" s="32">
        <v>1233</v>
      </c>
      <c r="F367" s="29">
        <f>C367*E368</f>
        <v>0</v>
      </c>
      <c r="G367" s="29">
        <v>0</v>
      </c>
      <c r="H367" s="30">
        <f t="shared" si="19"/>
        <v>0</v>
      </c>
      <c r="I367" s="28" t="s">
        <v>720</v>
      </c>
    </row>
    <row r="368" ht="38.25">
      <c r="A368" s="32">
        <v>1717</v>
      </c>
      <c r="B368" s="27" t="s">
        <v>721</v>
      </c>
      <c r="D368" s="28"/>
      <c r="E368" s="28"/>
      <c r="F368" s="29">
        <f>C368*E369</f>
        <v>0</v>
      </c>
      <c r="G368" s="29">
        <v>0</v>
      </c>
      <c r="H368" s="30">
        <f t="shared" si="19"/>
        <v>0</v>
      </c>
      <c r="I368" s="32" t="s">
        <v>722</v>
      </c>
    </row>
    <row r="369" ht="25.5">
      <c r="A369" s="28" t="s">
        <v>20</v>
      </c>
      <c r="B369" s="27" t="s">
        <v>723</v>
      </c>
      <c r="D369" s="28" t="s">
        <v>22</v>
      </c>
      <c r="E369" s="32">
        <v>59</v>
      </c>
      <c r="F369" s="29">
        <f>C369*E370</f>
        <v>0</v>
      </c>
      <c r="G369" s="29">
        <v>0</v>
      </c>
      <c r="H369" s="30">
        <f t="shared" si="19"/>
        <v>0</v>
      </c>
      <c r="I369" s="28" t="s">
        <v>724</v>
      </c>
    </row>
    <row r="370" ht="25.5">
      <c r="A370" s="28" t="s">
        <v>24</v>
      </c>
      <c r="B370" s="27" t="s">
        <v>725</v>
      </c>
      <c r="D370" s="28" t="s">
        <v>22</v>
      </c>
      <c r="E370" s="32">
        <v>30</v>
      </c>
      <c r="F370" s="29"/>
      <c r="G370" s="29"/>
      <c r="H370" s="30"/>
      <c r="I370" s="28" t="s">
        <v>726</v>
      </c>
    </row>
    <row r="371" ht="114.75" customHeight="1">
      <c r="A371" s="38">
        <v>1718</v>
      </c>
      <c r="B371" s="60" t="s">
        <v>727</v>
      </c>
      <c r="C371" s="17"/>
      <c r="D371" s="43" t="s">
        <v>728</v>
      </c>
      <c r="E371" s="38">
        <v>358</v>
      </c>
      <c r="F371" s="61">
        <f t="shared" si="18"/>
        <v>0</v>
      </c>
      <c r="G371" s="61">
        <v>0</v>
      </c>
      <c r="H371" s="62">
        <f t="shared" si="19"/>
        <v>0</v>
      </c>
      <c r="I371" s="38" t="s">
        <v>729</v>
      </c>
    </row>
    <row r="372" ht="347.25" customHeight="1">
      <c r="A372" s="38"/>
      <c r="B372" s="60"/>
      <c r="C372" s="17"/>
      <c r="D372" s="43"/>
      <c r="E372" s="38"/>
      <c r="F372" s="61"/>
      <c r="G372" s="61"/>
      <c r="H372" s="62"/>
      <c r="I372" s="38"/>
    </row>
    <row r="373" ht="25.5">
      <c r="A373" s="32">
        <v>1719</v>
      </c>
      <c r="B373" s="27" t="s">
        <v>730</v>
      </c>
      <c r="D373" s="28"/>
      <c r="E373" s="28"/>
      <c r="F373" s="29">
        <f t="shared" si="18"/>
        <v>0</v>
      </c>
      <c r="G373" s="29">
        <v>0</v>
      </c>
      <c r="H373" s="30">
        <f t="shared" si="19"/>
        <v>0</v>
      </c>
      <c r="I373" s="32" t="s">
        <v>731</v>
      </c>
    </row>
    <row r="374" ht="409.5" customHeight="1">
      <c r="A374" s="43" t="s">
        <v>20</v>
      </c>
      <c r="B374" s="60" t="s">
        <v>732</v>
      </c>
      <c r="D374" s="28" t="s">
        <v>30</v>
      </c>
      <c r="E374" s="32">
        <v>46332</v>
      </c>
      <c r="F374" s="29">
        <f t="shared" si="18"/>
        <v>0</v>
      </c>
      <c r="G374" s="29">
        <v>0</v>
      </c>
      <c r="H374" s="30">
        <f t="shared" si="19"/>
        <v>0</v>
      </c>
      <c r="I374" s="28" t="s">
        <v>733</v>
      </c>
    </row>
    <row r="375" ht="232.5" customHeight="1">
      <c r="A375" s="28"/>
      <c r="B375" s="60"/>
      <c r="D375" s="28"/>
      <c r="E375" s="32"/>
      <c r="F375" s="29"/>
      <c r="G375" s="29"/>
      <c r="H375" s="30"/>
      <c r="I375" s="28"/>
    </row>
    <row r="376" ht="229.5" customHeight="1">
      <c r="A376" s="28" t="s">
        <v>24</v>
      </c>
      <c r="B376" s="27" t="s">
        <v>734</v>
      </c>
      <c r="D376" s="28" t="s">
        <v>22</v>
      </c>
      <c r="E376" s="32">
        <v>15157</v>
      </c>
      <c r="F376" s="29">
        <f t="shared" si="18"/>
        <v>0</v>
      </c>
      <c r="G376" s="29">
        <v>0</v>
      </c>
      <c r="H376" s="30">
        <f t="shared" si="19"/>
        <v>0</v>
      </c>
      <c r="I376" s="28" t="s">
        <v>735</v>
      </c>
    </row>
    <row r="377" ht="240" customHeight="1">
      <c r="A377" s="43" t="s">
        <v>42</v>
      </c>
      <c r="B377" s="27" t="s">
        <v>736</v>
      </c>
      <c r="D377" s="28" t="s">
        <v>22</v>
      </c>
      <c r="E377" s="32">
        <v>20086</v>
      </c>
      <c r="F377" s="29">
        <f t="shared" si="18"/>
        <v>0</v>
      </c>
      <c r="G377" s="29">
        <v>0</v>
      </c>
      <c r="H377" s="30">
        <f t="shared" si="19"/>
        <v>0</v>
      </c>
      <c r="I377" s="28" t="s">
        <v>737</v>
      </c>
    </row>
    <row r="378" ht="25.5">
      <c r="A378" s="28" t="s">
        <v>69</v>
      </c>
      <c r="B378" s="27" t="s">
        <v>738</v>
      </c>
      <c r="D378" s="28" t="s">
        <v>22</v>
      </c>
      <c r="E378" s="32">
        <v>4245</v>
      </c>
      <c r="F378" s="29">
        <f t="shared" si="18"/>
        <v>0</v>
      </c>
      <c r="G378" s="29">
        <v>0</v>
      </c>
      <c r="H378" s="30">
        <f t="shared" si="19"/>
        <v>0</v>
      </c>
      <c r="I378" s="28" t="s">
        <v>739</v>
      </c>
    </row>
    <row r="379" ht="51">
      <c r="A379" s="43" t="s">
        <v>72</v>
      </c>
      <c r="B379" s="27" t="s">
        <v>740</v>
      </c>
      <c r="D379" s="28" t="s">
        <v>22</v>
      </c>
      <c r="E379" s="32">
        <v>999</v>
      </c>
      <c r="F379" s="29">
        <f t="shared" si="18"/>
        <v>0</v>
      </c>
      <c r="G379" s="29">
        <v>0</v>
      </c>
      <c r="H379" s="30">
        <f t="shared" si="19"/>
        <v>0</v>
      </c>
      <c r="I379" s="28" t="s">
        <v>741</v>
      </c>
    </row>
    <row r="380" ht="25.5">
      <c r="A380" s="28" t="s">
        <v>75</v>
      </c>
      <c r="B380" s="27" t="s">
        <v>742</v>
      </c>
      <c r="D380" s="28" t="s">
        <v>22</v>
      </c>
      <c r="E380" s="32">
        <v>27468</v>
      </c>
      <c r="F380" s="29">
        <f t="shared" si="18"/>
        <v>0</v>
      </c>
      <c r="G380" s="29">
        <v>0</v>
      </c>
      <c r="H380" s="30">
        <f t="shared" si="19"/>
        <v>0</v>
      </c>
      <c r="I380" s="28" t="s">
        <v>743</v>
      </c>
    </row>
    <row r="381" ht="25.5">
      <c r="A381" s="28" t="s">
        <v>204</v>
      </c>
      <c r="B381" s="27" t="s">
        <v>744</v>
      </c>
      <c r="D381" s="28" t="s">
        <v>22</v>
      </c>
      <c r="E381" s="32">
        <v>4961</v>
      </c>
      <c r="F381" s="29">
        <f t="shared" si="18"/>
        <v>0</v>
      </c>
      <c r="G381" s="29">
        <v>0</v>
      </c>
      <c r="H381" s="30">
        <f t="shared" si="19"/>
        <v>0</v>
      </c>
      <c r="I381" s="28" t="s">
        <v>745</v>
      </c>
    </row>
    <row r="382" ht="25.5">
      <c r="A382" s="28" t="s">
        <v>419</v>
      </c>
      <c r="B382" s="27" t="s">
        <v>746</v>
      </c>
      <c r="D382" s="28" t="s">
        <v>22</v>
      </c>
      <c r="E382" s="32">
        <v>5884</v>
      </c>
      <c r="F382" s="29">
        <f t="shared" si="18"/>
        <v>0</v>
      </c>
      <c r="G382" s="29">
        <v>0</v>
      </c>
      <c r="H382" s="30">
        <f t="shared" si="19"/>
        <v>0</v>
      </c>
      <c r="I382" s="28" t="s">
        <v>747</v>
      </c>
    </row>
    <row r="383" ht="25.5">
      <c r="A383" s="28" t="s">
        <v>422</v>
      </c>
      <c r="B383" s="27" t="s">
        <v>748</v>
      </c>
      <c r="D383" s="28" t="s">
        <v>22</v>
      </c>
      <c r="E383" s="32">
        <v>27853</v>
      </c>
      <c r="F383" s="29">
        <f t="shared" si="18"/>
        <v>0</v>
      </c>
      <c r="G383" s="29">
        <v>0</v>
      </c>
      <c r="H383" s="30">
        <f t="shared" si="19"/>
        <v>0</v>
      </c>
      <c r="I383" s="28" t="s">
        <v>749</v>
      </c>
    </row>
    <row r="384" ht="63.75">
      <c r="A384" s="32">
        <v>1720</v>
      </c>
      <c r="B384" s="27" t="s">
        <v>750</v>
      </c>
      <c r="D384" s="28"/>
      <c r="E384" s="28"/>
      <c r="F384" s="29">
        <f t="shared" si="18"/>
        <v>0</v>
      </c>
      <c r="G384" s="29">
        <v>0</v>
      </c>
      <c r="H384" s="30">
        <f t="shared" si="19"/>
        <v>0</v>
      </c>
      <c r="I384" s="32" t="s">
        <v>751</v>
      </c>
    </row>
    <row r="385" ht="25.5">
      <c r="A385" s="28" t="s">
        <v>20</v>
      </c>
      <c r="B385" s="27" t="s">
        <v>752</v>
      </c>
      <c r="D385" s="28" t="s">
        <v>22</v>
      </c>
      <c r="E385" s="32">
        <v>875</v>
      </c>
      <c r="F385" s="29">
        <f t="shared" si="18"/>
        <v>0</v>
      </c>
      <c r="G385" s="29">
        <v>0</v>
      </c>
      <c r="H385" s="30">
        <f t="shared" si="19"/>
        <v>0</v>
      </c>
      <c r="I385" s="28" t="s">
        <v>753</v>
      </c>
    </row>
    <row r="386" ht="25.5">
      <c r="A386" s="28" t="s">
        <v>24</v>
      </c>
      <c r="B386" s="27" t="s">
        <v>754</v>
      </c>
      <c r="D386" s="28" t="s">
        <v>22</v>
      </c>
      <c r="E386" s="32">
        <v>3827</v>
      </c>
      <c r="F386" s="29">
        <f t="shared" si="18"/>
        <v>0</v>
      </c>
      <c r="G386" s="29">
        <v>0</v>
      </c>
      <c r="H386" s="30">
        <f t="shared" si="19"/>
        <v>0</v>
      </c>
      <c r="I386" s="28" t="s">
        <v>755</v>
      </c>
    </row>
    <row r="387" ht="25.5">
      <c r="A387" s="28" t="s">
        <v>42</v>
      </c>
      <c r="B387" s="27" t="s">
        <v>756</v>
      </c>
      <c r="D387" s="28" t="s">
        <v>22</v>
      </c>
      <c r="E387" s="32">
        <v>6561</v>
      </c>
      <c r="F387" s="29">
        <f t="shared" si="18"/>
        <v>0</v>
      </c>
      <c r="G387" s="29">
        <v>0</v>
      </c>
      <c r="H387" s="30">
        <f t="shared" si="19"/>
        <v>0</v>
      </c>
      <c r="I387" s="28" t="s">
        <v>757</v>
      </c>
    </row>
    <row r="388" ht="25.5">
      <c r="A388" s="28" t="s">
        <v>69</v>
      </c>
      <c r="B388" s="27" t="s">
        <v>758</v>
      </c>
      <c r="D388" s="28" t="s">
        <v>22</v>
      </c>
      <c r="E388" s="32">
        <v>8311</v>
      </c>
      <c r="F388" s="29">
        <f t="shared" si="18"/>
        <v>0</v>
      </c>
      <c r="G388" s="29">
        <v>0</v>
      </c>
      <c r="H388" s="30">
        <f t="shared" si="19"/>
        <v>0</v>
      </c>
      <c r="I388" s="28" t="s">
        <v>759</v>
      </c>
    </row>
    <row r="389" ht="25.5">
      <c r="A389" s="32">
        <v>1721</v>
      </c>
      <c r="B389" s="27" t="s">
        <v>760</v>
      </c>
      <c r="D389" s="28"/>
      <c r="E389" s="28"/>
      <c r="F389" s="29">
        <f t="shared" si="18"/>
        <v>0</v>
      </c>
      <c r="G389" s="29">
        <v>0</v>
      </c>
      <c r="H389" s="30">
        <f t="shared" si="19"/>
        <v>0</v>
      </c>
      <c r="I389" s="32" t="s">
        <v>761</v>
      </c>
    </row>
    <row r="390" ht="25.5">
      <c r="A390" s="28" t="s">
        <v>20</v>
      </c>
      <c r="B390" s="27" t="s">
        <v>762</v>
      </c>
      <c r="D390" s="28" t="s">
        <v>22</v>
      </c>
      <c r="E390" s="32">
        <v>6055</v>
      </c>
      <c r="F390" s="29">
        <f t="shared" si="18"/>
        <v>0</v>
      </c>
      <c r="G390" s="29">
        <v>0</v>
      </c>
      <c r="H390" s="30">
        <f t="shared" si="19"/>
        <v>0</v>
      </c>
      <c r="I390" s="28" t="s">
        <v>763</v>
      </c>
    </row>
    <row r="391" ht="25.5">
      <c r="A391" s="28" t="s">
        <v>24</v>
      </c>
      <c r="B391" s="27" t="s">
        <v>764</v>
      </c>
      <c r="D391" s="28" t="s">
        <v>22</v>
      </c>
      <c r="E391" s="32">
        <v>1080</v>
      </c>
      <c r="F391" s="29">
        <f t="shared" si="18"/>
        <v>0</v>
      </c>
      <c r="G391" s="29">
        <v>0</v>
      </c>
      <c r="H391" s="30">
        <f t="shared" si="19"/>
        <v>0</v>
      </c>
      <c r="I391" s="28" t="s">
        <v>765</v>
      </c>
    </row>
    <row r="392" ht="38.25">
      <c r="A392" s="32">
        <v>1722</v>
      </c>
      <c r="B392" s="27" t="s">
        <v>766</v>
      </c>
      <c r="D392" s="28"/>
      <c r="E392" s="28"/>
      <c r="F392" s="29">
        <f t="shared" si="18"/>
        <v>0</v>
      </c>
      <c r="G392" s="29">
        <v>0</v>
      </c>
      <c r="H392" s="30">
        <f t="shared" si="19"/>
        <v>0</v>
      </c>
      <c r="I392" s="32" t="s">
        <v>767</v>
      </c>
    </row>
    <row r="393" ht="25.5">
      <c r="A393" s="28" t="s">
        <v>20</v>
      </c>
      <c r="B393" s="27" t="s">
        <v>768</v>
      </c>
      <c r="D393" s="28" t="s">
        <v>159</v>
      </c>
      <c r="E393" s="32">
        <v>358</v>
      </c>
      <c r="F393" s="29">
        <f t="shared" si="18"/>
        <v>0</v>
      </c>
      <c r="G393" s="29">
        <v>0</v>
      </c>
      <c r="H393" s="30">
        <f t="shared" si="19"/>
        <v>0</v>
      </c>
      <c r="I393" s="28" t="s">
        <v>769</v>
      </c>
    </row>
    <row r="394" ht="25.5">
      <c r="A394" s="28" t="s">
        <v>24</v>
      </c>
      <c r="B394" s="27" t="s">
        <v>770</v>
      </c>
      <c r="D394" s="28" t="s">
        <v>159</v>
      </c>
      <c r="E394" s="32">
        <v>488</v>
      </c>
      <c r="F394" s="29">
        <f t="shared" si="18"/>
        <v>0</v>
      </c>
      <c r="G394" s="29">
        <v>0</v>
      </c>
      <c r="H394" s="30">
        <f t="shared" si="19"/>
        <v>0</v>
      </c>
      <c r="I394" s="28" t="s">
        <v>771</v>
      </c>
    </row>
    <row r="395" ht="25.5">
      <c r="A395" s="28" t="s">
        <v>42</v>
      </c>
      <c r="B395" s="27" t="s">
        <v>772</v>
      </c>
      <c r="D395" s="28" t="s">
        <v>159</v>
      </c>
      <c r="E395" s="32">
        <v>615</v>
      </c>
      <c r="F395" s="29">
        <f t="shared" si="18"/>
        <v>0</v>
      </c>
      <c r="G395" s="29">
        <v>0</v>
      </c>
      <c r="H395" s="30">
        <f t="shared" si="19"/>
        <v>0</v>
      </c>
      <c r="I395" s="28" t="s">
        <v>773</v>
      </c>
    </row>
    <row r="396" ht="25.5">
      <c r="A396" s="28" t="s">
        <v>69</v>
      </c>
      <c r="B396" s="27" t="s">
        <v>774</v>
      </c>
      <c r="D396" s="28" t="s">
        <v>159</v>
      </c>
      <c r="E396" s="32">
        <v>800</v>
      </c>
      <c r="F396" s="29">
        <f t="shared" si="18"/>
        <v>0</v>
      </c>
      <c r="G396" s="29">
        <v>0</v>
      </c>
      <c r="H396" s="30">
        <f t="shared" si="19"/>
        <v>0</v>
      </c>
      <c r="I396" s="28" t="s">
        <v>775</v>
      </c>
    </row>
    <row r="397" ht="25.5">
      <c r="A397" s="28" t="s">
        <v>72</v>
      </c>
      <c r="B397" s="27" t="s">
        <v>776</v>
      </c>
      <c r="D397" s="28" t="s">
        <v>159</v>
      </c>
      <c r="E397" s="32">
        <v>1009</v>
      </c>
      <c r="F397" s="29">
        <f t="shared" si="18"/>
        <v>0</v>
      </c>
      <c r="G397" s="29">
        <v>0</v>
      </c>
      <c r="H397" s="30">
        <f t="shared" si="19"/>
        <v>0</v>
      </c>
      <c r="I397" s="28" t="s">
        <v>777</v>
      </c>
    </row>
    <row r="398" ht="25.5">
      <c r="A398" s="32">
        <v>1723</v>
      </c>
      <c r="B398" s="27" t="s">
        <v>778</v>
      </c>
      <c r="D398" s="28"/>
      <c r="E398" s="28"/>
      <c r="F398" s="29">
        <f t="shared" si="18"/>
        <v>0</v>
      </c>
      <c r="G398" s="29">
        <v>0</v>
      </c>
      <c r="H398" s="30">
        <f t="shared" si="19"/>
        <v>0</v>
      </c>
      <c r="I398" s="32" t="s">
        <v>779</v>
      </c>
    </row>
    <row r="399" ht="25.5">
      <c r="A399" s="28" t="s">
        <v>20</v>
      </c>
      <c r="B399" s="27" t="s">
        <v>780</v>
      </c>
      <c r="D399" s="28" t="s">
        <v>22</v>
      </c>
      <c r="E399" s="32">
        <v>377</v>
      </c>
      <c r="F399" s="29">
        <f t="shared" si="18"/>
        <v>0</v>
      </c>
      <c r="G399" s="29">
        <v>0</v>
      </c>
      <c r="H399" s="30">
        <f t="shared" si="19"/>
        <v>0</v>
      </c>
      <c r="I399" s="28" t="s">
        <v>781</v>
      </c>
    </row>
    <row r="400" ht="25.5">
      <c r="A400" s="28" t="s">
        <v>24</v>
      </c>
      <c r="B400" s="27" t="s">
        <v>782</v>
      </c>
      <c r="D400" s="28" t="s">
        <v>22</v>
      </c>
      <c r="E400" s="32">
        <v>918</v>
      </c>
      <c r="F400" s="29">
        <f t="shared" si="18"/>
        <v>0</v>
      </c>
      <c r="G400" s="29">
        <v>0</v>
      </c>
      <c r="H400" s="30">
        <f t="shared" si="19"/>
        <v>0</v>
      </c>
      <c r="I400" s="28" t="s">
        <v>783</v>
      </c>
    </row>
    <row r="401" ht="25.5">
      <c r="A401" s="28" t="s">
        <v>42</v>
      </c>
      <c r="B401" s="27" t="s">
        <v>784</v>
      </c>
      <c r="D401" s="28" t="s">
        <v>22</v>
      </c>
      <c r="E401" s="32">
        <v>979</v>
      </c>
      <c r="F401" s="29">
        <f t="shared" si="18"/>
        <v>0</v>
      </c>
      <c r="G401" s="29">
        <v>0</v>
      </c>
      <c r="H401" s="30">
        <f t="shared" si="19"/>
        <v>0</v>
      </c>
      <c r="I401" s="28" t="s">
        <v>785</v>
      </c>
    </row>
    <row r="402" ht="25.5">
      <c r="A402" s="28" t="s">
        <v>69</v>
      </c>
      <c r="B402" s="27" t="s">
        <v>786</v>
      </c>
      <c r="D402" s="28" t="s">
        <v>22</v>
      </c>
      <c r="E402" s="32">
        <v>1523</v>
      </c>
      <c r="F402" s="29">
        <f t="shared" si="18"/>
        <v>0</v>
      </c>
      <c r="G402" s="29">
        <v>0</v>
      </c>
      <c r="H402" s="30">
        <f t="shared" si="19"/>
        <v>0</v>
      </c>
      <c r="I402" s="28" t="s">
        <v>787</v>
      </c>
    </row>
    <row r="403" ht="25.5">
      <c r="A403" s="28" t="s">
        <v>72</v>
      </c>
      <c r="B403" s="27" t="s">
        <v>788</v>
      </c>
      <c r="D403" s="28" t="s">
        <v>22</v>
      </c>
      <c r="E403" s="32">
        <v>2285</v>
      </c>
      <c r="F403" s="29">
        <f t="shared" si="18"/>
        <v>0</v>
      </c>
      <c r="G403" s="29">
        <v>0</v>
      </c>
      <c r="H403" s="30">
        <f t="shared" si="19"/>
        <v>0</v>
      </c>
      <c r="I403" s="28" t="s">
        <v>789</v>
      </c>
    </row>
    <row r="404" ht="140.25">
      <c r="A404" s="32">
        <v>1724</v>
      </c>
      <c r="B404" s="27" t="s">
        <v>790</v>
      </c>
      <c r="D404" s="28" t="s">
        <v>22</v>
      </c>
      <c r="E404" s="32">
        <v>377600</v>
      </c>
      <c r="F404" s="29">
        <f t="shared" si="18"/>
        <v>0</v>
      </c>
      <c r="G404" s="29">
        <v>0</v>
      </c>
      <c r="H404" s="30">
        <f t="shared" si="19"/>
        <v>0</v>
      </c>
      <c r="I404" s="32" t="s">
        <v>791</v>
      </c>
    </row>
    <row r="405" ht="102">
      <c r="A405" s="32">
        <v>1725</v>
      </c>
      <c r="B405" s="27" t="s">
        <v>792</v>
      </c>
      <c r="D405" s="28" t="s">
        <v>22</v>
      </c>
      <c r="E405" s="32">
        <v>317822</v>
      </c>
      <c r="F405" s="29">
        <f t="shared" si="18"/>
        <v>0</v>
      </c>
      <c r="G405" s="29">
        <v>0</v>
      </c>
      <c r="H405" s="30">
        <f t="shared" si="19"/>
        <v>0</v>
      </c>
      <c r="I405" s="32" t="s">
        <v>793</v>
      </c>
    </row>
    <row r="406">
      <c r="A406" s="32"/>
      <c r="B406" s="32"/>
      <c r="C406" s="32"/>
      <c r="D406" s="32"/>
      <c r="E406" s="32"/>
      <c r="F406" s="29"/>
      <c r="G406" s="29"/>
      <c r="H406" s="30"/>
    </row>
    <row r="407">
      <c r="A407" s="34" t="s">
        <v>794</v>
      </c>
      <c r="B407" s="34"/>
      <c r="C407" s="34"/>
      <c r="D407" s="34"/>
      <c r="E407" s="34"/>
      <c r="F407" s="29"/>
      <c r="G407" s="29"/>
      <c r="H407" s="30"/>
    </row>
    <row r="408" ht="25.5">
      <c r="A408" s="32">
        <v>1801</v>
      </c>
      <c r="B408" s="27" t="s">
        <v>795</v>
      </c>
      <c r="C408" s="28"/>
      <c r="D408" s="28"/>
      <c r="E408" s="28"/>
      <c r="F408" s="29">
        <f t="shared" si="18"/>
        <v>0</v>
      </c>
      <c r="G408" s="29">
        <v>0</v>
      </c>
      <c r="H408" s="30">
        <f t="shared" si="19"/>
        <v>0</v>
      </c>
      <c r="I408" s="32" t="s">
        <v>796</v>
      </c>
    </row>
    <row r="409" ht="25.5">
      <c r="A409" s="28" t="s">
        <v>20</v>
      </c>
      <c r="B409" s="27" t="s">
        <v>797</v>
      </c>
      <c r="D409" s="28" t="s">
        <v>22</v>
      </c>
      <c r="E409" s="32">
        <v>13424</v>
      </c>
      <c r="F409" s="29">
        <f t="shared" si="18"/>
        <v>0</v>
      </c>
      <c r="G409" s="29">
        <v>0</v>
      </c>
      <c r="H409" s="30">
        <f t="shared" si="19"/>
        <v>0</v>
      </c>
      <c r="I409" s="28" t="s">
        <v>798</v>
      </c>
    </row>
    <row r="410" ht="25.5">
      <c r="A410" s="28" t="s">
        <v>24</v>
      </c>
      <c r="B410" s="27" t="s">
        <v>799</v>
      </c>
      <c r="D410" s="28" t="s">
        <v>22</v>
      </c>
      <c r="E410" s="32">
        <v>34198</v>
      </c>
      <c r="F410" s="29">
        <f t="shared" si="18"/>
        <v>0</v>
      </c>
      <c r="G410" s="29">
        <v>0</v>
      </c>
      <c r="H410" s="30">
        <f t="shared" si="19"/>
        <v>0</v>
      </c>
      <c r="I410" s="28" t="s">
        <v>800</v>
      </c>
    </row>
    <row r="411" ht="25.5">
      <c r="A411" s="28" t="s">
        <v>42</v>
      </c>
      <c r="B411" s="27" t="s">
        <v>801</v>
      </c>
      <c r="D411" s="28" t="s">
        <v>22</v>
      </c>
      <c r="E411" s="32">
        <v>29439</v>
      </c>
      <c r="F411" s="29">
        <f t="shared" si="18"/>
        <v>0</v>
      </c>
      <c r="G411" s="29">
        <v>0</v>
      </c>
      <c r="H411" s="30">
        <f t="shared" si="19"/>
        <v>0</v>
      </c>
      <c r="I411" s="28" t="s">
        <v>802</v>
      </c>
    </row>
    <row r="412" ht="25.5">
      <c r="A412" s="28" t="s">
        <v>69</v>
      </c>
      <c r="B412" s="27" t="s">
        <v>803</v>
      </c>
      <c r="D412" s="28" t="s">
        <v>22</v>
      </c>
      <c r="E412" s="32">
        <v>25233</v>
      </c>
      <c r="F412" s="29">
        <f t="shared" si="18"/>
        <v>0</v>
      </c>
      <c r="G412" s="29">
        <v>0</v>
      </c>
      <c r="H412" s="30">
        <f t="shared" si="19"/>
        <v>0</v>
      </c>
      <c r="I412" s="28" t="s">
        <v>804</v>
      </c>
    </row>
    <row r="413" ht="25.5">
      <c r="A413" s="28" t="s">
        <v>72</v>
      </c>
      <c r="B413" s="27" t="s">
        <v>805</v>
      </c>
      <c r="D413" s="28" t="s">
        <v>22</v>
      </c>
      <c r="E413" s="32">
        <v>28878</v>
      </c>
      <c r="F413" s="29">
        <f t="shared" si="18"/>
        <v>0</v>
      </c>
      <c r="G413" s="29">
        <v>0</v>
      </c>
      <c r="H413" s="30">
        <f t="shared" si="19"/>
        <v>0</v>
      </c>
      <c r="I413" s="28" t="s">
        <v>806</v>
      </c>
    </row>
    <row r="414" ht="25.5">
      <c r="A414" s="28" t="s">
        <v>75</v>
      </c>
      <c r="B414" s="27" t="s">
        <v>807</v>
      </c>
      <c r="D414" s="28" t="s">
        <v>22</v>
      </c>
      <c r="E414" s="32">
        <v>48000</v>
      </c>
      <c r="F414" s="29">
        <f t="shared" si="18"/>
        <v>0</v>
      </c>
      <c r="G414" s="29">
        <v>0</v>
      </c>
      <c r="H414" s="30">
        <f t="shared" si="19"/>
        <v>0</v>
      </c>
      <c r="I414" s="28" t="s">
        <v>808</v>
      </c>
    </row>
    <row r="415" ht="25.5">
      <c r="A415" s="28" t="s">
        <v>204</v>
      </c>
      <c r="B415" s="27" t="s">
        <v>809</v>
      </c>
      <c r="D415" s="28" t="s">
        <v>22</v>
      </c>
      <c r="E415" s="32">
        <v>6435</v>
      </c>
      <c r="F415" s="29">
        <f t="shared" ref="F415:F477" si="20">C415*E415</f>
        <v>0</v>
      </c>
      <c r="G415" s="29">
        <v>0</v>
      </c>
      <c r="H415" s="30">
        <f t="shared" ref="H415:H477" si="21">SUM(F415:G415)</f>
        <v>0</v>
      </c>
      <c r="I415" s="28" t="s">
        <v>810</v>
      </c>
    </row>
    <row r="416" ht="25.5">
      <c r="A416" s="28" t="s">
        <v>419</v>
      </c>
      <c r="B416" s="27" t="s">
        <v>811</v>
      </c>
      <c r="D416" s="28" t="s">
        <v>22</v>
      </c>
      <c r="E416" s="32">
        <v>54634</v>
      </c>
      <c r="F416" s="29">
        <f t="shared" si="20"/>
        <v>0</v>
      </c>
      <c r="G416" s="29">
        <v>0</v>
      </c>
      <c r="H416" s="30">
        <f t="shared" si="21"/>
        <v>0</v>
      </c>
      <c r="I416" s="28" t="s">
        <v>812</v>
      </c>
    </row>
    <row r="417" ht="25.5">
      <c r="A417" s="28" t="s">
        <v>422</v>
      </c>
      <c r="B417" s="27" t="s">
        <v>572</v>
      </c>
      <c r="D417" s="28" t="s">
        <v>22</v>
      </c>
      <c r="E417" s="32">
        <v>15929</v>
      </c>
      <c r="F417" s="29">
        <f t="shared" si="20"/>
        <v>0</v>
      </c>
      <c r="G417" s="29">
        <v>0</v>
      </c>
      <c r="H417" s="30">
        <f t="shared" si="21"/>
        <v>0</v>
      </c>
      <c r="I417" s="28" t="s">
        <v>813</v>
      </c>
    </row>
    <row r="418" ht="25.5">
      <c r="A418" s="28" t="s">
        <v>499</v>
      </c>
      <c r="B418" s="27" t="s">
        <v>814</v>
      </c>
      <c r="D418" s="28" t="s">
        <v>22</v>
      </c>
      <c r="E418" s="32">
        <v>2596</v>
      </c>
      <c r="F418" s="29">
        <f t="shared" si="20"/>
        <v>0</v>
      </c>
      <c r="G418" s="29">
        <v>0</v>
      </c>
      <c r="H418" s="30">
        <f t="shared" si="21"/>
        <v>0</v>
      </c>
      <c r="I418" s="28" t="s">
        <v>815</v>
      </c>
    </row>
    <row r="419" ht="76.5">
      <c r="A419" s="28" t="s">
        <v>502</v>
      </c>
      <c r="B419" s="27" t="s">
        <v>816</v>
      </c>
      <c r="D419" s="28" t="s">
        <v>375</v>
      </c>
      <c r="E419" s="32">
        <v>78970</v>
      </c>
      <c r="F419" s="29">
        <f t="shared" si="20"/>
        <v>0</v>
      </c>
      <c r="G419" s="29">
        <v>0</v>
      </c>
      <c r="H419" s="30">
        <f t="shared" si="21"/>
        <v>0</v>
      </c>
      <c r="I419" s="28" t="s">
        <v>817</v>
      </c>
    </row>
    <row r="420" ht="89.25">
      <c r="A420" s="28" t="s">
        <v>818</v>
      </c>
      <c r="B420" s="27" t="s">
        <v>819</v>
      </c>
      <c r="D420" s="28" t="s">
        <v>22</v>
      </c>
      <c r="E420" s="32">
        <v>204130</v>
      </c>
      <c r="F420" s="29">
        <f t="shared" si="20"/>
        <v>0</v>
      </c>
      <c r="G420" s="29">
        <v>0</v>
      </c>
      <c r="H420" s="30">
        <f t="shared" si="21"/>
        <v>0</v>
      </c>
      <c r="I420" s="28" t="s">
        <v>820</v>
      </c>
    </row>
    <row r="421" ht="25.5">
      <c r="A421" s="28" t="s">
        <v>702</v>
      </c>
      <c r="B421" s="27" t="s">
        <v>821</v>
      </c>
      <c r="D421" s="28" t="s">
        <v>22</v>
      </c>
      <c r="E421" s="32">
        <v>6308</v>
      </c>
      <c r="F421" s="29">
        <f t="shared" si="20"/>
        <v>0</v>
      </c>
      <c r="G421" s="29">
        <v>0</v>
      </c>
      <c r="H421" s="30">
        <f t="shared" si="21"/>
        <v>0</v>
      </c>
      <c r="I421" s="28" t="s">
        <v>822</v>
      </c>
    </row>
    <row r="422" ht="38.25">
      <c r="A422" s="28" t="s">
        <v>706</v>
      </c>
      <c r="B422" s="27" t="s">
        <v>823</v>
      </c>
      <c r="D422" s="28" t="s">
        <v>375</v>
      </c>
      <c r="E422" s="32">
        <v>35326</v>
      </c>
      <c r="F422" s="29">
        <f t="shared" si="20"/>
        <v>0</v>
      </c>
      <c r="G422" s="29">
        <v>0</v>
      </c>
      <c r="H422" s="30">
        <f t="shared" si="21"/>
        <v>0</v>
      </c>
      <c r="I422" s="28" t="s">
        <v>824</v>
      </c>
    </row>
    <row r="423" ht="51">
      <c r="A423" s="28" t="s">
        <v>709</v>
      </c>
      <c r="B423" s="27" t="s">
        <v>825</v>
      </c>
      <c r="D423" s="28" t="s">
        <v>22</v>
      </c>
      <c r="E423" s="32">
        <v>1233</v>
      </c>
      <c r="F423" s="29">
        <f t="shared" si="20"/>
        <v>0</v>
      </c>
      <c r="G423" s="29">
        <v>0</v>
      </c>
      <c r="H423" s="30">
        <f t="shared" si="21"/>
        <v>0</v>
      </c>
      <c r="I423" s="28" t="s">
        <v>826</v>
      </c>
    </row>
    <row r="424">
      <c r="A424" s="28"/>
      <c r="B424" s="28"/>
      <c r="C424" s="28"/>
      <c r="D424" s="28"/>
      <c r="E424" s="28"/>
      <c r="F424" s="29"/>
      <c r="G424" s="29"/>
      <c r="H424" s="30"/>
    </row>
    <row r="425">
      <c r="A425" s="34" t="s">
        <v>827</v>
      </c>
      <c r="B425" s="34"/>
      <c r="C425" s="34"/>
      <c r="D425" s="34"/>
      <c r="E425" s="34"/>
      <c r="F425" s="29"/>
      <c r="G425" s="29"/>
      <c r="H425" s="30"/>
    </row>
    <row r="426" ht="38.25">
      <c r="A426" s="32">
        <v>2501</v>
      </c>
      <c r="B426" s="27" t="s">
        <v>828</v>
      </c>
      <c r="D426" s="28" t="s">
        <v>829</v>
      </c>
      <c r="E426" s="32">
        <v>1472</v>
      </c>
      <c r="F426" s="29">
        <f t="shared" si="20"/>
        <v>0</v>
      </c>
      <c r="G426" s="29">
        <v>0</v>
      </c>
      <c r="H426" s="30">
        <f t="shared" si="21"/>
        <v>0</v>
      </c>
      <c r="I426" s="32" t="s">
        <v>830</v>
      </c>
    </row>
    <row r="427" ht="102">
      <c r="A427" s="32">
        <v>2502</v>
      </c>
      <c r="B427" s="27" t="s">
        <v>831</v>
      </c>
      <c r="D427" s="28"/>
      <c r="E427" s="28"/>
      <c r="F427" s="29">
        <f t="shared" si="20"/>
        <v>0</v>
      </c>
      <c r="G427" s="29">
        <v>0</v>
      </c>
      <c r="H427" s="30">
        <f t="shared" si="21"/>
        <v>0</v>
      </c>
      <c r="I427" s="32" t="s">
        <v>832</v>
      </c>
    </row>
    <row r="428" ht="25.5">
      <c r="A428" s="28" t="s">
        <v>20</v>
      </c>
      <c r="B428" s="27" t="s">
        <v>833</v>
      </c>
      <c r="D428" s="28" t="s">
        <v>829</v>
      </c>
      <c r="E428" s="32">
        <v>98750</v>
      </c>
      <c r="F428" s="29">
        <f t="shared" si="20"/>
        <v>0</v>
      </c>
      <c r="G428" s="29">
        <v>0</v>
      </c>
      <c r="H428" s="30">
        <f t="shared" si="21"/>
        <v>0</v>
      </c>
      <c r="I428" s="28" t="s">
        <v>834</v>
      </c>
    </row>
    <row r="429" ht="25.5">
      <c r="A429" s="28" t="s">
        <v>24</v>
      </c>
      <c r="B429" s="27" t="s">
        <v>835</v>
      </c>
      <c r="D429" s="28" t="s">
        <v>829</v>
      </c>
      <c r="E429" s="32">
        <v>82000</v>
      </c>
      <c r="F429" s="29">
        <f t="shared" si="20"/>
        <v>0</v>
      </c>
      <c r="G429" s="29">
        <v>0</v>
      </c>
      <c r="H429" s="30">
        <f t="shared" si="21"/>
        <v>0</v>
      </c>
      <c r="I429" s="28" t="s">
        <v>836</v>
      </c>
    </row>
    <row r="430" ht="25.5">
      <c r="A430" s="28" t="s">
        <v>42</v>
      </c>
      <c r="B430" s="27" t="s">
        <v>837</v>
      </c>
      <c r="D430" s="28" t="s">
        <v>829</v>
      </c>
      <c r="E430" s="32">
        <v>164560</v>
      </c>
      <c r="F430" s="29">
        <f t="shared" si="20"/>
        <v>0</v>
      </c>
      <c r="G430" s="29">
        <v>0</v>
      </c>
      <c r="H430" s="30">
        <f t="shared" si="21"/>
        <v>0</v>
      </c>
      <c r="I430" s="28" t="s">
        <v>838</v>
      </c>
    </row>
    <row r="431" ht="25.5">
      <c r="A431" s="28" t="s">
        <v>69</v>
      </c>
      <c r="B431" s="27" t="s">
        <v>839</v>
      </c>
      <c r="D431" s="28" t="s">
        <v>829</v>
      </c>
      <c r="E431" s="32">
        <v>98750</v>
      </c>
      <c r="F431" s="29">
        <f t="shared" si="20"/>
        <v>0</v>
      </c>
      <c r="G431" s="29">
        <v>0</v>
      </c>
      <c r="H431" s="30">
        <f t="shared" si="21"/>
        <v>0</v>
      </c>
      <c r="I431" s="28" t="s">
        <v>840</v>
      </c>
    </row>
    <row r="432" ht="114.75">
      <c r="A432" s="32">
        <v>2503</v>
      </c>
      <c r="B432" s="27" t="s">
        <v>841</v>
      </c>
      <c r="D432" s="28"/>
      <c r="E432" s="28"/>
      <c r="F432" s="29">
        <f t="shared" si="20"/>
        <v>0</v>
      </c>
      <c r="G432" s="29">
        <v>0</v>
      </c>
      <c r="H432" s="30">
        <f t="shared" si="21"/>
        <v>0</v>
      </c>
      <c r="I432" s="32" t="s">
        <v>842</v>
      </c>
    </row>
    <row r="433" ht="38.25">
      <c r="A433" s="28" t="s">
        <v>20</v>
      </c>
      <c r="B433" s="27" t="s">
        <v>843</v>
      </c>
      <c r="D433" s="28" t="s">
        <v>844</v>
      </c>
      <c r="E433" s="32">
        <v>679</v>
      </c>
      <c r="F433" s="29">
        <f t="shared" si="20"/>
        <v>0</v>
      </c>
      <c r="G433" s="29">
        <v>0</v>
      </c>
      <c r="H433" s="30">
        <f t="shared" si="21"/>
        <v>0</v>
      </c>
      <c r="I433" s="28" t="s">
        <v>845</v>
      </c>
    </row>
    <row r="434" ht="76.5">
      <c r="A434" s="28" t="s">
        <v>24</v>
      </c>
      <c r="B434" s="27" t="s">
        <v>846</v>
      </c>
      <c r="D434" s="28" t="s">
        <v>844</v>
      </c>
      <c r="E434" s="32">
        <v>358</v>
      </c>
      <c r="F434" s="29">
        <f t="shared" si="20"/>
        <v>0</v>
      </c>
      <c r="G434" s="29">
        <v>0</v>
      </c>
      <c r="H434" s="30">
        <f t="shared" si="21"/>
        <v>0</v>
      </c>
      <c r="I434" s="28" t="s">
        <v>847</v>
      </c>
    </row>
    <row r="435" ht="89.25">
      <c r="A435" s="32">
        <v>2504</v>
      </c>
      <c r="B435" s="27" t="s">
        <v>848</v>
      </c>
      <c r="D435" s="28" t="s">
        <v>844</v>
      </c>
      <c r="E435" s="32">
        <v>289</v>
      </c>
      <c r="F435" s="29">
        <f t="shared" si="20"/>
        <v>0</v>
      </c>
      <c r="G435" s="29">
        <v>0</v>
      </c>
      <c r="H435" s="30">
        <f t="shared" si="21"/>
        <v>0</v>
      </c>
      <c r="I435" s="32" t="s">
        <v>849</v>
      </c>
    </row>
    <row r="436" ht="63.75">
      <c r="A436" s="32">
        <v>2505</v>
      </c>
      <c r="B436" s="27" t="s">
        <v>850</v>
      </c>
      <c r="D436" s="28" t="s">
        <v>844</v>
      </c>
      <c r="E436" s="32">
        <v>188</v>
      </c>
      <c r="F436" s="29">
        <f t="shared" si="20"/>
        <v>0</v>
      </c>
      <c r="G436" s="29">
        <v>0</v>
      </c>
      <c r="H436" s="30">
        <f t="shared" si="21"/>
        <v>0</v>
      </c>
      <c r="I436" s="32" t="s">
        <v>851</v>
      </c>
    </row>
    <row r="437" ht="63.75">
      <c r="A437" s="32">
        <v>2506</v>
      </c>
      <c r="B437" s="27" t="s">
        <v>852</v>
      </c>
      <c r="D437" s="28" t="s">
        <v>844</v>
      </c>
      <c r="E437" s="32">
        <v>2264</v>
      </c>
      <c r="F437" s="29">
        <f t="shared" si="20"/>
        <v>0</v>
      </c>
      <c r="G437" s="29">
        <v>0</v>
      </c>
      <c r="H437" s="30">
        <f t="shared" si="21"/>
        <v>0</v>
      </c>
      <c r="I437" s="32" t="s">
        <v>853</v>
      </c>
    </row>
    <row r="438" ht="165.75">
      <c r="A438" s="38">
        <v>2507</v>
      </c>
      <c r="B438" s="27" t="s">
        <v>854</v>
      </c>
      <c r="D438" s="28" t="s">
        <v>844</v>
      </c>
      <c r="E438" s="32">
        <v>1139</v>
      </c>
      <c r="F438" s="29">
        <f t="shared" si="20"/>
        <v>0</v>
      </c>
      <c r="G438" s="29">
        <v>0</v>
      </c>
      <c r="H438" s="30">
        <f t="shared" si="21"/>
        <v>0</v>
      </c>
      <c r="I438" s="32" t="s">
        <v>855</v>
      </c>
    </row>
    <row r="439" ht="51">
      <c r="A439" s="32">
        <v>2508</v>
      </c>
      <c r="B439" s="27" t="s">
        <v>856</v>
      </c>
      <c r="D439" s="28" t="s">
        <v>844</v>
      </c>
      <c r="E439" s="32">
        <v>211</v>
      </c>
      <c r="F439" s="29">
        <f t="shared" si="20"/>
        <v>0</v>
      </c>
      <c r="G439" s="29">
        <v>0</v>
      </c>
      <c r="H439" s="30">
        <f t="shared" si="21"/>
        <v>0</v>
      </c>
      <c r="I439" s="32" t="s">
        <v>857</v>
      </c>
    </row>
    <row r="440" ht="25.5">
      <c r="A440" s="32">
        <v>2509</v>
      </c>
      <c r="B440" s="27" t="s">
        <v>858</v>
      </c>
      <c r="D440" s="28"/>
      <c r="E440" s="28"/>
      <c r="F440" s="29">
        <f t="shared" si="20"/>
        <v>0</v>
      </c>
      <c r="G440" s="29">
        <v>0</v>
      </c>
      <c r="H440" s="30">
        <f t="shared" si="21"/>
        <v>0</v>
      </c>
      <c r="I440" s="32" t="s">
        <v>859</v>
      </c>
    </row>
    <row r="441" ht="25.5">
      <c r="A441" s="28" t="s">
        <v>20</v>
      </c>
      <c r="B441" s="27" t="s">
        <v>860</v>
      </c>
      <c r="D441" s="28" t="s">
        <v>844</v>
      </c>
      <c r="E441" s="32">
        <v>7</v>
      </c>
      <c r="F441" s="29">
        <f t="shared" si="20"/>
        <v>0</v>
      </c>
      <c r="G441" s="29">
        <v>0</v>
      </c>
      <c r="H441" s="30">
        <f t="shared" si="21"/>
        <v>0</v>
      </c>
      <c r="I441" s="28" t="s">
        <v>861</v>
      </c>
    </row>
    <row r="442" ht="25.5">
      <c r="A442" s="28" t="s">
        <v>24</v>
      </c>
      <c r="B442" s="27" t="s">
        <v>862</v>
      </c>
      <c r="D442" s="28" t="s">
        <v>863</v>
      </c>
      <c r="E442" s="32">
        <v>319</v>
      </c>
      <c r="F442" s="29">
        <f t="shared" si="20"/>
        <v>0</v>
      </c>
      <c r="G442" s="29">
        <v>0</v>
      </c>
      <c r="H442" s="30">
        <f t="shared" si="21"/>
        <v>0</v>
      </c>
      <c r="I442" s="28" t="s">
        <v>864</v>
      </c>
    </row>
    <row r="443" ht="25.5">
      <c r="A443" s="28" t="s">
        <v>42</v>
      </c>
      <c r="B443" s="27" t="s">
        <v>865</v>
      </c>
      <c r="D443" s="28" t="s">
        <v>863</v>
      </c>
      <c r="E443" s="32">
        <v>85</v>
      </c>
      <c r="F443" s="29">
        <f t="shared" si="20"/>
        <v>0</v>
      </c>
      <c r="G443" s="29">
        <v>0</v>
      </c>
      <c r="H443" s="30">
        <f t="shared" si="21"/>
        <v>0</v>
      </c>
      <c r="I443" s="28" t="s">
        <v>866</v>
      </c>
    </row>
    <row r="444" ht="63.75">
      <c r="A444" s="32">
        <v>2510</v>
      </c>
      <c r="B444" s="27" t="s">
        <v>867</v>
      </c>
      <c r="D444" s="28" t="s">
        <v>844</v>
      </c>
      <c r="E444" s="32">
        <v>60</v>
      </c>
      <c r="F444" s="29">
        <f t="shared" si="20"/>
        <v>0</v>
      </c>
      <c r="G444" s="29">
        <v>0</v>
      </c>
      <c r="H444" s="30">
        <f t="shared" si="21"/>
        <v>0</v>
      </c>
      <c r="I444" s="32" t="s">
        <v>868</v>
      </c>
    </row>
    <row r="445" ht="76.5">
      <c r="A445" s="32">
        <v>2511</v>
      </c>
      <c r="B445" s="27" t="s">
        <v>869</v>
      </c>
      <c r="D445" s="28" t="s">
        <v>844</v>
      </c>
      <c r="E445" s="32">
        <v>32</v>
      </c>
      <c r="F445" s="29">
        <f t="shared" si="20"/>
        <v>0</v>
      </c>
      <c r="G445" s="29">
        <v>0</v>
      </c>
      <c r="H445" s="30">
        <f t="shared" si="21"/>
        <v>0</v>
      </c>
      <c r="I445" s="32" t="s">
        <v>870</v>
      </c>
    </row>
    <row r="446" ht="38.25">
      <c r="A446" s="32">
        <v>2512</v>
      </c>
      <c r="B446" s="27" t="s">
        <v>871</v>
      </c>
      <c r="D446" s="28" t="s">
        <v>872</v>
      </c>
      <c r="E446" s="32">
        <v>1562</v>
      </c>
      <c r="F446" s="29">
        <f t="shared" si="20"/>
        <v>0</v>
      </c>
      <c r="G446" s="29">
        <v>0</v>
      </c>
      <c r="H446" s="30">
        <f t="shared" si="21"/>
        <v>0</v>
      </c>
      <c r="I446" s="32" t="s">
        <v>873</v>
      </c>
    </row>
    <row r="447" ht="63.75">
      <c r="A447" s="32">
        <v>2513</v>
      </c>
      <c r="B447" s="27" t="s">
        <v>874</v>
      </c>
      <c r="D447" s="28" t="s">
        <v>22</v>
      </c>
      <c r="E447" s="32">
        <v>1796</v>
      </c>
      <c r="F447" s="29">
        <f t="shared" si="20"/>
        <v>0</v>
      </c>
      <c r="G447" s="29">
        <v>0</v>
      </c>
      <c r="H447" s="30">
        <f t="shared" si="21"/>
        <v>0</v>
      </c>
      <c r="I447" s="32" t="s">
        <v>875</v>
      </c>
    </row>
    <row r="448" ht="127.5">
      <c r="A448" s="32">
        <v>2514</v>
      </c>
      <c r="B448" s="27" t="s">
        <v>876</v>
      </c>
      <c r="D448" s="28" t="s">
        <v>877</v>
      </c>
      <c r="E448" s="32">
        <v>9924</v>
      </c>
      <c r="F448" s="29">
        <f t="shared" si="20"/>
        <v>0</v>
      </c>
      <c r="G448" s="29">
        <v>0</v>
      </c>
      <c r="H448" s="30">
        <f t="shared" si="21"/>
        <v>0</v>
      </c>
      <c r="I448" s="32" t="s">
        <v>878</v>
      </c>
    </row>
    <row r="449" ht="63.75">
      <c r="A449" s="32">
        <v>2515</v>
      </c>
      <c r="B449" s="27" t="s">
        <v>879</v>
      </c>
      <c r="D449" s="28" t="s">
        <v>880</v>
      </c>
      <c r="E449" s="32">
        <v>813</v>
      </c>
      <c r="F449" s="29">
        <f t="shared" si="20"/>
        <v>0</v>
      </c>
      <c r="G449" s="29">
        <v>0</v>
      </c>
      <c r="H449" s="30">
        <f t="shared" si="21"/>
        <v>0</v>
      </c>
      <c r="I449" s="32" t="s">
        <v>881</v>
      </c>
    </row>
    <row r="450" ht="191.25">
      <c r="A450" s="38">
        <v>2516</v>
      </c>
      <c r="B450" s="27" t="s">
        <v>882</v>
      </c>
      <c r="D450" s="28"/>
      <c r="E450" s="28"/>
      <c r="F450" s="29">
        <f t="shared" si="20"/>
        <v>0</v>
      </c>
      <c r="G450" s="29">
        <v>0</v>
      </c>
      <c r="H450" s="30">
        <f t="shared" si="21"/>
        <v>0</v>
      </c>
      <c r="I450" s="32" t="s">
        <v>883</v>
      </c>
    </row>
    <row r="451" ht="63.75">
      <c r="A451" s="28" t="s">
        <v>20</v>
      </c>
      <c r="B451" s="27" t="s">
        <v>884</v>
      </c>
      <c r="D451" s="28" t="s">
        <v>844</v>
      </c>
      <c r="E451" s="32">
        <v>110</v>
      </c>
      <c r="F451" s="29">
        <f t="shared" si="20"/>
        <v>0</v>
      </c>
      <c r="G451" s="29">
        <v>0</v>
      </c>
      <c r="H451" s="30">
        <f t="shared" si="21"/>
        <v>0</v>
      </c>
      <c r="I451" s="28" t="s">
        <v>885</v>
      </c>
    </row>
    <row r="452" ht="127.5">
      <c r="A452" s="28" t="s">
        <v>24</v>
      </c>
      <c r="B452" s="27" t="s">
        <v>886</v>
      </c>
      <c r="D452" s="28" t="s">
        <v>887</v>
      </c>
      <c r="E452" s="32">
        <v>2331</v>
      </c>
      <c r="F452" s="29">
        <f t="shared" si="20"/>
        <v>0</v>
      </c>
      <c r="G452" s="29">
        <v>0</v>
      </c>
      <c r="H452" s="30">
        <f t="shared" si="21"/>
        <v>0</v>
      </c>
      <c r="I452" s="28" t="s">
        <v>888</v>
      </c>
    </row>
    <row r="453" ht="191.25">
      <c r="A453" s="32">
        <v>2517</v>
      </c>
      <c r="B453" s="27" t="s">
        <v>889</v>
      </c>
      <c r="D453" s="28"/>
      <c r="E453" s="28"/>
      <c r="F453" s="29">
        <f t="shared" si="20"/>
        <v>0</v>
      </c>
      <c r="G453" s="29">
        <v>0</v>
      </c>
      <c r="H453" s="30">
        <f t="shared" si="21"/>
        <v>0</v>
      </c>
      <c r="I453" s="32" t="s">
        <v>890</v>
      </c>
    </row>
    <row r="454" ht="51">
      <c r="A454" s="28"/>
      <c r="B454" s="27" t="s">
        <v>891</v>
      </c>
      <c r="D454" s="28"/>
      <c r="E454" s="28"/>
      <c r="F454" s="29">
        <f t="shared" si="20"/>
        <v>0</v>
      </c>
      <c r="G454" s="29">
        <v>0</v>
      </c>
      <c r="H454" s="30">
        <f t="shared" si="21"/>
        <v>0</v>
      </c>
      <c r="I454" s="28"/>
    </row>
    <row r="455" ht="51">
      <c r="A455" s="28" t="s">
        <v>20</v>
      </c>
      <c r="B455" s="27" t="s">
        <v>892</v>
      </c>
      <c r="D455" s="28" t="s">
        <v>844</v>
      </c>
      <c r="E455" s="32">
        <v>116</v>
      </c>
      <c r="F455" s="29">
        <f t="shared" si="20"/>
        <v>0</v>
      </c>
      <c r="G455" s="29">
        <v>0</v>
      </c>
      <c r="H455" s="30">
        <f t="shared" si="21"/>
        <v>0</v>
      </c>
      <c r="I455" s="28" t="s">
        <v>893</v>
      </c>
    </row>
    <row r="456" ht="33" customHeight="1">
      <c r="A456" s="28" t="s">
        <v>24</v>
      </c>
      <c r="B456" s="27" t="s">
        <v>894</v>
      </c>
      <c r="D456" s="63" t="s">
        <v>895</v>
      </c>
      <c r="E456" s="32">
        <v>1765</v>
      </c>
      <c r="F456" s="29">
        <f t="shared" si="20"/>
        <v>0</v>
      </c>
      <c r="G456" s="29">
        <v>0</v>
      </c>
      <c r="H456" s="30">
        <f t="shared" si="21"/>
        <v>0</v>
      </c>
      <c r="I456" s="28" t="s">
        <v>896</v>
      </c>
    </row>
    <row r="457" ht="38.25">
      <c r="A457" s="32">
        <v>2518</v>
      </c>
      <c r="B457" s="27" t="s">
        <v>897</v>
      </c>
      <c r="D457" s="28"/>
      <c r="E457" s="28"/>
      <c r="F457" s="29">
        <f t="shared" si="20"/>
        <v>0</v>
      </c>
      <c r="G457" s="29">
        <v>0</v>
      </c>
      <c r="H457" s="30">
        <f t="shared" si="21"/>
        <v>0</v>
      </c>
      <c r="I457" s="32" t="s">
        <v>898</v>
      </c>
    </row>
    <row r="458" ht="25.5">
      <c r="A458" s="28" t="s">
        <v>20</v>
      </c>
      <c r="B458" s="27" t="s">
        <v>899</v>
      </c>
      <c r="D458" s="28" t="s">
        <v>844</v>
      </c>
      <c r="E458" s="32">
        <v>232</v>
      </c>
      <c r="F458" s="29">
        <f t="shared" si="20"/>
        <v>0</v>
      </c>
      <c r="G458" s="29">
        <v>0</v>
      </c>
      <c r="H458" s="30">
        <f t="shared" si="21"/>
        <v>0</v>
      </c>
      <c r="I458" s="28" t="s">
        <v>900</v>
      </c>
    </row>
    <row r="459" ht="25.5">
      <c r="A459" s="28" t="s">
        <v>24</v>
      </c>
      <c r="B459" s="27" t="s">
        <v>901</v>
      </c>
      <c r="D459" s="28" t="s">
        <v>844</v>
      </c>
      <c r="E459" s="32">
        <v>761</v>
      </c>
      <c r="F459" s="29">
        <f t="shared" si="20"/>
        <v>0</v>
      </c>
      <c r="G459" s="29">
        <v>0</v>
      </c>
      <c r="H459" s="30">
        <f t="shared" si="21"/>
        <v>0</v>
      </c>
      <c r="I459" s="28" t="s">
        <v>902</v>
      </c>
    </row>
    <row r="460" ht="38.25">
      <c r="A460" s="32">
        <v>2519</v>
      </c>
      <c r="B460" s="27" t="s">
        <v>903</v>
      </c>
      <c r="D460" s="28"/>
      <c r="E460" s="28"/>
      <c r="F460" s="29">
        <f t="shared" si="20"/>
        <v>0</v>
      </c>
      <c r="G460" s="29">
        <v>0</v>
      </c>
      <c r="H460" s="30">
        <f t="shared" si="21"/>
        <v>0</v>
      </c>
      <c r="I460" s="32" t="s">
        <v>904</v>
      </c>
    </row>
    <row r="461" ht="25.5">
      <c r="A461" s="28" t="s">
        <v>20</v>
      </c>
      <c r="B461" s="27" t="s">
        <v>905</v>
      </c>
      <c r="D461" s="28" t="s">
        <v>844</v>
      </c>
      <c r="E461" s="32">
        <v>1032</v>
      </c>
      <c r="F461" s="29">
        <f t="shared" si="20"/>
        <v>0</v>
      </c>
      <c r="G461" s="29">
        <v>0</v>
      </c>
      <c r="H461" s="30">
        <f t="shared" si="21"/>
        <v>0</v>
      </c>
      <c r="I461" s="28" t="s">
        <v>906</v>
      </c>
    </row>
    <row r="462" ht="25.5">
      <c r="A462" s="28" t="s">
        <v>24</v>
      </c>
      <c r="B462" s="27" t="s">
        <v>907</v>
      </c>
      <c r="D462" s="28" t="s">
        <v>844</v>
      </c>
      <c r="E462" s="32">
        <v>1993</v>
      </c>
      <c r="F462" s="29">
        <f t="shared" si="20"/>
        <v>0</v>
      </c>
      <c r="G462" s="29">
        <v>0</v>
      </c>
      <c r="H462" s="30">
        <f t="shared" si="21"/>
        <v>0</v>
      </c>
      <c r="I462" s="28" t="s">
        <v>908</v>
      </c>
    </row>
    <row r="463" ht="76.5">
      <c r="A463" s="32">
        <v>2520</v>
      </c>
      <c r="B463" s="27" t="s">
        <v>909</v>
      </c>
      <c r="D463" s="28" t="s">
        <v>844</v>
      </c>
      <c r="E463" s="32">
        <v>370</v>
      </c>
      <c r="F463" s="29">
        <f t="shared" si="20"/>
        <v>0</v>
      </c>
      <c r="G463" s="29">
        <v>0</v>
      </c>
      <c r="H463" s="30">
        <f t="shared" si="21"/>
        <v>0</v>
      </c>
      <c r="I463" s="32" t="s">
        <v>910</v>
      </c>
    </row>
    <row r="464" ht="102">
      <c r="A464" s="32">
        <v>2521</v>
      </c>
      <c r="B464" s="27" t="s">
        <v>911</v>
      </c>
      <c r="D464" s="28" t="s">
        <v>22</v>
      </c>
      <c r="E464" s="32">
        <v>1204</v>
      </c>
      <c r="F464" s="29">
        <f t="shared" si="20"/>
        <v>0</v>
      </c>
      <c r="G464" s="29">
        <v>0</v>
      </c>
      <c r="H464" s="30">
        <f t="shared" si="21"/>
        <v>0</v>
      </c>
      <c r="I464" s="32" t="s">
        <v>912</v>
      </c>
    </row>
    <row r="465" ht="89.25">
      <c r="A465" s="32">
        <v>2522</v>
      </c>
      <c r="B465" s="27" t="s">
        <v>913</v>
      </c>
      <c r="D465" s="28" t="s">
        <v>22</v>
      </c>
      <c r="E465" s="32">
        <v>734</v>
      </c>
      <c r="F465" s="29">
        <f t="shared" si="20"/>
        <v>0</v>
      </c>
      <c r="G465" s="29">
        <v>0</v>
      </c>
      <c r="H465" s="30">
        <f t="shared" si="21"/>
        <v>0</v>
      </c>
      <c r="I465" s="32" t="s">
        <v>914</v>
      </c>
    </row>
    <row r="466" ht="25.5">
      <c r="A466" s="32">
        <v>2523</v>
      </c>
      <c r="B466" s="27" t="s">
        <v>915</v>
      </c>
      <c r="D466" s="28"/>
      <c r="E466" s="28"/>
      <c r="F466" s="29">
        <f t="shared" si="20"/>
        <v>0</v>
      </c>
      <c r="G466" s="29">
        <v>0</v>
      </c>
      <c r="H466" s="30">
        <f t="shared" si="21"/>
        <v>0</v>
      </c>
      <c r="I466" s="32" t="s">
        <v>916</v>
      </c>
    </row>
    <row r="467" ht="51">
      <c r="A467" s="28" t="s">
        <v>20</v>
      </c>
      <c r="B467" s="27" t="s">
        <v>917</v>
      </c>
      <c r="D467" s="28" t="s">
        <v>872</v>
      </c>
      <c r="E467" s="32">
        <v>5007</v>
      </c>
      <c r="F467" s="29">
        <f t="shared" si="20"/>
        <v>0</v>
      </c>
      <c r="G467" s="29">
        <v>0</v>
      </c>
      <c r="H467" s="30">
        <f t="shared" si="21"/>
        <v>0</v>
      </c>
      <c r="I467" s="28" t="s">
        <v>918</v>
      </c>
    </row>
    <row r="468" ht="25.5">
      <c r="A468" s="28" t="s">
        <v>24</v>
      </c>
      <c r="B468" s="27" t="s">
        <v>919</v>
      </c>
      <c r="D468" s="28" t="s">
        <v>704</v>
      </c>
      <c r="E468" s="32">
        <v>587</v>
      </c>
      <c r="F468" s="29">
        <f t="shared" si="20"/>
        <v>0</v>
      </c>
      <c r="G468" s="29">
        <v>0</v>
      </c>
      <c r="H468" s="30">
        <f t="shared" si="21"/>
        <v>0</v>
      </c>
      <c r="I468" s="28" t="s">
        <v>920</v>
      </c>
    </row>
    <row r="469" ht="102">
      <c r="A469" s="32">
        <v>2524</v>
      </c>
      <c r="B469" s="27" t="s">
        <v>921</v>
      </c>
      <c r="D469" s="28" t="s">
        <v>22</v>
      </c>
      <c r="E469" s="32">
        <v>766</v>
      </c>
      <c r="F469" s="29">
        <f t="shared" si="20"/>
        <v>0</v>
      </c>
      <c r="G469" s="29">
        <v>0</v>
      </c>
      <c r="H469" s="30">
        <f t="shared" si="21"/>
        <v>0</v>
      </c>
      <c r="I469" s="32" t="s">
        <v>922</v>
      </c>
    </row>
    <row r="470" ht="25.5">
      <c r="A470" s="32">
        <v>2525</v>
      </c>
      <c r="B470" s="41" t="s">
        <v>923</v>
      </c>
      <c r="D470" s="28"/>
      <c r="E470" s="28"/>
      <c r="F470" s="29">
        <f t="shared" si="20"/>
        <v>0</v>
      </c>
      <c r="G470" s="29">
        <v>0</v>
      </c>
      <c r="H470" s="30">
        <f t="shared" si="21"/>
        <v>0</v>
      </c>
      <c r="I470" s="32" t="s">
        <v>924</v>
      </c>
    </row>
    <row r="471" ht="76.5">
      <c r="A471" s="28" t="s">
        <v>20</v>
      </c>
      <c r="B471" s="27" t="s">
        <v>925</v>
      </c>
      <c r="D471" s="28" t="s">
        <v>704</v>
      </c>
      <c r="E471" s="32">
        <v>10</v>
      </c>
      <c r="F471" s="29">
        <f t="shared" si="20"/>
        <v>0</v>
      </c>
      <c r="G471" s="29">
        <v>0</v>
      </c>
      <c r="H471" s="30">
        <f t="shared" si="21"/>
        <v>0</v>
      </c>
      <c r="I471" s="28" t="s">
        <v>926</v>
      </c>
    </row>
    <row r="472" ht="51">
      <c r="A472" s="28" t="s">
        <v>24</v>
      </c>
      <c r="B472" s="27" t="s">
        <v>927</v>
      </c>
      <c r="D472" s="28" t="s">
        <v>704</v>
      </c>
      <c r="E472" s="32">
        <v>5</v>
      </c>
      <c r="F472" s="29">
        <f t="shared" si="20"/>
        <v>0</v>
      </c>
      <c r="G472" s="29">
        <v>0</v>
      </c>
      <c r="H472" s="30">
        <f t="shared" si="21"/>
        <v>0</v>
      </c>
      <c r="I472" s="28" t="s">
        <v>928</v>
      </c>
    </row>
    <row r="473" ht="76.5">
      <c r="A473" s="32">
        <v>2526</v>
      </c>
      <c r="B473" s="27" t="s">
        <v>929</v>
      </c>
      <c r="D473" s="28" t="s">
        <v>159</v>
      </c>
      <c r="E473" s="32">
        <v>4500</v>
      </c>
      <c r="F473" s="29">
        <f t="shared" si="20"/>
        <v>0</v>
      </c>
      <c r="G473" s="29">
        <v>0</v>
      </c>
      <c r="H473" s="30">
        <f>SUM(F473:G473)</f>
        <v>0</v>
      </c>
      <c r="I473" s="32" t="s">
        <v>930</v>
      </c>
    </row>
    <row r="474" s="6" customFormat="1" ht="51">
      <c r="A474" s="64">
        <v>2527</v>
      </c>
      <c r="B474" s="42" t="s">
        <v>931</v>
      </c>
      <c r="C474" s="65"/>
      <c r="D474" s="66" t="s">
        <v>844</v>
      </c>
      <c r="E474" s="64">
        <v>674</v>
      </c>
      <c r="F474" s="29">
        <f t="shared" si="20"/>
        <v>0</v>
      </c>
      <c r="G474" s="29">
        <v>0</v>
      </c>
      <c r="H474" s="30">
        <f t="shared" si="21"/>
        <v>0</v>
      </c>
      <c r="I474" s="64" t="s">
        <v>932</v>
      </c>
      <c r="M474" s="67"/>
    </row>
    <row r="475" s="6" customFormat="1" ht="76.5">
      <c r="A475" s="64">
        <v>2528</v>
      </c>
      <c r="B475" s="42" t="s">
        <v>933</v>
      </c>
      <c r="C475" s="65"/>
      <c r="D475" s="66" t="s">
        <v>829</v>
      </c>
      <c r="E475" s="64">
        <v>460</v>
      </c>
      <c r="F475" s="29">
        <f t="shared" si="20"/>
        <v>0</v>
      </c>
      <c r="G475" s="29">
        <v>0</v>
      </c>
      <c r="H475" s="30">
        <f t="shared" si="21"/>
        <v>0</v>
      </c>
      <c r="I475" s="64" t="s">
        <v>934</v>
      </c>
    </row>
    <row r="476" s="6" customFormat="1" ht="25.5">
      <c r="A476" s="64">
        <v>2529</v>
      </c>
      <c r="B476" s="42" t="s">
        <v>935</v>
      </c>
      <c r="C476" s="65"/>
      <c r="D476" s="66" t="s">
        <v>844</v>
      </c>
      <c r="E476" s="64">
        <v>2174</v>
      </c>
      <c r="F476" s="29">
        <f t="shared" si="20"/>
        <v>0</v>
      </c>
      <c r="G476" s="29">
        <v>0</v>
      </c>
      <c r="H476" s="30">
        <f t="shared" si="21"/>
        <v>0</v>
      </c>
      <c r="I476" s="64" t="s">
        <v>936</v>
      </c>
    </row>
    <row r="477" s="6" customFormat="1" ht="51">
      <c r="A477" s="64">
        <v>2530</v>
      </c>
      <c r="B477" s="42" t="s">
        <v>937</v>
      </c>
      <c r="C477" s="65"/>
      <c r="D477" s="66" t="s">
        <v>293</v>
      </c>
      <c r="E477" s="64">
        <v>11682</v>
      </c>
      <c r="F477" s="29">
        <f t="shared" si="20"/>
        <v>0</v>
      </c>
      <c r="G477" s="29">
        <v>0</v>
      </c>
      <c r="H477" s="30">
        <f t="shared" si="21"/>
        <v>0</v>
      </c>
      <c r="I477" s="64" t="s">
        <v>938</v>
      </c>
    </row>
    <row r="478" s="6" customFormat="1">
      <c r="A478" s="64"/>
      <c r="C478" s="65"/>
      <c r="D478" s="66"/>
      <c r="E478" s="64"/>
      <c r="F478" s="29"/>
      <c r="G478" s="29"/>
      <c r="H478" s="30"/>
      <c r="I478" s="64"/>
    </row>
    <row r="479">
      <c r="A479" s="32"/>
      <c r="B479" s="32"/>
      <c r="C479" s="32"/>
      <c r="D479" s="32"/>
      <c r="E479" s="32"/>
      <c r="F479" s="29"/>
      <c r="G479" s="29"/>
      <c r="H479" s="30"/>
    </row>
    <row r="480">
      <c r="A480" s="34" t="s">
        <v>939</v>
      </c>
      <c r="B480" s="34"/>
      <c r="C480" s="34"/>
      <c r="D480" s="34"/>
      <c r="E480" s="34"/>
      <c r="F480" s="29"/>
      <c r="G480" s="29"/>
      <c r="H480" s="30"/>
    </row>
    <row r="481" ht="25.5">
      <c r="A481" s="32">
        <v>2601</v>
      </c>
      <c r="B481" s="27" t="s">
        <v>940</v>
      </c>
      <c r="C481" s="28"/>
      <c r="D481" s="28"/>
      <c r="E481" s="28"/>
      <c r="F481" s="29"/>
      <c r="G481" s="29"/>
      <c r="H481" s="30"/>
      <c r="I481" s="32" t="s">
        <v>941</v>
      </c>
    </row>
    <row r="482" ht="204">
      <c r="A482" s="28" t="s">
        <v>20</v>
      </c>
      <c r="B482" s="27" t="s">
        <v>942</v>
      </c>
      <c r="C482" s="28"/>
      <c r="D482" s="17" t="s">
        <v>943</v>
      </c>
      <c r="E482" s="32">
        <v>15324</v>
      </c>
      <c r="F482" s="29">
        <f t="shared" ref="F482:F543" si="22">C482*E482</f>
        <v>0</v>
      </c>
      <c r="G482" s="29">
        <v>0</v>
      </c>
      <c r="H482" s="30">
        <f t="shared" ref="H482:H543" si="23">SUM(F482:G482)</f>
        <v>0</v>
      </c>
      <c r="I482" s="28" t="s">
        <v>944</v>
      </c>
    </row>
    <row r="483" ht="140.25">
      <c r="A483" s="28" t="s">
        <v>24</v>
      </c>
      <c r="B483" s="27" t="s">
        <v>945</v>
      </c>
      <c r="C483" s="28"/>
      <c r="D483" s="17" t="s">
        <v>943</v>
      </c>
      <c r="E483" s="32">
        <v>10809</v>
      </c>
      <c r="F483" s="29">
        <f t="shared" si="22"/>
        <v>0</v>
      </c>
      <c r="G483" s="29">
        <v>0</v>
      </c>
      <c r="H483" s="30">
        <f t="shared" si="23"/>
        <v>0</v>
      </c>
      <c r="I483" s="28" t="s">
        <v>946</v>
      </c>
    </row>
    <row r="484" ht="76.5">
      <c r="A484" s="28" t="s">
        <v>42</v>
      </c>
      <c r="B484" s="27" t="s">
        <v>947</v>
      </c>
      <c r="C484" s="28"/>
      <c r="D484" s="17" t="s">
        <v>872</v>
      </c>
      <c r="E484" s="32">
        <v>405</v>
      </c>
      <c r="F484" s="29">
        <f t="shared" si="22"/>
        <v>0</v>
      </c>
      <c r="G484" s="29">
        <v>0</v>
      </c>
      <c r="H484" s="30">
        <f t="shared" si="23"/>
        <v>0</v>
      </c>
      <c r="I484" s="28" t="s">
        <v>948</v>
      </c>
    </row>
    <row r="485" ht="38.25">
      <c r="A485" s="28" t="s">
        <v>69</v>
      </c>
      <c r="B485" s="27" t="s">
        <v>949</v>
      </c>
      <c r="C485" s="28"/>
      <c r="D485" s="17" t="s">
        <v>943</v>
      </c>
      <c r="E485" s="32">
        <v>368</v>
      </c>
      <c r="F485" s="29">
        <f t="shared" si="22"/>
        <v>0</v>
      </c>
      <c r="G485" s="29">
        <v>0</v>
      </c>
      <c r="H485" s="30">
        <f t="shared" si="23"/>
        <v>0</v>
      </c>
      <c r="I485" s="28" t="s">
        <v>950</v>
      </c>
    </row>
    <row r="486" ht="51">
      <c r="A486" s="32">
        <v>2602</v>
      </c>
      <c r="B486" s="27" t="s">
        <v>951</v>
      </c>
      <c r="C486" s="28"/>
      <c r="D486" s="17" t="s">
        <v>943</v>
      </c>
      <c r="E486" s="32">
        <v>559</v>
      </c>
      <c r="F486" s="29">
        <f t="shared" si="22"/>
        <v>0</v>
      </c>
      <c r="G486" s="29">
        <v>0</v>
      </c>
      <c r="H486" s="30">
        <f t="shared" si="23"/>
        <v>0</v>
      </c>
      <c r="I486" s="32" t="s">
        <v>952</v>
      </c>
    </row>
    <row r="487" ht="25.5">
      <c r="A487" s="32">
        <v>2603</v>
      </c>
      <c r="B487" s="27" t="s">
        <v>953</v>
      </c>
      <c r="C487" s="28"/>
      <c r="D487" s="28" t="s">
        <v>954</v>
      </c>
      <c r="E487" s="32">
        <v>178</v>
      </c>
      <c r="F487" s="29">
        <f t="shared" si="22"/>
        <v>0</v>
      </c>
      <c r="G487" s="29">
        <v>0</v>
      </c>
      <c r="H487" s="30">
        <f t="shared" si="23"/>
        <v>0</v>
      </c>
      <c r="I487" s="32" t="s">
        <v>955</v>
      </c>
    </row>
    <row r="488" ht="51">
      <c r="A488" s="32">
        <v>2604</v>
      </c>
      <c r="B488" s="27" t="s">
        <v>956</v>
      </c>
      <c r="C488" s="28"/>
      <c r="D488" s="28" t="s">
        <v>957</v>
      </c>
      <c r="E488" s="32">
        <v>183</v>
      </c>
      <c r="F488" s="29">
        <f t="shared" si="22"/>
        <v>0</v>
      </c>
      <c r="G488" s="29">
        <v>0</v>
      </c>
      <c r="H488" s="30">
        <f t="shared" si="23"/>
        <v>0</v>
      </c>
      <c r="I488" s="32" t="s">
        <v>958</v>
      </c>
    </row>
    <row r="489" ht="25.5">
      <c r="A489" s="32">
        <v>2605</v>
      </c>
      <c r="B489" s="27" t="s">
        <v>959</v>
      </c>
      <c r="C489" s="28"/>
      <c r="D489" s="63"/>
      <c r="E489" s="28"/>
      <c r="F489" s="29">
        <f t="shared" si="22"/>
        <v>0</v>
      </c>
      <c r="G489" s="29">
        <v>0</v>
      </c>
      <c r="H489" s="30">
        <f t="shared" si="23"/>
        <v>0</v>
      </c>
      <c r="I489" s="32" t="s">
        <v>960</v>
      </c>
    </row>
    <row r="490" ht="25.5">
      <c r="A490" s="28" t="s">
        <v>20</v>
      </c>
      <c r="B490" s="27" t="s">
        <v>961</v>
      </c>
      <c r="C490" s="28"/>
      <c r="D490" s="63" t="s">
        <v>957</v>
      </c>
      <c r="E490" s="32">
        <v>228</v>
      </c>
      <c r="F490" s="29">
        <f t="shared" si="22"/>
        <v>0</v>
      </c>
      <c r="G490" s="29">
        <v>0</v>
      </c>
      <c r="H490" s="30">
        <f t="shared" si="23"/>
        <v>0</v>
      </c>
      <c r="I490" s="28" t="s">
        <v>962</v>
      </c>
    </row>
    <row r="491" ht="38.25">
      <c r="A491" s="28" t="s">
        <v>24</v>
      </c>
      <c r="B491" s="27" t="s">
        <v>963</v>
      </c>
      <c r="C491" s="28"/>
      <c r="D491" s="63" t="s">
        <v>957</v>
      </c>
      <c r="E491" s="32">
        <v>301</v>
      </c>
      <c r="F491" s="29">
        <f t="shared" si="22"/>
        <v>0</v>
      </c>
      <c r="G491" s="29">
        <v>0</v>
      </c>
      <c r="H491" s="30">
        <f t="shared" si="23"/>
        <v>0</v>
      </c>
      <c r="I491" s="28" t="s">
        <v>964</v>
      </c>
    </row>
    <row r="492" ht="25.5">
      <c r="A492" s="28" t="s">
        <v>42</v>
      </c>
      <c r="B492" s="27" t="s">
        <v>965</v>
      </c>
      <c r="C492" s="28"/>
      <c r="D492" s="63" t="s">
        <v>957</v>
      </c>
      <c r="E492" s="32">
        <v>145</v>
      </c>
      <c r="F492" s="29">
        <f t="shared" si="22"/>
        <v>0</v>
      </c>
      <c r="G492" s="29">
        <v>0</v>
      </c>
      <c r="H492" s="30">
        <f t="shared" si="23"/>
        <v>0</v>
      </c>
      <c r="I492" s="28" t="s">
        <v>966</v>
      </c>
    </row>
    <row r="493" ht="25.5">
      <c r="A493" s="28" t="s">
        <v>69</v>
      </c>
      <c r="B493" s="27" t="s">
        <v>967</v>
      </c>
      <c r="C493" s="28"/>
      <c r="D493" s="63" t="s">
        <v>957</v>
      </c>
      <c r="E493" s="32">
        <v>88</v>
      </c>
      <c r="F493" s="29">
        <f t="shared" si="22"/>
        <v>0</v>
      </c>
      <c r="G493" s="29">
        <v>0</v>
      </c>
      <c r="H493" s="30">
        <f t="shared" si="23"/>
        <v>0</v>
      </c>
      <c r="I493" s="28" t="s">
        <v>968</v>
      </c>
    </row>
    <row r="494" ht="38.25">
      <c r="A494" s="28" t="s">
        <v>72</v>
      </c>
      <c r="B494" s="27" t="s">
        <v>969</v>
      </c>
      <c r="C494" s="28"/>
      <c r="D494" s="63" t="s">
        <v>957</v>
      </c>
      <c r="E494" s="32">
        <v>203</v>
      </c>
      <c r="F494" s="29">
        <f t="shared" si="22"/>
        <v>0</v>
      </c>
      <c r="G494" s="29">
        <v>0</v>
      </c>
      <c r="H494" s="30">
        <f t="shared" si="23"/>
        <v>0</v>
      </c>
      <c r="I494" s="28" t="s">
        <v>970</v>
      </c>
    </row>
    <row r="495" ht="38.25">
      <c r="A495" s="28" t="s">
        <v>75</v>
      </c>
      <c r="B495" s="27" t="s">
        <v>971</v>
      </c>
      <c r="C495" s="28"/>
      <c r="D495" s="63" t="s">
        <v>972</v>
      </c>
      <c r="E495" s="32">
        <v>510</v>
      </c>
      <c r="F495" s="29">
        <f t="shared" si="22"/>
        <v>0</v>
      </c>
      <c r="G495" s="29">
        <v>0</v>
      </c>
      <c r="H495" s="30">
        <f t="shared" si="23"/>
        <v>0</v>
      </c>
      <c r="I495" s="28" t="s">
        <v>973</v>
      </c>
    </row>
    <row r="496" ht="38.25">
      <c r="A496" s="28" t="s">
        <v>204</v>
      </c>
      <c r="B496" s="27" t="s">
        <v>974</v>
      </c>
      <c r="C496" s="28"/>
      <c r="D496" s="63" t="s">
        <v>972</v>
      </c>
      <c r="E496" s="32">
        <v>452</v>
      </c>
      <c r="F496" s="29">
        <f t="shared" si="22"/>
        <v>0</v>
      </c>
      <c r="G496" s="29">
        <v>0</v>
      </c>
      <c r="H496" s="30">
        <f t="shared" si="23"/>
        <v>0</v>
      </c>
      <c r="I496" s="28" t="s">
        <v>975</v>
      </c>
    </row>
    <row r="497" ht="102">
      <c r="A497" s="28" t="s">
        <v>419</v>
      </c>
      <c r="B497" s="27" t="s">
        <v>976</v>
      </c>
      <c r="C497" s="28"/>
      <c r="D497" s="17" t="s">
        <v>880</v>
      </c>
      <c r="E497" s="32">
        <v>65659</v>
      </c>
      <c r="F497" s="29">
        <f t="shared" si="22"/>
        <v>0</v>
      </c>
      <c r="G497" s="29">
        <v>0</v>
      </c>
      <c r="H497" s="30">
        <f t="shared" si="23"/>
        <v>0</v>
      </c>
      <c r="I497" s="28" t="s">
        <v>977</v>
      </c>
    </row>
    <row r="498" ht="51">
      <c r="A498" s="28" t="s">
        <v>422</v>
      </c>
      <c r="B498" s="27" t="s">
        <v>978</v>
      </c>
      <c r="C498" s="28"/>
      <c r="D498" s="17" t="s">
        <v>872</v>
      </c>
      <c r="E498" s="32">
        <v>28005</v>
      </c>
      <c r="F498" s="29">
        <f t="shared" si="22"/>
        <v>0</v>
      </c>
      <c r="G498" s="29">
        <v>0</v>
      </c>
      <c r="H498" s="30">
        <f t="shared" si="23"/>
        <v>0</v>
      </c>
      <c r="I498" s="28" t="s">
        <v>979</v>
      </c>
    </row>
    <row r="499" ht="36">
      <c r="A499" s="32">
        <v>2606</v>
      </c>
      <c r="B499" s="27" t="s">
        <v>980</v>
      </c>
      <c r="C499" s="28"/>
      <c r="D499" s="63" t="s">
        <v>981</v>
      </c>
      <c r="E499" s="32">
        <v>14</v>
      </c>
      <c r="F499" s="29">
        <f t="shared" si="22"/>
        <v>0</v>
      </c>
      <c r="G499" s="29">
        <v>0</v>
      </c>
      <c r="H499" s="30">
        <f t="shared" si="23"/>
        <v>0</v>
      </c>
      <c r="I499" s="32" t="s">
        <v>982</v>
      </c>
    </row>
    <row r="500" ht="63.75">
      <c r="A500" s="32">
        <v>2607</v>
      </c>
      <c r="B500" s="27" t="s">
        <v>983</v>
      </c>
      <c r="C500" s="28"/>
      <c r="D500" s="68" t="s">
        <v>984</v>
      </c>
      <c r="E500" s="32">
        <v>338</v>
      </c>
      <c r="F500" s="29">
        <f t="shared" si="22"/>
        <v>0</v>
      </c>
      <c r="G500" s="29">
        <v>0</v>
      </c>
      <c r="H500" s="30">
        <f t="shared" si="23"/>
        <v>0</v>
      </c>
      <c r="I500" s="32" t="s">
        <v>985</v>
      </c>
    </row>
    <row r="501" ht="25.5">
      <c r="A501" s="32">
        <v>2608</v>
      </c>
      <c r="B501" s="27" t="s">
        <v>986</v>
      </c>
      <c r="C501" s="28"/>
      <c r="E501" s="28"/>
      <c r="F501" s="29">
        <f t="shared" si="22"/>
        <v>0</v>
      </c>
      <c r="G501" s="29">
        <v>0</v>
      </c>
      <c r="H501" s="30">
        <f t="shared" si="23"/>
        <v>0</v>
      </c>
      <c r="I501" s="32" t="s">
        <v>987</v>
      </c>
    </row>
    <row r="502" ht="25.5">
      <c r="A502" s="28" t="s">
        <v>20</v>
      </c>
      <c r="B502" s="27" t="s">
        <v>988</v>
      </c>
      <c r="C502" s="28"/>
      <c r="D502" s="17" t="s">
        <v>943</v>
      </c>
      <c r="E502" s="32">
        <v>776</v>
      </c>
      <c r="F502" s="29">
        <f t="shared" si="22"/>
        <v>0</v>
      </c>
      <c r="G502" s="29">
        <v>0</v>
      </c>
      <c r="H502" s="30">
        <f t="shared" si="23"/>
        <v>0</v>
      </c>
      <c r="I502" s="28" t="s">
        <v>989</v>
      </c>
    </row>
    <row r="503" ht="25.5">
      <c r="A503" s="28" t="s">
        <v>24</v>
      </c>
      <c r="B503" s="27" t="s">
        <v>990</v>
      </c>
      <c r="C503" s="28"/>
      <c r="D503" s="17" t="s">
        <v>943</v>
      </c>
      <c r="E503" s="32">
        <v>388</v>
      </c>
      <c r="F503" s="29">
        <f t="shared" si="22"/>
        <v>0</v>
      </c>
      <c r="G503" s="29">
        <v>0</v>
      </c>
      <c r="H503" s="30">
        <f t="shared" si="23"/>
        <v>0</v>
      </c>
      <c r="I503" s="28" t="s">
        <v>991</v>
      </c>
    </row>
    <row r="504" ht="25.5">
      <c r="A504" s="32">
        <v>2609</v>
      </c>
      <c r="B504" s="41" t="s">
        <v>992</v>
      </c>
      <c r="C504" s="28"/>
      <c r="E504" s="28"/>
      <c r="F504" s="29">
        <f t="shared" si="22"/>
        <v>0</v>
      </c>
      <c r="G504" s="29">
        <v>0</v>
      </c>
      <c r="H504" s="30">
        <f t="shared" si="23"/>
        <v>0</v>
      </c>
      <c r="I504" s="32" t="s">
        <v>993</v>
      </c>
    </row>
    <row r="505" ht="127.5">
      <c r="A505" s="28" t="s">
        <v>20</v>
      </c>
      <c r="B505" s="27" t="s">
        <v>994</v>
      </c>
      <c r="C505" s="28"/>
      <c r="D505" s="17" t="s">
        <v>995</v>
      </c>
      <c r="E505" s="32">
        <v>1035</v>
      </c>
      <c r="F505" s="29">
        <f t="shared" si="22"/>
        <v>0</v>
      </c>
      <c r="G505" s="29">
        <v>0</v>
      </c>
      <c r="H505" s="30">
        <f t="shared" si="23"/>
        <v>0</v>
      </c>
      <c r="I505" s="28" t="s">
        <v>996</v>
      </c>
    </row>
    <row r="506" ht="51">
      <c r="A506" s="28" t="s">
        <v>24</v>
      </c>
      <c r="B506" s="27" t="s">
        <v>997</v>
      </c>
      <c r="C506" s="28"/>
      <c r="D506" s="17" t="s">
        <v>943</v>
      </c>
      <c r="E506" s="32">
        <v>1645</v>
      </c>
      <c r="F506" s="29">
        <f t="shared" si="22"/>
        <v>0</v>
      </c>
      <c r="G506" s="29">
        <v>0</v>
      </c>
      <c r="H506" s="30">
        <f t="shared" si="23"/>
        <v>0</v>
      </c>
      <c r="I506" s="28" t="s">
        <v>998</v>
      </c>
    </row>
    <row r="507" ht="178.5">
      <c r="A507" s="32">
        <v>2610</v>
      </c>
      <c r="B507" s="27" t="s">
        <v>999</v>
      </c>
      <c r="C507" s="28"/>
      <c r="E507" s="28"/>
      <c r="F507" s="29"/>
      <c r="G507" s="29"/>
      <c r="H507" s="30"/>
      <c r="I507" s="32" t="s">
        <v>1000</v>
      </c>
    </row>
    <row r="508" ht="25.5">
      <c r="A508" s="28" t="s">
        <v>20</v>
      </c>
      <c r="B508" s="27" t="s">
        <v>1001</v>
      </c>
      <c r="C508" s="28"/>
      <c r="D508" s="17" t="s">
        <v>943</v>
      </c>
      <c r="E508" s="32">
        <v>4053</v>
      </c>
      <c r="F508" s="29">
        <f t="shared" si="22"/>
        <v>0</v>
      </c>
      <c r="G508" s="29">
        <v>0</v>
      </c>
      <c r="H508" s="30">
        <f t="shared" si="23"/>
        <v>0</v>
      </c>
      <c r="I508" s="28" t="s">
        <v>1002</v>
      </c>
    </row>
    <row r="509" ht="25.5">
      <c r="A509" s="28" t="s">
        <v>24</v>
      </c>
      <c r="B509" s="27" t="s">
        <v>1003</v>
      </c>
      <c r="C509" s="28"/>
      <c r="D509" s="17" t="s">
        <v>943</v>
      </c>
      <c r="E509" s="32">
        <v>2683</v>
      </c>
      <c r="F509" s="29">
        <f t="shared" si="22"/>
        <v>0</v>
      </c>
      <c r="G509" s="29">
        <v>0</v>
      </c>
      <c r="H509" s="30">
        <f t="shared" si="23"/>
        <v>0</v>
      </c>
      <c r="I509" s="28" t="s">
        <v>1004</v>
      </c>
    </row>
    <row r="510" ht="25.5">
      <c r="A510" s="28" t="s">
        <v>42</v>
      </c>
      <c r="B510" s="27" t="s">
        <v>1005</v>
      </c>
      <c r="C510" s="28"/>
      <c r="D510" s="17" t="s">
        <v>943</v>
      </c>
      <c r="E510" s="32">
        <v>2217</v>
      </c>
      <c r="F510" s="29">
        <f t="shared" si="22"/>
        <v>0</v>
      </c>
      <c r="G510" s="29">
        <v>0</v>
      </c>
      <c r="H510" s="30">
        <f t="shared" si="23"/>
        <v>0</v>
      </c>
      <c r="I510" s="28" t="s">
        <v>1006</v>
      </c>
    </row>
    <row r="511" ht="114.75">
      <c r="A511" s="32">
        <v>2611</v>
      </c>
      <c r="B511" s="27" t="s">
        <v>1007</v>
      </c>
      <c r="C511" s="28"/>
      <c r="E511" s="28"/>
      <c r="F511" s="29"/>
      <c r="G511" s="29"/>
      <c r="H511" s="30"/>
      <c r="I511" s="32" t="s">
        <v>1008</v>
      </c>
    </row>
    <row r="512" ht="25.5">
      <c r="A512" s="28" t="s">
        <v>20</v>
      </c>
      <c r="B512" s="27" t="s">
        <v>1009</v>
      </c>
      <c r="C512" s="28"/>
      <c r="D512" s="17" t="s">
        <v>943</v>
      </c>
      <c r="E512" s="32">
        <v>1791</v>
      </c>
      <c r="F512" s="29">
        <f t="shared" si="22"/>
        <v>0</v>
      </c>
      <c r="G512" s="29">
        <v>0</v>
      </c>
      <c r="H512" s="30">
        <f t="shared" si="23"/>
        <v>0</v>
      </c>
      <c r="I512" s="28" t="s">
        <v>1010</v>
      </c>
    </row>
    <row r="513" ht="25.5">
      <c r="A513" s="28" t="s">
        <v>24</v>
      </c>
      <c r="B513" s="27" t="s">
        <v>1011</v>
      </c>
      <c r="C513" s="28"/>
      <c r="D513" s="17" t="s">
        <v>943</v>
      </c>
      <c r="E513" s="32">
        <v>1712</v>
      </c>
      <c r="F513" s="29">
        <f t="shared" si="22"/>
        <v>0</v>
      </c>
      <c r="G513" s="29">
        <v>0</v>
      </c>
      <c r="H513" s="30">
        <f t="shared" si="23"/>
        <v>0</v>
      </c>
      <c r="I513" s="28" t="s">
        <v>1012</v>
      </c>
    </row>
    <row r="514" ht="127.5">
      <c r="A514" s="32">
        <v>2612</v>
      </c>
      <c r="B514" s="27" t="s">
        <v>1013</v>
      </c>
      <c r="C514" s="28"/>
      <c r="E514" s="28"/>
      <c r="F514" s="29"/>
      <c r="G514" s="29"/>
      <c r="H514" s="30"/>
      <c r="I514" s="32" t="s">
        <v>1014</v>
      </c>
    </row>
    <row r="515" ht="25.5">
      <c r="A515" s="28" t="s">
        <v>20</v>
      </c>
      <c r="B515" s="27" t="s">
        <v>1015</v>
      </c>
      <c r="C515" s="28"/>
      <c r="D515" s="17" t="s">
        <v>943</v>
      </c>
      <c r="E515" s="32">
        <v>1239</v>
      </c>
      <c r="F515" s="29">
        <f t="shared" si="22"/>
        <v>0</v>
      </c>
      <c r="G515" s="29">
        <v>0</v>
      </c>
      <c r="H515" s="30">
        <f t="shared" si="23"/>
        <v>0</v>
      </c>
      <c r="I515" s="28" t="s">
        <v>1016</v>
      </c>
    </row>
    <row r="516" ht="25.5">
      <c r="A516" s="28" t="s">
        <v>24</v>
      </c>
      <c r="B516" s="27" t="s">
        <v>1017</v>
      </c>
      <c r="C516" s="28"/>
      <c r="D516" s="17" t="s">
        <v>943</v>
      </c>
      <c r="E516" s="32">
        <v>650</v>
      </c>
      <c r="F516" s="29">
        <f t="shared" si="22"/>
        <v>0</v>
      </c>
      <c r="G516" s="29">
        <v>0</v>
      </c>
      <c r="H516" s="30">
        <f t="shared" si="23"/>
        <v>0</v>
      </c>
      <c r="I516" s="28" t="s">
        <v>1018</v>
      </c>
    </row>
    <row r="517" ht="38.25">
      <c r="A517" s="32">
        <v>2613</v>
      </c>
      <c r="B517" s="27" t="s">
        <v>1019</v>
      </c>
      <c r="C517" s="28"/>
      <c r="D517" s="17" t="s">
        <v>1020</v>
      </c>
      <c r="E517" s="32">
        <v>170</v>
      </c>
      <c r="F517" s="29">
        <f t="shared" si="22"/>
        <v>0</v>
      </c>
      <c r="G517" s="29">
        <v>0</v>
      </c>
      <c r="H517" s="30">
        <f t="shared" si="23"/>
        <v>0</v>
      </c>
      <c r="I517" s="32" t="s">
        <v>1021</v>
      </c>
    </row>
    <row r="518" ht="127.5">
      <c r="A518" s="32">
        <v>2614</v>
      </c>
      <c r="B518" s="27" t="s">
        <v>1022</v>
      </c>
      <c r="C518" s="28"/>
      <c r="D518" s="17" t="s">
        <v>943</v>
      </c>
      <c r="E518" s="32">
        <v>762</v>
      </c>
      <c r="F518" s="29">
        <f t="shared" si="22"/>
        <v>0</v>
      </c>
      <c r="G518" s="29">
        <v>0</v>
      </c>
      <c r="H518" s="30">
        <f t="shared" si="23"/>
        <v>0</v>
      </c>
      <c r="I518" s="32" t="s">
        <v>1023</v>
      </c>
    </row>
    <row r="519">
      <c r="A519" s="32"/>
      <c r="B519" s="32"/>
      <c r="C519" s="32"/>
      <c r="D519" s="32"/>
      <c r="E519" s="32"/>
      <c r="F519" s="29"/>
      <c r="G519" s="29"/>
      <c r="H519" s="30"/>
    </row>
    <row r="520">
      <c r="A520" s="34" t="s">
        <v>1024</v>
      </c>
      <c r="B520" s="34"/>
      <c r="C520" s="34"/>
      <c r="D520" s="34"/>
      <c r="E520" s="34"/>
      <c r="F520" s="29"/>
      <c r="G520" s="29"/>
      <c r="H520" s="30"/>
    </row>
    <row r="521" ht="178.5">
      <c r="A521" s="32">
        <v>2701</v>
      </c>
      <c r="B521" s="27" t="s">
        <v>1025</v>
      </c>
      <c r="D521" s="28" t="s">
        <v>22</v>
      </c>
      <c r="E521" s="32">
        <v>6652</v>
      </c>
      <c r="F521" s="29">
        <f t="shared" si="22"/>
        <v>0</v>
      </c>
      <c r="G521" s="29">
        <v>0</v>
      </c>
      <c r="H521" s="30">
        <f t="shared" si="23"/>
        <v>0</v>
      </c>
      <c r="I521" s="32" t="s">
        <v>1026</v>
      </c>
    </row>
    <row r="522" ht="393.75" customHeight="1">
      <c r="A522" s="32">
        <v>2702</v>
      </c>
      <c r="B522" s="27" t="s">
        <v>1027</v>
      </c>
      <c r="D522" s="28" t="s">
        <v>22</v>
      </c>
      <c r="E522" s="32">
        <v>24286</v>
      </c>
      <c r="F522" s="29">
        <f t="shared" si="22"/>
        <v>0</v>
      </c>
      <c r="G522" s="29">
        <v>0</v>
      </c>
      <c r="H522" s="30">
        <f t="shared" si="23"/>
        <v>0</v>
      </c>
      <c r="I522" s="32" t="s">
        <v>1028</v>
      </c>
    </row>
    <row r="523" ht="63.75">
      <c r="A523" s="32">
        <v>2703</v>
      </c>
      <c r="B523" s="27" t="s">
        <v>1029</v>
      </c>
      <c r="D523" s="28" t="s">
        <v>1030</v>
      </c>
      <c r="E523" s="32">
        <v>902</v>
      </c>
      <c r="F523" s="29">
        <f t="shared" si="22"/>
        <v>0</v>
      </c>
      <c r="G523" s="29">
        <v>0</v>
      </c>
      <c r="H523" s="30">
        <f t="shared" si="23"/>
        <v>0</v>
      </c>
      <c r="I523" s="32" t="s">
        <v>1031</v>
      </c>
    </row>
    <row r="524" ht="102">
      <c r="A524" s="32">
        <v>2704</v>
      </c>
      <c r="B524" s="27" t="s">
        <v>1032</v>
      </c>
      <c r="D524" s="28" t="s">
        <v>895</v>
      </c>
      <c r="E524" s="32">
        <v>285013</v>
      </c>
      <c r="F524" s="29">
        <f t="shared" si="22"/>
        <v>0</v>
      </c>
      <c r="G524" s="29">
        <v>0</v>
      </c>
      <c r="H524" s="30">
        <f t="shared" si="23"/>
        <v>0</v>
      </c>
      <c r="I524" s="32" t="s">
        <v>1033</v>
      </c>
    </row>
    <row r="525" ht="204">
      <c r="A525" s="32">
        <v>2705</v>
      </c>
      <c r="B525" s="27" t="s">
        <v>1034</v>
      </c>
      <c r="D525" s="28" t="s">
        <v>22</v>
      </c>
      <c r="E525" s="32">
        <v>315000</v>
      </c>
      <c r="F525" s="29">
        <f t="shared" si="22"/>
        <v>0</v>
      </c>
      <c r="G525" s="29">
        <v>0</v>
      </c>
      <c r="H525" s="30">
        <f t="shared" si="23"/>
        <v>0</v>
      </c>
      <c r="I525" s="32" t="s">
        <v>1035</v>
      </c>
    </row>
    <row r="526" ht="89.25">
      <c r="A526" s="32">
        <v>2706</v>
      </c>
      <c r="B526" s="27" t="s">
        <v>1036</v>
      </c>
      <c r="D526" s="28" t="s">
        <v>22</v>
      </c>
      <c r="E526" s="32">
        <v>66720</v>
      </c>
      <c r="F526" s="29">
        <f t="shared" si="22"/>
        <v>0</v>
      </c>
      <c r="G526" s="29">
        <v>0</v>
      </c>
      <c r="H526" s="30">
        <f t="shared" si="23"/>
        <v>0</v>
      </c>
      <c r="I526" s="32" t="s">
        <v>1037</v>
      </c>
    </row>
    <row r="527" ht="76.5">
      <c r="A527" s="32">
        <v>2707</v>
      </c>
      <c r="B527" s="27" t="s">
        <v>1038</v>
      </c>
      <c r="D527" s="28" t="s">
        <v>22</v>
      </c>
      <c r="E527" s="32">
        <v>736</v>
      </c>
      <c r="F527" s="29">
        <f t="shared" si="22"/>
        <v>0</v>
      </c>
      <c r="G527" s="29">
        <v>0</v>
      </c>
      <c r="H527" s="30">
        <f t="shared" si="23"/>
        <v>0</v>
      </c>
      <c r="I527" s="32" t="s">
        <v>1039</v>
      </c>
    </row>
    <row r="528" ht="63.75">
      <c r="A528" s="32">
        <v>2708</v>
      </c>
      <c r="B528" s="27" t="s">
        <v>1040</v>
      </c>
      <c r="D528" s="28" t="s">
        <v>22</v>
      </c>
      <c r="E528" s="32">
        <v>156</v>
      </c>
      <c r="F528" s="29">
        <f t="shared" si="22"/>
        <v>0</v>
      </c>
      <c r="G528" s="29">
        <v>0</v>
      </c>
      <c r="H528" s="30">
        <f t="shared" si="23"/>
        <v>0</v>
      </c>
      <c r="I528" s="32" t="s">
        <v>1041</v>
      </c>
    </row>
    <row r="529" ht="127.5">
      <c r="A529" s="32">
        <v>2709</v>
      </c>
      <c r="B529" s="27" t="s">
        <v>1042</v>
      </c>
      <c r="D529" s="28" t="s">
        <v>159</v>
      </c>
      <c r="E529" s="32">
        <v>2750</v>
      </c>
      <c r="F529" s="29">
        <f t="shared" si="22"/>
        <v>0</v>
      </c>
      <c r="G529" s="29">
        <v>0</v>
      </c>
      <c r="H529" s="30">
        <f t="shared" si="23"/>
        <v>0</v>
      </c>
      <c r="I529" s="32" t="s">
        <v>1043</v>
      </c>
    </row>
    <row r="530" ht="25.5">
      <c r="A530" s="32">
        <v>2710</v>
      </c>
      <c r="B530" s="27" t="s">
        <v>1044</v>
      </c>
      <c r="D530" s="28" t="s">
        <v>1045</v>
      </c>
      <c r="E530" s="32">
        <v>31</v>
      </c>
      <c r="F530" s="29">
        <f t="shared" si="22"/>
        <v>0</v>
      </c>
      <c r="G530" s="29">
        <v>0</v>
      </c>
      <c r="H530" s="30">
        <f t="shared" si="23"/>
        <v>0</v>
      </c>
      <c r="I530" s="32" t="s">
        <v>1046</v>
      </c>
    </row>
    <row r="531" ht="409.5">
      <c r="A531" s="38">
        <v>2711</v>
      </c>
      <c r="B531" s="27" t="s">
        <v>1047</v>
      </c>
      <c r="D531" s="28" t="s">
        <v>30</v>
      </c>
      <c r="E531" s="32">
        <v>6338</v>
      </c>
      <c r="F531" s="29">
        <f t="shared" si="22"/>
        <v>0</v>
      </c>
      <c r="G531" s="29">
        <v>0</v>
      </c>
      <c r="H531" s="30">
        <f t="shared" si="23"/>
        <v>0</v>
      </c>
      <c r="I531" s="32" t="s">
        <v>1048</v>
      </c>
    </row>
    <row r="532" ht="102">
      <c r="A532" s="32">
        <v>2712</v>
      </c>
      <c r="B532" s="27" t="s">
        <v>1049</v>
      </c>
      <c r="D532" s="28" t="s">
        <v>844</v>
      </c>
      <c r="E532" s="32">
        <v>34</v>
      </c>
      <c r="F532" s="29">
        <f t="shared" si="22"/>
        <v>0</v>
      </c>
      <c r="G532" s="29">
        <v>0</v>
      </c>
      <c r="H532" s="30">
        <f t="shared" si="23"/>
        <v>0</v>
      </c>
      <c r="I532" s="32" t="s">
        <v>1050</v>
      </c>
    </row>
    <row r="533" ht="136.5" customHeight="1">
      <c r="A533" s="32">
        <v>2713</v>
      </c>
      <c r="B533" s="27" t="s">
        <v>1051</v>
      </c>
      <c r="D533" s="28" t="s">
        <v>844</v>
      </c>
      <c r="E533" s="32">
        <v>294</v>
      </c>
      <c r="F533" s="29">
        <f t="shared" si="22"/>
        <v>0</v>
      </c>
      <c r="G533" s="29">
        <v>0</v>
      </c>
      <c r="H533" s="30">
        <f t="shared" si="23"/>
        <v>0</v>
      </c>
      <c r="I533" s="32" t="s">
        <v>1052</v>
      </c>
    </row>
    <row r="534" ht="63.75">
      <c r="A534" s="32">
        <v>2714</v>
      </c>
      <c r="B534" s="27" t="s">
        <v>1053</v>
      </c>
      <c r="D534" s="28" t="s">
        <v>1054</v>
      </c>
      <c r="E534" s="32">
        <v>349</v>
      </c>
      <c r="F534" s="29">
        <f t="shared" si="22"/>
        <v>0</v>
      </c>
      <c r="G534" s="29">
        <v>0</v>
      </c>
      <c r="H534" s="30">
        <f t="shared" si="23"/>
        <v>0</v>
      </c>
      <c r="I534" s="32" t="s">
        <v>1055</v>
      </c>
    </row>
    <row r="535">
      <c r="A535" s="32"/>
      <c r="B535" s="32"/>
      <c r="C535" s="32"/>
      <c r="D535" s="32"/>
      <c r="E535" s="32"/>
      <c r="F535" s="29"/>
      <c r="G535" s="29"/>
      <c r="H535" s="30"/>
    </row>
    <row r="536">
      <c r="A536" s="34" t="s">
        <v>1056</v>
      </c>
      <c r="B536" s="34"/>
      <c r="C536" s="34"/>
      <c r="D536" s="34"/>
      <c r="E536" s="34"/>
      <c r="F536" s="29"/>
      <c r="G536" s="29"/>
      <c r="H536" s="30"/>
    </row>
    <row r="537" ht="409.5">
      <c r="A537" s="38">
        <v>2801</v>
      </c>
      <c r="B537" s="27" t="s">
        <v>1057</v>
      </c>
      <c r="D537" s="28" t="s">
        <v>22</v>
      </c>
      <c r="E537" s="32">
        <v>15360</v>
      </c>
      <c r="F537" s="29">
        <f t="shared" si="22"/>
        <v>0</v>
      </c>
      <c r="G537" s="29">
        <v>0</v>
      </c>
      <c r="H537" s="30">
        <f t="shared" si="23"/>
        <v>0</v>
      </c>
      <c r="I537" s="32" t="s">
        <v>1058</v>
      </c>
    </row>
    <row r="538" ht="267.75">
      <c r="A538" s="32">
        <v>2802</v>
      </c>
      <c r="B538" s="27" t="s">
        <v>1059</v>
      </c>
      <c r="D538" s="28" t="s">
        <v>22</v>
      </c>
      <c r="E538" s="32">
        <v>6805</v>
      </c>
      <c r="F538" s="29">
        <f t="shared" si="22"/>
        <v>0</v>
      </c>
      <c r="G538" s="29">
        <v>0</v>
      </c>
      <c r="H538" s="30">
        <f t="shared" si="23"/>
        <v>0</v>
      </c>
      <c r="I538" s="32" t="s">
        <v>1060</v>
      </c>
    </row>
    <row r="539" ht="153">
      <c r="A539" s="32">
        <v>2803</v>
      </c>
      <c r="B539" s="27" t="s">
        <v>1061</v>
      </c>
      <c r="D539" s="28" t="s">
        <v>22</v>
      </c>
      <c r="E539" s="32">
        <v>2364</v>
      </c>
      <c r="F539" s="29">
        <f t="shared" si="22"/>
        <v>0</v>
      </c>
      <c r="G539" s="29">
        <v>0</v>
      </c>
      <c r="H539" s="30">
        <f t="shared" si="23"/>
        <v>0</v>
      </c>
      <c r="I539" s="32" t="s">
        <v>1062</v>
      </c>
    </row>
    <row r="540" ht="127.5">
      <c r="A540" s="32">
        <v>2804</v>
      </c>
      <c r="B540" s="27" t="s">
        <v>1063</v>
      </c>
      <c r="D540" s="28"/>
      <c r="E540" s="28"/>
      <c r="F540" s="29"/>
      <c r="G540" s="29"/>
      <c r="H540" s="30"/>
      <c r="I540" s="32" t="s">
        <v>1064</v>
      </c>
    </row>
    <row r="541" ht="25.5">
      <c r="A541" s="28" t="s">
        <v>20</v>
      </c>
      <c r="B541" s="27" t="s">
        <v>1065</v>
      </c>
      <c r="D541" s="28" t="s">
        <v>22</v>
      </c>
      <c r="E541" s="32">
        <v>2156</v>
      </c>
      <c r="F541" s="29">
        <f t="shared" si="22"/>
        <v>0</v>
      </c>
      <c r="G541" s="29">
        <v>0</v>
      </c>
      <c r="H541" s="30">
        <f t="shared" si="23"/>
        <v>0</v>
      </c>
      <c r="I541" s="28" t="s">
        <v>1066</v>
      </c>
    </row>
    <row r="542" ht="25.5">
      <c r="A542" s="28" t="s">
        <v>24</v>
      </c>
      <c r="B542" s="27" t="s">
        <v>1067</v>
      </c>
      <c r="D542" s="28" t="s">
        <v>22</v>
      </c>
      <c r="E542" s="32">
        <v>2554</v>
      </c>
      <c r="F542" s="29">
        <f t="shared" si="22"/>
        <v>0</v>
      </c>
      <c r="G542" s="29">
        <v>0</v>
      </c>
      <c r="H542" s="30">
        <f t="shared" si="23"/>
        <v>0</v>
      </c>
      <c r="I542" s="28" t="s">
        <v>1068</v>
      </c>
    </row>
    <row r="543" ht="25.5">
      <c r="A543" s="28" t="s">
        <v>42</v>
      </c>
      <c r="B543" s="27" t="s">
        <v>1069</v>
      </c>
      <c r="D543" s="28" t="s">
        <v>22</v>
      </c>
      <c r="E543" s="32">
        <v>2951</v>
      </c>
      <c r="F543" s="29">
        <f t="shared" si="22"/>
        <v>0</v>
      </c>
      <c r="G543" s="29">
        <v>0</v>
      </c>
      <c r="H543" s="30">
        <f t="shared" si="23"/>
        <v>0</v>
      </c>
      <c r="I543" s="28" t="s">
        <v>1070</v>
      </c>
    </row>
    <row r="544" ht="25.5">
      <c r="A544" s="28" t="s">
        <v>69</v>
      </c>
      <c r="B544" s="27" t="s">
        <v>1071</v>
      </c>
      <c r="D544" s="28" t="s">
        <v>22</v>
      </c>
      <c r="E544" s="32">
        <v>4456</v>
      </c>
      <c r="F544" s="29">
        <f t="shared" ref="F544:F606" si="24">C544*E544</f>
        <v>0</v>
      </c>
      <c r="G544" s="29">
        <v>0</v>
      </c>
      <c r="H544" s="30">
        <f t="shared" ref="H544:H606" si="25">SUM(F544:G544)</f>
        <v>0</v>
      </c>
      <c r="I544" s="28" t="s">
        <v>1072</v>
      </c>
    </row>
    <row r="545" ht="25.5">
      <c r="A545" s="28" t="s">
        <v>72</v>
      </c>
      <c r="B545" s="27" t="s">
        <v>1073</v>
      </c>
      <c r="D545" s="28" t="s">
        <v>22</v>
      </c>
      <c r="E545" s="32">
        <v>5152</v>
      </c>
      <c r="F545" s="29">
        <f t="shared" si="24"/>
        <v>0</v>
      </c>
      <c r="G545" s="29">
        <v>0</v>
      </c>
      <c r="H545" s="30">
        <f t="shared" si="25"/>
        <v>0</v>
      </c>
      <c r="I545" s="28" t="s">
        <v>1074</v>
      </c>
    </row>
    <row r="546" ht="25.5">
      <c r="A546" s="28" t="s">
        <v>75</v>
      </c>
      <c r="B546" s="27" t="s">
        <v>1075</v>
      </c>
      <c r="D546" s="28" t="s">
        <v>22</v>
      </c>
      <c r="E546" s="32">
        <v>1053</v>
      </c>
      <c r="F546" s="29">
        <f t="shared" si="24"/>
        <v>0</v>
      </c>
      <c r="G546" s="29">
        <v>0</v>
      </c>
      <c r="H546" s="30">
        <f t="shared" si="25"/>
        <v>0</v>
      </c>
      <c r="I546" s="28" t="s">
        <v>1076</v>
      </c>
    </row>
    <row r="547" ht="114.75">
      <c r="A547" s="38">
        <v>2805</v>
      </c>
      <c r="B547" s="27" t="s">
        <v>1077</v>
      </c>
      <c r="D547" s="28" t="s">
        <v>22</v>
      </c>
      <c r="E547" s="32">
        <v>3868</v>
      </c>
      <c r="F547" s="29">
        <f t="shared" si="24"/>
        <v>0</v>
      </c>
      <c r="G547" s="29">
        <v>0</v>
      </c>
      <c r="H547" s="30">
        <f t="shared" si="25"/>
        <v>0</v>
      </c>
      <c r="I547" s="32" t="s">
        <v>1078</v>
      </c>
    </row>
    <row r="548" ht="178.5">
      <c r="A548" s="38">
        <v>2806</v>
      </c>
      <c r="B548" s="27" t="s">
        <v>1079</v>
      </c>
      <c r="D548" s="28" t="s">
        <v>22</v>
      </c>
      <c r="E548" s="32">
        <v>1998</v>
      </c>
      <c r="F548" s="29">
        <f t="shared" si="24"/>
        <v>0</v>
      </c>
      <c r="G548" s="29">
        <v>0</v>
      </c>
      <c r="H548" s="30">
        <f t="shared" si="25"/>
        <v>0</v>
      </c>
      <c r="I548" s="32" t="s">
        <v>1080</v>
      </c>
    </row>
    <row r="549" ht="63.75">
      <c r="A549" s="32">
        <v>2807</v>
      </c>
      <c r="B549" s="27" t="s">
        <v>1081</v>
      </c>
      <c r="D549" s="28" t="s">
        <v>877</v>
      </c>
      <c r="E549" s="32">
        <v>469</v>
      </c>
      <c r="F549" s="29">
        <f t="shared" si="24"/>
        <v>0</v>
      </c>
      <c r="G549" s="29">
        <v>0</v>
      </c>
      <c r="H549" s="30">
        <f t="shared" si="25"/>
        <v>0</v>
      </c>
      <c r="I549" s="32" t="s">
        <v>1082</v>
      </c>
    </row>
    <row r="550" ht="25.5">
      <c r="A550" s="32">
        <v>2808</v>
      </c>
      <c r="B550" s="27" t="s">
        <v>1083</v>
      </c>
      <c r="D550" s="28"/>
      <c r="E550" s="28"/>
      <c r="F550" s="29"/>
      <c r="G550" s="29"/>
      <c r="H550" s="30"/>
      <c r="I550" s="32" t="s">
        <v>1084</v>
      </c>
    </row>
    <row r="551" ht="25.5">
      <c r="A551" s="28" t="s">
        <v>20</v>
      </c>
      <c r="B551" s="27" t="s">
        <v>1085</v>
      </c>
      <c r="D551" s="28" t="s">
        <v>22</v>
      </c>
      <c r="E551" s="32">
        <v>103</v>
      </c>
      <c r="F551" s="29">
        <f t="shared" si="24"/>
        <v>0</v>
      </c>
      <c r="G551" s="29">
        <v>0</v>
      </c>
      <c r="H551" s="30">
        <f t="shared" si="25"/>
        <v>0</v>
      </c>
      <c r="I551" s="28" t="s">
        <v>1086</v>
      </c>
    </row>
    <row r="552" ht="25.5">
      <c r="A552" s="28" t="s">
        <v>24</v>
      </c>
      <c r="B552" s="27" t="s">
        <v>1087</v>
      </c>
      <c r="D552" s="28" t="s">
        <v>22</v>
      </c>
      <c r="E552" s="32">
        <v>72</v>
      </c>
      <c r="F552" s="29">
        <f t="shared" si="24"/>
        <v>0</v>
      </c>
      <c r="G552" s="29">
        <v>0</v>
      </c>
      <c r="H552" s="30">
        <f t="shared" si="25"/>
        <v>0</v>
      </c>
      <c r="I552" s="28" t="s">
        <v>1088</v>
      </c>
    </row>
    <row r="553" ht="25.5">
      <c r="A553" s="28" t="s">
        <v>42</v>
      </c>
      <c r="B553" s="27" t="s">
        <v>1089</v>
      </c>
      <c r="D553" s="28" t="s">
        <v>22</v>
      </c>
      <c r="E553" s="32">
        <v>80</v>
      </c>
      <c r="F553" s="29">
        <f t="shared" si="24"/>
        <v>0</v>
      </c>
      <c r="G553" s="29">
        <v>0</v>
      </c>
      <c r="H553" s="30">
        <f t="shared" si="25"/>
        <v>0</v>
      </c>
      <c r="I553" s="28" t="s">
        <v>1090</v>
      </c>
    </row>
    <row r="554" ht="25.5">
      <c r="A554" s="28" t="s">
        <v>69</v>
      </c>
      <c r="B554" s="27" t="s">
        <v>1091</v>
      </c>
      <c r="D554" s="28" t="s">
        <v>943</v>
      </c>
      <c r="E554" s="32">
        <v>721</v>
      </c>
      <c r="F554" s="29">
        <f t="shared" si="24"/>
        <v>0</v>
      </c>
      <c r="G554" s="29">
        <v>0</v>
      </c>
      <c r="H554" s="30">
        <f t="shared" si="25"/>
        <v>0</v>
      </c>
      <c r="I554" s="28" t="s">
        <v>1092</v>
      </c>
    </row>
    <row r="555" ht="114.75">
      <c r="A555" s="32">
        <v>2809</v>
      </c>
      <c r="B555" s="27" t="s">
        <v>1093</v>
      </c>
      <c r="D555" s="28" t="s">
        <v>22</v>
      </c>
      <c r="E555" s="32">
        <v>8400</v>
      </c>
      <c r="F555" s="29">
        <f t="shared" si="24"/>
        <v>0</v>
      </c>
      <c r="G555" s="29">
        <v>0</v>
      </c>
      <c r="H555" s="30">
        <f t="shared" si="25"/>
        <v>0</v>
      </c>
      <c r="I555" s="32" t="s">
        <v>1094</v>
      </c>
    </row>
    <row r="556" ht="89.25">
      <c r="A556" s="32">
        <v>2810</v>
      </c>
      <c r="B556" s="27" t="s">
        <v>1095</v>
      </c>
      <c r="D556" s="28" t="s">
        <v>22</v>
      </c>
      <c r="E556" s="32">
        <v>4194</v>
      </c>
      <c r="F556" s="29">
        <f t="shared" si="24"/>
        <v>0</v>
      </c>
      <c r="G556" s="29">
        <v>0</v>
      </c>
      <c r="H556" s="30">
        <f t="shared" si="25"/>
        <v>0</v>
      </c>
      <c r="I556" s="32" t="s">
        <v>1096</v>
      </c>
    </row>
    <row r="557" ht="102">
      <c r="A557" s="32">
        <v>2811</v>
      </c>
      <c r="B557" s="27" t="s">
        <v>1097</v>
      </c>
      <c r="D557" s="28" t="s">
        <v>22</v>
      </c>
      <c r="E557" s="32">
        <v>1848</v>
      </c>
      <c r="F557" s="29">
        <f t="shared" si="24"/>
        <v>0</v>
      </c>
      <c r="G557" s="29">
        <v>0</v>
      </c>
      <c r="H557" s="30">
        <f t="shared" si="25"/>
        <v>0</v>
      </c>
      <c r="I557" s="32" t="s">
        <v>1098</v>
      </c>
    </row>
    <row r="558" ht="76.5">
      <c r="A558" s="32">
        <v>2812</v>
      </c>
      <c r="B558" s="27" t="s">
        <v>1099</v>
      </c>
      <c r="D558" s="28" t="s">
        <v>22</v>
      </c>
      <c r="E558" s="32">
        <v>487</v>
      </c>
      <c r="F558" s="29">
        <f t="shared" si="24"/>
        <v>0</v>
      </c>
      <c r="G558" s="29">
        <v>0</v>
      </c>
      <c r="H558" s="30">
        <f t="shared" si="25"/>
        <v>0</v>
      </c>
      <c r="I558" s="32" t="s">
        <v>1100</v>
      </c>
    </row>
    <row r="559" ht="140.25">
      <c r="A559" s="32">
        <v>2813</v>
      </c>
      <c r="B559" s="27" t="s">
        <v>1101</v>
      </c>
      <c r="D559" s="28" t="s">
        <v>22</v>
      </c>
      <c r="E559" s="32">
        <v>5162</v>
      </c>
      <c r="F559" s="29">
        <f t="shared" si="24"/>
        <v>0</v>
      </c>
      <c r="G559" s="29">
        <v>0</v>
      </c>
      <c r="H559" s="30">
        <f t="shared" si="25"/>
        <v>0</v>
      </c>
      <c r="I559" s="32" t="s">
        <v>1102</v>
      </c>
    </row>
    <row r="560" ht="178.5" customHeight="1">
      <c r="A560" s="38">
        <v>2814</v>
      </c>
      <c r="B560" s="27" t="s">
        <v>1103</v>
      </c>
      <c r="D560" s="28" t="s">
        <v>22</v>
      </c>
      <c r="E560" s="32">
        <v>3627</v>
      </c>
      <c r="F560" s="29">
        <f t="shared" si="24"/>
        <v>0</v>
      </c>
      <c r="G560" s="29">
        <v>0</v>
      </c>
      <c r="H560" s="30">
        <f t="shared" si="25"/>
        <v>0</v>
      </c>
      <c r="I560" s="32" t="s">
        <v>1104</v>
      </c>
    </row>
    <row r="561" ht="76.5">
      <c r="A561" s="38">
        <v>2815</v>
      </c>
      <c r="B561" s="27" t="s">
        <v>1105</v>
      </c>
      <c r="D561" s="28" t="s">
        <v>704</v>
      </c>
      <c r="E561" s="32">
        <v>760</v>
      </c>
      <c r="F561" s="29">
        <f t="shared" si="24"/>
        <v>0</v>
      </c>
      <c r="G561" s="29">
        <v>0</v>
      </c>
      <c r="H561" s="30">
        <f t="shared" si="25"/>
        <v>0</v>
      </c>
      <c r="I561" s="32" t="s">
        <v>1106</v>
      </c>
    </row>
    <row r="562">
      <c r="A562" s="38"/>
      <c r="B562" s="38"/>
      <c r="C562" s="38"/>
      <c r="D562" s="38"/>
      <c r="E562" s="32"/>
      <c r="F562" s="29"/>
      <c r="G562" s="29"/>
      <c r="H562" s="30"/>
    </row>
    <row r="563">
      <c r="A563" s="34" t="s">
        <v>1107</v>
      </c>
      <c r="B563" s="34"/>
      <c r="C563" s="34"/>
      <c r="D563" s="34"/>
      <c r="E563" s="34"/>
      <c r="F563" s="29"/>
      <c r="G563" s="29"/>
      <c r="H563" s="30"/>
    </row>
    <row r="564" ht="114.75">
      <c r="A564" s="32">
        <v>2901</v>
      </c>
      <c r="B564" s="27" t="s">
        <v>1108</v>
      </c>
      <c r="D564" s="28" t="s">
        <v>22</v>
      </c>
      <c r="E564" s="32">
        <v>6460</v>
      </c>
      <c r="F564" s="29">
        <f t="shared" si="24"/>
        <v>0</v>
      </c>
      <c r="G564" s="29">
        <v>0</v>
      </c>
      <c r="H564" s="30">
        <f t="shared" si="25"/>
        <v>0</v>
      </c>
      <c r="I564" s="32" t="s">
        <v>1109</v>
      </c>
    </row>
    <row r="565" ht="127.5">
      <c r="A565" s="32">
        <v>2902</v>
      </c>
      <c r="B565" s="27" t="s">
        <v>1110</v>
      </c>
      <c r="D565" s="28" t="s">
        <v>1111</v>
      </c>
      <c r="E565" s="32">
        <v>12067</v>
      </c>
      <c r="F565" s="29">
        <f t="shared" si="24"/>
        <v>0</v>
      </c>
      <c r="G565" s="29">
        <v>0</v>
      </c>
      <c r="H565" s="30">
        <f t="shared" si="25"/>
        <v>0</v>
      </c>
      <c r="I565" s="32" t="s">
        <v>1112</v>
      </c>
    </row>
    <row r="566" ht="63.75">
      <c r="A566" s="32">
        <v>2903</v>
      </c>
      <c r="B566" s="27" t="s">
        <v>1113</v>
      </c>
      <c r="D566" s="28" t="s">
        <v>22</v>
      </c>
      <c r="E566" s="32">
        <v>920</v>
      </c>
      <c r="F566" s="29">
        <f t="shared" si="24"/>
        <v>0</v>
      </c>
      <c r="G566" s="29">
        <v>0</v>
      </c>
      <c r="H566" s="30">
        <f t="shared" si="25"/>
        <v>0</v>
      </c>
      <c r="I566" s="32" t="s">
        <v>1114</v>
      </c>
    </row>
    <row r="567" ht="165.75">
      <c r="A567" s="32">
        <v>2904</v>
      </c>
      <c r="B567" s="27" t="s">
        <v>1115</v>
      </c>
      <c r="D567" s="28" t="s">
        <v>22</v>
      </c>
      <c r="E567" s="32">
        <v>1355</v>
      </c>
      <c r="F567" s="29">
        <f t="shared" si="24"/>
        <v>0</v>
      </c>
      <c r="G567" s="29">
        <v>0</v>
      </c>
      <c r="H567" s="30">
        <f t="shared" si="25"/>
        <v>0</v>
      </c>
      <c r="I567" s="32" t="s">
        <v>1116</v>
      </c>
    </row>
    <row r="568">
      <c r="A568" s="32"/>
      <c r="B568" s="32"/>
      <c r="C568" s="32"/>
      <c r="D568" s="32"/>
      <c r="E568" s="32"/>
      <c r="F568" s="29"/>
      <c r="G568" s="29"/>
      <c r="H568" s="30"/>
    </row>
    <row r="569">
      <c r="A569" s="34" t="s">
        <v>1117</v>
      </c>
      <c r="B569" s="34"/>
      <c r="C569" s="34"/>
      <c r="D569" s="34"/>
      <c r="E569" s="34"/>
      <c r="F569" s="29"/>
      <c r="G569" s="29"/>
      <c r="H569" s="30"/>
    </row>
    <row r="570" ht="127.5">
      <c r="A570" s="32">
        <v>3001</v>
      </c>
      <c r="B570" s="27" t="s">
        <v>1118</v>
      </c>
      <c r="D570" s="28" t="s">
        <v>22</v>
      </c>
      <c r="E570" s="32">
        <v>505</v>
      </c>
      <c r="F570" s="29">
        <f t="shared" si="24"/>
        <v>0</v>
      </c>
      <c r="G570" s="29">
        <v>0</v>
      </c>
      <c r="H570" s="30">
        <f t="shared" si="25"/>
        <v>0</v>
      </c>
      <c r="I570" s="32" t="s">
        <v>1119</v>
      </c>
    </row>
    <row r="571" ht="102">
      <c r="A571" s="32">
        <v>3002</v>
      </c>
      <c r="B571" s="27" t="s">
        <v>1120</v>
      </c>
      <c r="D571" s="28" t="s">
        <v>22</v>
      </c>
      <c r="E571" s="32">
        <v>1509</v>
      </c>
      <c r="F571" s="29">
        <f t="shared" si="24"/>
        <v>0</v>
      </c>
      <c r="G571" s="29">
        <v>0</v>
      </c>
      <c r="H571" s="30">
        <f t="shared" si="25"/>
        <v>0</v>
      </c>
      <c r="I571" s="32" t="s">
        <v>1121</v>
      </c>
    </row>
    <row r="572" ht="89.25">
      <c r="A572" s="32">
        <v>3003</v>
      </c>
      <c r="B572" s="27" t="s">
        <v>1122</v>
      </c>
      <c r="D572" s="28" t="s">
        <v>1123</v>
      </c>
      <c r="E572" s="32">
        <v>1085</v>
      </c>
      <c r="F572" s="29">
        <f t="shared" si="24"/>
        <v>0</v>
      </c>
      <c r="G572" s="29">
        <v>0</v>
      </c>
      <c r="H572" s="30">
        <f t="shared" si="25"/>
        <v>0</v>
      </c>
      <c r="I572" s="32" t="s">
        <v>1124</v>
      </c>
    </row>
    <row r="573" ht="63.75">
      <c r="A573" s="32">
        <v>3004</v>
      </c>
      <c r="B573" s="27" t="s">
        <v>1125</v>
      </c>
      <c r="D573" s="28" t="s">
        <v>1126</v>
      </c>
      <c r="E573" s="32">
        <v>649</v>
      </c>
      <c r="F573" s="29">
        <f t="shared" si="24"/>
        <v>0</v>
      </c>
      <c r="G573" s="29">
        <v>0</v>
      </c>
      <c r="H573" s="30">
        <f t="shared" si="25"/>
        <v>0</v>
      </c>
      <c r="I573" s="32" t="s">
        <v>1127</v>
      </c>
    </row>
    <row r="574" ht="127.5">
      <c r="A574" s="32">
        <v>3005</v>
      </c>
      <c r="B574" s="27" t="s">
        <v>1128</v>
      </c>
      <c r="D574" s="28" t="s">
        <v>22</v>
      </c>
      <c r="E574" s="32">
        <v>149</v>
      </c>
      <c r="F574" s="29">
        <f t="shared" si="24"/>
        <v>0</v>
      </c>
      <c r="G574" s="29">
        <v>0</v>
      </c>
      <c r="H574" s="30">
        <f t="shared" si="25"/>
        <v>0</v>
      </c>
      <c r="I574" s="32" t="s">
        <v>1129</v>
      </c>
    </row>
    <row r="575" ht="63.75">
      <c r="A575" s="32">
        <v>3006</v>
      </c>
      <c r="B575" s="27" t="s">
        <v>1130</v>
      </c>
      <c r="D575" s="28" t="s">
        <v>1131</v>
      </c>
      <c r="E575" s="32">
        <v>134</v>
      </c>
      <c r="F575" s="29">
        <f t="shared" si="24"/>
        <v>0</v>
      </c>
      <c r="G575" s="29">
        <v>0</v>
      </c>
      <c r="H575" s="30">
        <f t="shared" si="25"/>
        <v>0</v>
      </c>
      <c r="I575" s="32" t="s">
        <v>1132</v>
      </c>
    </row>
    <row r="576">
      <c r="A576" s="32"/>
      <c r="B576" s="32"/>
      <c r="C576" s="32"/>
      <c r="D576" s="32"/>
      <c r="E576" s="32"/>
      <c r="F576" s="29"/>
      <c r="G576" s="29"/>
      <c r="H576" s="30"/>
    </row>
    <row r="577">
      <c r="A577" s="28" t="s">
        <v>1133</v>
      </c>
      <c r="B577" s="28"/>
      <c r="C577" s="28"/>
      <c r="D577" s="28"/>
      <c r="E577" s="28"/>
      <c r="F577" s="29"/>
      <c r="G577" s="29"/>
      <c r="H577" s="30"/>
    </row>
    <row r="578" ht="102">
      <c r="A578" s="38">
        <v>3101</v>
      </c>
      <c r="B578" s="27" t="s">
        <v>1134</v>
      </c>
      <c r="D578" s="28" t="s">
        <v>22</v>
      </c>
      <c r="E578" s="32">
        <v>11763</v>
      </c>
      <c r="F578" s="29">
        <f t="shared" si="24"/>
        <v>0</v>
      </c>
      <c r="G578" s="29">
        <v>0</v>
      </c>
      <c r="H578" s="30">
        <f t="shared" si="25"/>
        <v>0</v>
      </c>
      <c r="I578" s="32" t="s">
        <v>1135</v>
      </c>
    </row>
    <row r="579" ht="114.75">
      <c r="A579" s="38">
        <v>3102</v>
      </c>
      <c r="B579" s="27" t="s">
        <v>1136</v>
      </c>
      <c r="D579" s="28" t="s">
        <v>22</v>
      </c>
      <c r="E579" s="32">
        <v>5314</v>
      </c>
      <c r="F579" s="29">
        <f t="shared" si="24"/>
        <v>0</v>
      </c>
      <c r="G579" s="29">
        <v>0</v>
      </c>
      <c r="H579" s="30">
        <f t="shared" si="25"/>
        <v>0</v>
      </c>
      <c r="I579" s="32" t="s">
        <v>1137</v>
      </c>
    </row>
    <row r="580" ht="76.5">
      <c r="A580" s="38">
        <v>3103</v>
      </c>
      <c r="B580" s="27" t="s">
        <v>1138</v>
      </c>
      <c r="D580" s="28" t="s">
        <v>22</v>
      </c>
      <c r="E580" s="32">
        <v>1563</v>
      </c>
      <c r="F580" s="29">
        <f t="shared" si="24"/>
        <v>0</v>
      </c>
      <c r="G580" s="29">
        <v>0</v>
      </c>
      <c r="H580" s="30">
        <f t="shared" si="25"/>
        <v>0</v>
      </c>
      <c r="I580" s="32" t="s">
        <v>1139</v>
      </c>
    </row>
    <row r="581" ht="140.25">
      <c r="A581" s="38">
        <v>3104</v>
      </c>
      <c r="B581" s="27" t="s">
        <v>1140</v>
      </c>
      <c r="D581" s="28" t="s">
        <v>22</v>
      </c>
      <c r="E581" s="32">
        <v>3627</v>
      </c>
      <c r="F581" s="29">
        <f t="shared" si="24"/>
        <v>0</v>
      </c>
      <c r="G581" s="29">
        <v>0</v>
      </c>
      <c r="H581" s="30">
        <f t="shared" si="25"/>
        <v>0</v>
      </c>
      <c r="I581" s="32" t="s">
        <v>1141</v>
      </c>
    </row>
    <row r="582">
      <c r="A582" s="38"/>
      <c r="B582" s="38"/>
      <c r="C582" s="38"/>
      <c r="D582" s="38"/>
      <c r="E582" s="32"/>
      <c r="F582" s="29"/>
      <c r="G582" s="29"/>
      <c r="H582" s="30"/>
    </row>
    <row r="583">
      <c r="A583" s="28" t="s">
        <v>1142</v>
      </c>
      <c r="B583" s="28"/>
      <c r="C583" s="28"/>
      <c r="D583" s="28"/>
      <c r="E583" s="28"/>
      <c r="F583" s="29"/>
      <c r="G583" s="29"/>
      <c r="H583" s="30"/>
    </row>
    <row r="584" ht="178.5">
      <c r="A584" s="38">
        <v>3201</v>
      </c>
      <c r="B584" s="27" t="s">
        <v>1143</v>
      </c>
      <c r="D584" s="28"/>
      <c r="E584" s="28"/>
      <c r="F584" s="29">
        <f t="shared" si="24"/>
        <v>0</v>
      </c>
      <c r="G584" s="29">
        <v>0</v>
      </c>
      <c r="H584" s="30">
        <f t="shared" si="25"/>
        <v>0</v>
      </c>
      <c r="I584" s="32" t="s">
        <v>1144</v>
      </c>
    </row>
    <row r="585" ht="25.5">
      <c r="A585" s="28" t="s">
        <v>20</v>
      </c>
      <c r="B585" s="27" t="s">
        <v>1145</v>
      </c>
      <c r="D585" s="28" t="s">
        <v>22</v>
      </c>
      <c r="E585" s="32">
        <v>33559</v>
      </c>
      <c r="F585" s="29">
        <f t="shared" si="24"/>
        <v>0</v>
      </c>
      <c r="G585" s="29">
        <v>0</v>
      </c>
      <c r="H585" s="30">
        <f t="shared" si="25"/>
        <v>0</v>
      </c>
      <c r="I585" s="28" t="s">
        <v>1146</v>
      </c>
    </row>
    <row r="586" ht="25.5">
      <c r="A586" s="28" t="s">
        <v>24</v>
      </c>
      <c r="B586" s="27" t="s">
        <v>1147</v>
      </c>
      <c r="D586" s="28" t="s">
        <v>22</v>
      </c>
      <c r="E586" s="32">
        <v>48507</v>
      </c>
      <c r="F586" s="29">
        <f t="shared" si="24"/>
        <v>0</v>
      </c>
      <c r="G586" s="29">
        <v>0</v>
      </c>
      <c r="H586" s="30">
        <f t="shared" si="25"/>
        <v>0</v>
      </c>
      <c r="I586" s="28" t="s">
        <v>1148</v>
      </c>
    </row>
    <row r="587" ht="51">
      <c r="A587" s="32">
        <v>3202</v>
      </c>
      <c r="B587" s="27" t="s">
        <v>1149</v>
      </c>
      <c r="D587" s="28" t="s">
        <v>1150</v>
      </c>
      <c r="E587" s="32">
        <v>4204</v>
      </c>
      <c r="F587" s="29">
        <f t="shared" si="24"/>
        <v>0</v>
      </c>
      <c r="G587" s="29">
        <v>0</v>
      </c>
      <c r="H587" s="30">
        <f t="shared" si="25"/>
        <v>0</v>
      </c>
      <c r="I587" s="32" t="s">
        <v>1151</v>
      </c>
    </row>
    <row r="588" ht="89.25">
      <c r="A588" s="38">
        <v>3203</v>
      </c>
      <c r="B588" s="27" t="s">
        <v>1152</v>
      </c>
      <c r="D588" s="28" t="s">
        <v>22</v>
      </c>
      <c r="E588" s="32">
        <v>4897</v>
      </c>
      <c r="F588" s="29">
        <f t="shared" si="24"/>
        <v>0</v>
      </c>
      <c r="G588" s="29">
        <v>0</v>
      </c>
      <c r="H588" s="30">
        <f t="shared" si="25"/>
        <v>0</v>
      </c>
      <c r="I588" s="32" t="s">
        <v>1153</v>
      </c>
    </row>
    <row r="589" ht="38.25">
      <c r="A589" s="32">
        <v>3204</v>
      </c>
      <c r="B589" s="27" t="s">
        <v>1154</v>
      </c>
      <c r="D589" s="28" t="s">
        <v>22</v>
      </c>
      <c r="E589" s="32">
        <v>2870</v>
      </c>
      <c r="F589" s="29">
        <f t="shared" si="24"/>
        <v>0</v>
      </c>
      <c r="G589" s="29">
        <v>0</v>
      </c>
      <c r="H589" s="30">
        <f t="shared" si="25"/>
        <v>0</v>
      </c>
      <c r="I589" s="32" t="s">
        <v>1155</v>
      </c>
    </row>
    <row r="590" s="6" customFormat="1" ht="25.5">
      <c r="A590" s="64">
        <v>3205</v>
      </c>
      <c r="B590" s="42" t="s">
        <v>1156</v>
      </c>
      <c r="C590" s="65"/>
      <c r="D590" s="66"/>
      <c r="E590" s="66"/>
      <c r="F590" s="29">
        <f t="shared" si="24"/>
        <v>0</v>
      </c>
      <c r="G590" s="29">
        <v>0</v>
      </c>
      <c r="H590" s="30">
        <f t="shared" si="25"/>
        <v>0</v>
      </c>
      <c r="I590" s="64" t="s">
        <v>1157</v>
      </c>
    </row>
    <row r="591" s="6" customFormat="1" ht="51">
      <c r="A591" s="66" t="s">
        <v>20</v>
      </c>
      <c r="B591" s="42" t="s">
        <v>1158</v>
      </c>
      <c r="C591" s="65"/>
      <c r="D591" s="66" t="s">
        <v>22</v>
      </c>
      <c r="E591" s="64">
        <v>5822</v>
      </c>
      <c r="F591" s="29">
        <f t="shared" si="24"/>
        <v>0</v>
      </c>
      <c r="G591" s="29">
        <v>0</v>
      </c>
      <c r="H591" s="30">
        <f t="shared" si="25"/>
        <v>0</v>
      </c>
      <c r="I591" s="66" t="s">
        <v>1159</v>
      </c>
    </row>
    <row r="592" s="6" customFormat="1" ht="38.25">
      <c r="A592" s="66" t="s">
        <v>24</v>
      </c>
      <c r="B592" s="42" t="s">
        <v>1160</v>
      </c>
      <c r="C592" s="65"/>
      <c r="D592" s="66" t="s">
        <v>22</v>
      </c>
      <c r="E592" s="64">
        <v>10740</v>
      </c>
      <c r="F592" s="29">
        <f t="shared" si="24"/>
        <v>0</v>
      </c>
      <c r="G592" s="29">
        <v>0</v>
      </c>
      <c r="H592" s="30">
        <f t="shared" si="25"/>
        <v>0</v>
      </c>
      <c r="I592" s="66" t="s">
        <v>1161</v>
      </c>
    </row>
    <row r="593" s="6" customFormat="1" ht="25.5">
      <c r="A593" s="66" t="s">
        <v>42</v>
      </c>
      <c r="B593" s="42" t="s">
        <v>1162</v>
      </c>
      <c r="C593" s="65"/>
      <c r="D593" s="66" t="s">
        <v>22</v>
      </c>
      <c r="E593" s="64">
        <v>17700</v>
      </c>
      <c r="F593" s="29">
        <f t="shared" si="24"/>
        <v>0</v>
      </c>
      <c r="G593" s="29">
        <v>0</v>
      </c>
      <c r="H593" s="30">
        <f t="shared" si="25"/>
        <v>0</v>
      </c>
      <c r="I593" s="66" t="s">
        <v>1163</v>
      </c>
    </row>
    <row r="594" ht="25.5">
      <c r="A594" s="32">
        <v>3206</v>
      </c>
      <c r="B594" s="27" t="s">
        <v>1164</v>
      </c>
      <c r="D594" s="28" t="s">
        <v>22</v>
      </c>
      <c r="E594" s="32">
        <v>3575</v>
      </c>
      <c r="F594" s="29">
        <f t="shared" si="24"/>
        <v>0</v>
      </c>
      <c r="G594" s="29">
        <v>0</v>
      </c>
      <c r="H594" s="30">
        <f t="shared" si="25"/>
        <v>0</v>
      </c>
      <c r="I594" s="32" t="s">
        <v>1165</v>
      </c>
    </row>
    <row r="595" ht="102">
      <c r="A595" s="38">
        <v>3207</v>
      </c>
      <c r="B595" s="27" t="s">
        <v>1166</v>
      </c>
      <c r="D595" s="28" t="s">
        <v>1167</v>
      </c>
      <c r="E595" s="32">
        <v>5406</v>
      </c>
      <c r="F595" s="29">
        <f t="shared" si="24"/>
        <v>0</v>
      </c>
      <c r="G595" s="29">
        <v>0</v>
      </c>
      <c r="H595" s="30">
        <f t="shared" si="25"/>
        <v>0</v>
      </c>
      <c r="I595" s="32" t="s">
        <v>1168</v>
      </c>
    </row>
    <row r="596" ht="51">
      <c r="A596" s="32">
        <v>3208</v>
      </c>
      <c r="B596" s="27" t="s">
        <v>1169</v>
      </c>
      <c r="D596" s="28" t="s">
        <v>844</v>
      </c>
      <c r="E596" s="32">
        <v>703</v>
      </c>
      <c r="F596" s="29">
        <f t="shared" si="24"/>
        <v>0</v>
      </c>
      <c r="G596" s="29">
        <v>0</v>
      </c>
      <c r="H596" s="30">
        <f t="shared" si="25"/>
        <v>0</v>
      </c>
      <c r="I596" s="32" t="s">
        <v>1170</v>
      </c>
    </row>
    <row r="597" ht="63.75">
      <c r="A597" s="32">
        <v>3209</v>
      </c>
      <c r="B597" s="27" t="s">
        <v>1171</v>
      </c>
      <c r="D597" s="28" t="s">
        <v>1172</v>
      </c>
      <c r="E597" s="32">
        <v>701</v>
      </c>
      <c r="F597" s="29">
        <f t="shared" si="24"/>
        <v>0</v>
      </c>
      <c r="G597" s="29">
        <v>0</v>
      </c>
      <c r="H597" s="30">
        <f t="shared" si="25"/>
        <v>0</v>
      </c>
      <c r="I597" s="32" t="s">
        <v>1173</v>
      </c>
    </row>
    <row r="598" ht="76.5">
      <c r="A598" s="38">
        <v>3210</v>
      </c>
      <c r="B598" s="27" t="s">
        <v>1174</v>
      </c>
      <c r="D598" s="28" t="s">
        <v>1167</v>
      </c>
      <c r="E598" s="32">
        <v>32158</v>
      </c>
      <c r="F598" s="29">
        <f t="shared" si="24"/>
        <v>0</v>
      </c>
      <c r="G598" s="29">
        <v>0</v>
      </c>
      <c r="H598" s="30">
        <f t="shared" si="25"/>
        <v>0</v>
      </c>
      <c r="I598" s="32" t="s">
        <v>1175</v>
      </c>
    </row>
    <row r="599" ht="76.5">
      <c r="A599" s="38">
        <v>3211</v>
      </c>
      <c r="B599" s="27" t="s">
        <v>1176</v>
      </c>
      <c r="D599" s="28" t="s">
        <v>22</v>
      </c>
      <c r="E599" s="32">
        <v>439</v>
      </c>
      <c r="F599" s="29">
        <f t="shared" si="24"/>
        <v>0</v>
      </c>
      <c r="G599" s="29">
        <v>0</v>
      </c>
      <c r="H599" s="30">
        <f t="shared" si="25"/>
        <v>0</v>
      </c>
      <c r="I599" s="32" t="s">
        <v>1177</v>
      </c>
    </row>
    <row r="600" ht="25.5">
      <c r="A600" s="32">
        <v>3212</v>
      </c>
      <c r="B600" s="27" t="s">
        <v>1178</v>
      </c>
      <c r="D600" s="28"/>
      <c r="E600" s="28"/>
      <c r="F600" s="29"/>
      <c r="G600" s="29"/>
      <c r="H600" s="30"/>
      <c r="I600" s="32" t="s">
        <v>1179</v>
      </c>
    </row>
    <row r="601" ht="76.5">
      <c r="A601" s="43" t="s">
        <v>20</v>
      </c>
      <c r="B601" s="27" t="s">
        <v>1180</v>
      </c>
      <c r="D601" s="28" t="s">
        <v>30</v>
      </c>
      <c r="E601" s="32">
        <v>735</v>
      </c>
      <c r="F601" s="29">
        <f t="shared" si="24"/>
        <v>0</v>
      </c>
      <c r="G601" s="29">
        <v>0</v>
      </c>
      <c r="H601" s="30">
        <f t="shared" si="25"/>
        <v>0</v>
      </c>
      <c r="I601" s="28" t="s">
        <v>1181</v>
      </c>
    </row>
    <row r="602" ht="63.75">
      <c r="A602" s="28" t="s">
        <v>24</v>
      </c>
      <c r="B602" s="27" t="s">
        <v>1182</v>
      </c>
      <c r="D602" s="28" t="s">
        <v>1167</v>
      </c>
      <c r="E602" s="32">
        <v>155</v>
      </c>
      <c r="F602" s="29">
        <f t="shared" si="24"/>
        <v>0</v>
      </c>
      <c r="G602" s="29">
        <v>0</v>
      </c>
      <c r="H602" s="30">
        <f t="shared" si="25"/>
        <v>0</v>
      </c>
      <c r="I602" s="28" t="s">
        <v>1183</v>
      </c>
    </row>
    <row r="603" ht="51">
      <c r="A603" s="28" t="s">
        <v>42</v>
      </c>
      <c r="B603" s="27" t="s">
        <v>1184</v>
      </c>
      <c r="D603" s="28" t="s">
        <v>22</v>
      </c>
      <c r="E603" s="32">
        <v>8</v>
      </c>
      <c r="F603" s="29">
        <f t="shared" si="24"/>
        <v>0</v>
      </c>
      <c r="G603" s="29">
        <v>0</v>
      </c>
      <c r="H603" s="30">
        <f t="shared" si="25"/>
        <v>0</v>
      </c>
      <c r="I603" s="28" t="s">
        <v>1185</v>
      </c>
    </row>
    <row r="604" ht="25.5">
      <c r="A604" s="28" t="s">
        <v>69</v>
      </c>
      <c r="B604" s="27" t="s">
        <v>1186</v>
      </c>
      <c r="D604" s="28" t="s">
        <v>1187</v>
      </c>
      <c r="E604" s="32">
        <v>19</v>
      </c>
      <c r="F604" s="29">
        <f t="shared" si="24"/>
        <v>0</v>
      </c>
      <c r="G604" s="29">
        <v>0</v>
      </c>
      <c r="H604" s="30">
        <f t="shared" si="25"/>
        <v>0</v>
      </c>
      <c r="I604" s="28" t="s">
        <v>1188</v>
      </c>
    </row>
    <row r="605" ht="336" customHeight="1">
      <c r="A605" s="43" t="s">
        <v>72</v>
      </c>
      <c r="B605" s="27" t="s">
        <v>1189</v>
      </c>
      <c r="D605" s="28" t="s">
        <v>22</v>
      </c>
      <c r="E605" s="32">
        <v>701</v>
      </c>
      <c r="F605" s="29">
        <f t="shared" si="24"/>
        <v>0</v>
      </c>
      <c r="G605" s="29">
        <v>0</v>
      </c>
      <c r="H605" s="30">
        <f t="shared" si="25"/>
        <v>0</v>
      </c>
      <c r="I605" s="28" t="s">
        <v>1190</v>
      </c>
    </row>
    <row r="606" ht="114.75">
      <c r="A606" s="32">
        <v>3213</v>
      </c>
      <c r="B606" s="27" t="s">
        <v>1191</v>
      </c>
      <c r="D606" s="28"/>
      <c r="E606" s="28"/>
      <c r="F606" s="29">
        <f t="shared" si="24"/>
        <v>0</v>
      </c>
      <c r="G606" s="29">
        <v>0</v>
      </c>
      <c r="H606" s="30">
        <f t="shared" si="25"/>
        <v>0</v>
      </c>
      <c r="I606" s="32" t="s">
        <v>1192</v>
      </c>
    </row>
    <row r="607" ht="38.25">
      <c r="A607" s="28" t="s">
        <v>20</v>
      </c>
      <c r="B607" s="27" t="s">
        <v>1193</v>
      </c>
      <c r="D607" s="28" t="s">
        <v>1194</v>
      </c>
      <c r="E607" s="32">
        <v>15294</v>
      </c>
      <c r="F607" s="29">
        <f t="shared" ref="F607:F629" si="26">C607*E607</f>
        <v>0</v>
      </c>
      <c r="G607" s="29">
        <v>0</v>
      </c>
      <c r="H607" s="30">
        <f t="shared" ref="H607:H670" si="27">SUM(F607:G607)</f>
        <v>0</v>
      </c>
      <c r="I607" s="28" t="s">
        <v>1195</v>
      </c>
    </row>
    <row r="608" ht="38.25">
      <c r="A608" s="28" t="s">
        <v>24</v>
      </c>
      <c r="B608" s="27" t="s">
        <v>1196</v>
      </c>
      <c r="D608" s="28" t="s">
        <v>1194</v>
      </c>
      <c r="E608" s="32">
        <v>22237</v>
      </c>
      <c r="F608" s="29">
        <f t="shared" si="26"/>
        <v>0</v>
      </c>
      <c r="G608" s="29">
        <v>0</v>
      </c>
      <c r="H608" s="30">
        <f t="shared" si="27"/>
        <v>0</v>
      </c>
      <c r="I608" s="28" t="s">
        <v>1197</v>
      </c>
    </row>
    <row r="609" ht="76.5">
      <c r="A609" s="32">
        <v>3214</v>
      </c>
      <c r="B609" s="27" t="s">
        <v>1198</v>
      </c>
      <c r="D609" s="28" t="s">
        <v>22</v>
      </c>
      <c r="E609" s="32">
        <v>36208</v>
      </c>
      <c r="F609" s="29">
        <f t="shared" si="26"/>
        <v>0</v>
      </c>
      <c r="G609" s="29">
        <v>0</v>
      </c>
      <c r="H609" s="30">
        <f t="shared" si="27"/>
        <v>0</v>
      </c>
      <c r="I609" s="32" t="s">
        <v>1199</v>
      </c>
    </row>
    <row r="610" ht="63.75">
      <c r="A610" s="32">
        <v>3215</v>
      </c>
      <c r="B610" s="27" t="s">
        <v>1200</v>
      </c>
      <c r="D610" s="28" t="s">
        <v>22</v>
      </c>
      <c r="E610" s="32">
        <v>23797</v>
      </c>
      <c r="F610" s="29">
        <f t="shared" si="26"/>
        <v>0</v>
      </c>
      <c r="G610" s="29">
        <v>0</v>
      </c>
      <c r="H610" s="30">
        <f t="shared" si="27"/>
        <v>0</v>
      </c>
      <c r="I610" s="32" t="s">
        <v>1201</v>
      </c>
    </row>
    <row r="611" ht="38.25">
      <c r="A611" s="32">
        <v>3216</v>
      </c>
      <c r="B611" s="27" t="s">
        <v>1202</v>
      </c>
      <c r="D611" s="28" t="s">
        <v>22</v>
      </c>
      <c r="E611" s="32">
        <v>28114</v>
      </c>
      <c r="F611" s="29">
        <f t="shared" si="26"/>
        <v>0</v>
      </c>
      <c r="G611" s="29">
        <v>0</v>
      </c>
      <c r="H611" s="30">
        <f t="shared" si="27"/>
        <v>0</v>
      </c>
      <c r="I611" s="32" t="s">
        <v>1203</v>
      </c>
    </row>
    <row r="612" ht="25.5">
      <c r="A612" s="32">
        <v>3217</v>
      </c>
      <c r="B612" s="27" t="s">
        <v>1204</v>
      </c>
      <c r="D612" s="28" t="s">
        <v>1205</v>
      </c>
      <c r="E612" s="32">
        <v>7286</v>
      </c>
      <c r="F612" s="29">
        <f t="shared" si="26"/>
        <v>0</v>
      </c>
      <c r="G612" s="29">
        <v>0</v>
      </c>
      <c r="H612" s="30">
        <f t="shared" si="27"/>
        <v>0</v>
      </c>
      <c r="I612" s="32" t="s">
        <v>1206</v>
      </c>
    </row>
    <row r="613" ht="51">
      <c r="A613" s="32">
        <v>3218</v>
      </c>
      <c r="B613" s="27" t="s">
        <v>1207</v>
      </c>
      <c r="D613" s="28" t="s">
        <v>1167</v>
      </c>
      <c r="E613" s="32">
        <v>7616</v>
      </c>
      <c r="F613" s="29">
        <f t="shared" si="26"/>
        <v>0</v>
      </c>
      <c r="G613" s="29">
        <v>0</v>
      </c>
      <c r="H613" s="30">
        <f t="shared" si="27"/>
        <v>0</v>
      </c>
      <c r="I613" s="32" t="s">
        <v>1208</v>
      </c>
    </row>
    <row r="614" ht="89.25">
      <c r="A614" s="32">
        <v>3219</v>
      </c>
      <c r="B614" s="27" t="s">
        <v>1209</v>
      </c>
      <c r="D614" s="28"/>
      <c r="E614" s="28"/>
      <c r="F614" s="29">
        <f t="shared" si="26"/>
        <v>0</v>
      </c>
      <c r="G614" s="29">
        <v>0</v>
      </c>
      <c r="H614" s="30">
        <f t="shared" si="27"/>
        <v>0</v>
      </c>
      <c r="I614" s="32" t="s">
        <v>1210</v>
      </c>
    </row>
    <row r="615" ht="25.5">
      <c r="A615" s="28" t="s">
        <v>20</v>
      </c>
      <c r="B615" s="27" t="s">
        <v>1211</v>
      </c>
      <c r="D615" s="28" t="s">
        <v>1212</v>
      </c>
      <c r="E615" s="32">
        <v>1014</v>
      </c>
      <c r="F615" s="29">
        <f t="shared" si="26"/>
        <v>0</v>
      </c>
      <c r="G615" s="29">
        <v>0</v>
      </c>
      <c r="H615" s="30">
        <f t="shared" si="27"/>
        <v>0</v>
      </c>
      <c r="I615" s="28" t="s">
        <v>1213</v>
      </c>
    </row>
    <row r="616" ht="25.5">
      <c r="A616" s="28" t="s">
        <v>24</v>
      </c>
      <c r="B616" s="27" t="s">
        <v>1214</v>
      </c>
      <c r="D616" s="28" t="s">
        <v>1212</v>
      </c>
      <c r="E616" s="32">
        <v>1200</v>
      </c>
      <c r="F616" s="29">
        <f t="shared" si="26"/>
        <v>0</v>
      </c>
      <c r="G616" s="29">
        <v>0</v>
      </c>
      <c r="H616" s="30">
        <f t="shared" si="27"/>
        <v>0</v>
      </c>
      <c r="I616" s="28" t="s">
        <v>1215</v>
      </c>
    </row>
    <row r="617" ht="25.5">
      <c r="A617" s="28" t="s">
        <v>42</v>
      </c>
      <c r="B617" s="27" t="s">
        <v>1216</v>
      </c>
      <c r="D617" s="28" t="s">
        <v>1212</v>
      </c>
      <c r="E617" s="32">
        <v>1407</v>
      </c>
      <c r="F617" s="29">
        <f t="shared" si="26"/>
        <v>0</v>
      </c>
      <c r="G617" s="29">
        <v>0</v>
      </c>
      <c r="H617" s="30">
        <f t="shared" si="27"/>
        <v>0</v>
      </c>
      <c r="I617" s="28" t="s">
        <v>1217</v>
      </c>
    </row>
    <row r="618" ht="25.5">
      <c r="A618" s="28" t="s">
        <v>69</v>
      </c>
      <c r="B618" s="27" t="s">
        <v>1218</v>
      </c>
      <c r="D618" s="28" t="s">
        <v>1212</v>
      </c>
      <c r="E618" s="32">
        <v>1999</v>
      </c>
      <c r="F618" s="29">
        <f t="shared" si="26"/>
        <v>0</v>
      </c>
      <c r="G618" s="29">
        <v>0</v>
      </c>
      <c r="H618" s="30">
        <f t="shared" si="27"/>
        <v>0</v>
      </c>
      <c r="I618" s="28" t="s">
        <v>1219</v>
      </c>
    </row>
    <row r="619" ht="229.5">
      <c r="A619" s="32">
        <v>3220</v>
      </c>
      <c r="B619" s="27" t="s">
        <v>1220</v>
      </c>
      <c r="D619" s="28" t="s">
        <v>22</v>
      </c>
      <c r="E619" s="32">
        <v>1798</v>
      </c>
      <c r="F619" s="29">
        <f t="shared" si="26"/>
        <v>0</v>
      </c>
      <c r="G619" s="29">
        <v>0</v>
      </c>
      <c r="H619" s="30">
        <f t="shared" si="27"/>
        <v>0</v>
      </c>
      <c r="I619" s="32" t="s">
        <v>1221</v>
      </c>
    </row>
    <row r="620" ht="25.5">
      <c r="A620" s="32">
        <v>3221</v>
      </c>
      <c r="B620" s="27" t="s">
        <v>1222</v>
      </c>
      <c r="D620" s="28"/>
      <c r="E620" s="28"/>
      <c r="F620" s="29">
        <f t="shared" si="26"/>
        <v>0</v>
      </c>
      <c r="G620" s="29">
        <v>0</v>
      </c>
      <c r="H620" s="30">
        <f t="shared" si="27"/>
        <v>0</v>
      </c>
      <c r="I620" s="32" t="s">
        <v>1223</v>
      </c>
    </row>
    <row r="621" ht="25.5">
      <c r="A621" s="28" t="s">
        <v>20</v>
      </c>
      <c r="B621" s="27" t="s">
        <v>1224</v>
      </c>
      <c r="D621" s="28" t="s">
        <v>22</v>
      </c>
      <c r="E621" s="32">
        <v>319</v>
      </c>
      <c r="F621" s="29">
        <f t="shared" si="26"/>
        <v>0</v>
      </c>
      <c r="G621" s="29">
        <v>0</v>
      </c>
      <c r="H621" s="30">
        <f t="shared" si="27"/>
        <v>0</v>
      </c>
      <c r="I621" s="28" t="s">
        <v>1225</v>
      </c>
    </row>
    <row r="622" ht="25.5">
      <c r="A622" s="28" t="s">
        <v>24</v>
      </c>
      <c r="B622" s="27" t="s">
        <v>1226</v>
      </c>
      <c r="D622" s="28" t="s">
        <v>22</v>
      </c>
      <c r="E622" s="32">
        <v>563</v>
      </c>
      <c r="F622" s="29">
        <f t="shared" si="26"/>
        <v>0</v>
      </c>
      <c r="G622" s="29">
        <v>0</v>
      </c>
      <c r="H622" s="30">
        <f t="shared" si="27"/>
        <v>0</v>
      </c>
      <c r="I622" s="28" t="s">
        <v>1227</v>
      </c>
    </row>
    <row r="623" ht="102">
      <c r="A623" s="32">
        <v>3222</v>
      </c>
      <c r="B623" s="27" t="s">
        <v>1228</v>
      </c>
      <c r="D623" s="28" t="s">
        <v>1167</v>
      </c>
      <c r="E623" s="32">
        <v>25451</v>
      </c>
      <c r="F623" s="29">
        <f t="shared" si="26"/>
        <v>0</v>
      </c>
      <c r="G623" s="29">
        <v>0</v>
      </c>
      <c r="H623" s="30">
        <f t="shared" si="27"/>
        <v>0</v>
      </c>
      <c r="I623" s="32" t="s">
        <v>1229</v>
      </c>
    </row>
    <row r="624" ht="89.25">
      <c r="A624" s="32">
        <v>3223</v>
      </c>
      <c r="B624" s="27" t="s">
        <v>1230</v>
      </c>
      <c r="D624" s="28" t="s">
        <v>1231</v>
      </c>
      <c r="E624" s="32">
        <v>8024</v>
      </c>
      <c r="F624" s="29">
        <f t="shared" si="26"/>
        <v>0</v>
      </c>
      <c r="G624" s="29">
        <v>0</v>
      </c>
      <c r="H624" s="30">
        <f t="shared" si="27"/>
        <v>0</v>
      </c>
      <c r="I624" s="32" t="s">
        <v>1232</v>
      </c>
    </row>
    <row r="625" ht="102">
      <c r="A625" s="32">
        <v>3224</v>
      </c>
      <c r="B625" s="27" t="s">
        <v>1233</v>
      </c>
      <c r="D625" s="28" t="s">
        <v>1234</v>
      </c>
      <c r="E625" s="32">
        <v>1239</v>
      </c>
      <c r="F625" s="29">
        <f t="shared" si="26"/>
        <v>0</v>
      </c>
      <c r="G625" s="29">
        <v>0</v>
      </c>
      <c r="H625" s="30">
        <f t="shared" si="27"/>
        <v>0</v>
      </c>
      <c r="I625" s="32" t="s">
        <v>1235</v>
      </c>
    </row>
    <row r="626" ht="25.5">
      <c r="A626" s="32">
        <v>3225</v>
      </c>
      <c r="B626" s="27" t="s">
        <v>1236</v>
      </c>
      <c r="D626" s="28" t="s">
        <v>22</v>
      </c>
      <c r="E626" s="32">
        <v>12397</v>
      </c>
      <c r="F626" s="29">
        <f t="shared" si="26"/>
        <v>0</v>
      </c>
      <c r="G626" s="29">
        <v>0</v>
      </c>
      <c r="H626" s="30">
        <f t="shared" si="27"/>
        <v>0</v>
      </c>
      <c r="I626" s="32" t="s">
        <v>1237</v>
      </c>
    </row>
    <row r="627" ht="63.75">
      <c r="A627" s="32">
        <v>3226</v>
      </c>
      <c r="B627" s="27" t="s">
        <v>1238</v>
      </c>
      <c r="D627" s="28" t="s">
        <v>22</v>
      </c>
      <c r="E627" s="32">
        <v>3893</v>
      </c>
      <c r="F627" s="29">
        <f t="shared" si="26"/>
        <v>0</v>
      </c>
      <c r="G627" s="29">
        <v>0</v>
      </c>
      <c r="H627" s="30">
        <f t="shared" si="27"/>
        <v>0</v>
      </c>
      <c r="I627" s="32" t="s">
        <v>1239</v>
      </c>
    </row>
    <row r="628" ht="51">
      <c r="A628" s="32">
        <v>3227</v>
      </c>
      <c r="B628" s="27" t="s">
        <v>1240</v>
      </c>
      <c r="D628" s="28" t="s">
        <v>22</v>
      </c>
      <c r="E628" s="32">
        <v>19</v>
      </c>
      <c r="F628" s="29">
        <f t="shared" si="26"/>
        <v>0</v>
      </c>
      <c r="G628" s="29">
        <v>0</v>
      </c>
      <c r="H628" s="30">
        <f t="shared" si="27"/>
        <v>0</v>
      </c>
      <c r="I628" s="32" t="s">
        <v>1241</v>
      </c>
    </row>
    <row r="629" ht="38.25">
      <c r="A629" s="32">
        <v>3228</v>
      </c>
      <c r="B629" s="27" t="s">
        <v>1242</v>
      </c>
      <c r="D629" s="28" t="s">
        <v>1243</v>
      </c>
      <c r="E629" s="32">
        <v>669</v>
      </c>
      <c r="F629" s="29">
        <f t="shared" si="26"/>
        <v>0</v>
      </c>
      <c r="G629" s="29">
        <v>0</v>
      </c>
      <c r="H629" s="30">
        <f t="shared" si="27"/>
        <v>0</v>
      </c>
      <c r="I629" s="32" t="s">
        <v>1244</v>
      </c>
    </row>
    <row r="630">
      <c r="A630" s="32"/>
      <c r="B630" s="32"/>
      <c r="C630" s="32"/>
      <c r="D630" s="32"/>
      <c r="E630" s="32"/>
      <c r="F630" s="29"/>
      <c r="G630" s="29"/>
      <c r="H630" s="30"/>
    </row>
    <row r="631">
      <c r="A631" s="34" t="s">
        <v>1245</v>
      </c>
      <c r="B631" s="34"/>
      <c r="C631" s="34"/>
      <c r="D631" s="34"/>
      <c r="E631" s="34"/>
      <c r="F631" s="29"/>
      <c r="G631" s="29"/>
      <c r="H631" s="30"/>
    </row>
    <row r="632" ht="25.5">
      <c r="A632" s="32">
        <v>3301</v>
      </c>
      <c r="B632" s="27" t="s">
        <v>1246</v>
      </c>
      <c r="C632" s="28"/>
      <c r="D632" s="28"/>
      <c r="E632" s="28"/>
      <c r="F632" s="29">
        <f t="shared" ref="F632:F637" si="28">C632*E632</f>
        <v>0</v>
      </c>
      <c r="G632" s="29">
        <v>0</v>
      </c>
      <c r="H632" s="30">
        <f t="shared" si="27"/>
        <v>0</v>
      </c>
      <c r="I632" s="32" t="s">
        <v>1247</v>
      </c>
    </row>
    <row r="633" ht="25.5">
      <c r="A633" s="28" t="s">
        <v>20</v>
      </c>
      <c r="B633" s="27" t="s">
        <v>1248</v>
      </c>
      <c r="D633" s="28" t="s">
        <v>1249</v>
      </c>
      <c r="E633" s="32">
        <v>11</v>
      </c>
      <c r="F633" s="29">
        <f t="shared" si="28"/>
        <v>0</v>
      </c>
      <c r="G633" s="29">
        <v>0</v>
      </c>
      <c r="H633" s="30">
        <f t="shared" si="27"/>
        <v>0</v>
      </c>
      <c r="I633" s="28" t="s">
        <v>1250</v>
      </c>
    </row>
    <row r="634" ht="25.5">
      <c r="A634" s="28" t="s">
        <v>24</v>
      </c>
      <c r="B634" s="27" t="s">
        <v>1251</v>
      </c>
      <c r="D634" s="28" t="s">
        <v>1249</v>
      </c>
      <c r="E634" s="32">
        <v>7</v>
      </c>
      <c r="F634" s="29">
        <f t="shared" si="28"/>
        <v>0</v>
      </c>
      <c r="G634" s="29">
        <v>0</v>
      </c>
      <c r="H634" s="30">
        <f t="shared" si="27"/>
        <v>0</v>
      </c>
      <c r="I634" s="28" t="s">
        <v>1252</v>
      </c>
    </row>
    <row r="635" ht="25.5">
      <c r="A635" s="32">
        <v>3302</v>
      </c>
      <c r="B635" s="27" t="s">
        <v>1253</v>
      </c>
      <c r="D635" s="28" t="s">
        <v>1254</v>
      </c>
      <c r="E635" s="32">
        <v>593</v>
      </c>
      <c r="F635" s="29">
        <f t="shared" si="28"/>
        <v>0</v>
      </c>
      <c r="G635" s="29">
        <v>0</v>
      </c>
      <c r="H635" s="30">
        <f t="shared" si="27"/>
        <v>0</v>
      </c>
      <c r="I635" s="32" t="s">
        <v>1255</v>
      </c>
    </row>
    <row r="636" ht="51">
      <c r="A636" s="32">
        <v>3303</v>
      </c>
      <c r="B636" s="27" t="s">
        <v>1256</v>
      </c>
      <c r="D636" s="28" t="s">
        <v>1257</v>
      </c>
      <c r="E636" s="32">
        <v>10266</v>
      </c>
      <c r="F636" s="29">
        <f t="shared" si="28"/>
        <v>0</v>
      </c>
      <c r="G636" s="29">
        <v>0</v>
      </c>
      <c r="H636" s="30">
        <f t="shared" si="27"/>
        <v>0</v>
      </c>
      <c r="I636" s="32" t="s">
        <v>1258</v>
      </c>
    </row>
    <row r="637" ht="89.25">
      <c r="A637" s="32">
        <v>3304</v>
      </c>
      <c r="B637" s="27" t="s">
        <v>1259</v>
      </c>
      <c r="D637" s="28" t="s">
        <v>1260</v>
      </c>
      <c r="E637" s="32">
        <v>1091</v>
      </c>
      <c r="F637" s="29">
        <f t="shared" si="28"/>
        <v>0</v>
      </c>
      <c r="G637" s="29">
        <v>0</v>
      </c>
      <c r="H637" s="30">
        <f t="shared" si="27"/>
        <v>0</v>
      </c>
      <c r="I637" s="32" t="s">
        <v>1261</v>
      </c>
    </row>
    <row r="638">
      <c r="A638" s="32"/>
      <c r="B638" s="32"/>
      <c r="C638" s="32"/>
      <c r="D638" s="32"/>
      <c r="E638" s="32"/>
      <c r="F638" s="29"/>
      <c r="G638" s="29"/>
      <c r="H638" s="30"/>
    </row>
    <row r="639">
      <c r="A639" s="28" t="s">
        <v>1262</v>
      </c>
      <c r="B639" s="28"/>
      <c r="C639" s="28"/>
      <c r="D639" s="28"/>
      <c r="E639" s="28"/>
      <c r="F639" s="29"/>
      <c r="G639" s="29"/>
      <c r="H639" s="30"/>
    </row>
    <row r="640" ht="102">
      <c r="A640" s="38">
        <v>3401</v>
      </c>
      <c r="B640" s="27" t="s">
        <v>1263</v>
      </c>
      <c r="D640" s="28" t="s">
        <v>1167</v>
      </c>
      <c r="E640" s="32">
        <v>16629</v>
      </c>
      <c r="F640" s="29">
        <f t="shared" ref="F640:F654" si="29">C640*E640</f>
        <v>0</v>
      </c>
      <c r="G640" s="29">
        <v>0</v>
      </c>
      <c r="H640" s="30">
        <f t="shared" si="27"/>
        <v>0</v>
      </c>
      <c r="I640" s="32" t="s">
        <v>1264</v>
      </c>
    </row>
    <row r="641" ht="25.5">
      <c r="A641" s="32">
        <v>3402</v>
      </c>
      <c r="B641" s="27" t="s">
        <v>1265</v>
      </c>
      <c r="D641" s="28"/>
      <c r="E641" s="28"/>
      <c r="F641" s="29">
        <f t="shared" si="29"/>
        <v>0</v>
      </c>
      <c r="G641" s="29">
        <v>0</v>
      </c>
      <c r="H641" s="30">
        <f t="shared" si="27"/>
        <v>0</v>
      </c>
      <c r="I641" s="32" t="s">
        <v>1266</v>
      </c>
    </row>
    <row r="642" ht="25.5">
      <c r="A642" s="28" t="s">
        <v>20</v>
      </c>
      <c r="B642" s="27" t="s">
        <v>1267</v>
      </c>
      <c r="D642" s="28" t="s">
        <v>22</v>
      </c>
      <c r="E642" s="32">
        <v>328</v>
      </c>
      <c r="F642" s="29">
        <f t="shared" si="29"/>
        <v>0</v>
      </c>
      <c r="G642" s="29">
        <v>0</v>
      </c>
      <c r="H642" s="30">
        <f t="shared" si="27"/>
        <v>0</v>
      </c>
      <c r="I642" s="28" t="s">
        <v>1268</v>
      </c>
    </row>
    <row r="643" ht="25.5">
      <c r="A643" s="28" t="s">
        <v>24</v>
      </c>
      <c r="B643" s="27" t="s">
        <v>1269</v>
      </c>
      <c r="D643" s="28" t="s">
        <v>22</v>
      </c>
      <c r="E643" s="32">
        <v>394</v>
      </c>
      <c r="F643" s="29">
        <f t="shared" si="29"/>
        <v>0</v>
      </c>
      <c r="G643" s="29">
        <v>0</v>
      </c>
      <c r="H643" s="30">
        <f t="shared" si="27"/>
        <v>0</v>
      </c>
      <c r="I643" s="28" t="s">
        <v>1270</v>
      </c>
    </row>
    <row r="644" ht="25.5">
      <c r="A644" s="28" t="s">
        <v>42</v>
      </c>
      <c r="B644" s="27" t="s">
        <v>1271</v>
      </c>
      <c r="D644" s="28" t="s">
        <v>22</v>
      </c>
      <c r="E644" s="32">
        <v>658</v>
      </c>
      <c r="F644" s="29">
        <f t="shared" si="29"/>
        <v>0</v>
      </c>
      <c r="G644" s="29">
        <v>0</v>
      </c>
      <c r="H644" s="30">
        <f t="shared" si="27"/>
        <v>0</v>
      </c>
      <c r="I644" s="28" t="s">
        <v>1272</v>
      </c>
    </row>
    <row r="645" ht="25.5">
      <c r="A645" s="28" t="s">
        <v>69</v>
      </c>
      <c r="B645" s="27" t="s">
        <v>1273</v>
      </c>
      <c r="D645" s="28" t="s">
        <v>22</v>
      </c>
      <c r="E645" s="32">
        <v>987</v>
      </c>
      <c r="F645" s="29">
        <f t="shared" si="29"/>
        <v>0</v>
      </c>
      <c r="G645" s="29">
        <v>0</v>
      </c>
      <c r="H645" s="30">
        <f t="shared" si="27"/>
        <v>0</v>
      </c>
      <c r="I645" s="28" t="s">
        <v>1274</v>
      </c>
    </row>
    <row r="646" ht="25.5">
      <c r="A646" s="28" t="s">
        <v>72</v>
      </c>
      <c r="B646" s="27" t="s">
        <v>1275</v>
      </c>
      <c r="D646" s="28" t="s">
        <v>22</v>
      </c>
      <c r="E646" s="32">
        <v>330</v>
      </c>
      <c r="F646" s="29">
        <f t="shared" si="29"/>
        <v>0</v>
      </c>
      <c r="G646" s="29">
        <v>0</v>
      </c>
      <c r="H646" s="30">
        <f t="shared" si="27"/>
        <v>0</v>
      </c>
      <c r="I646" s="28" t="s">
        <v>1276</v>
      </c>
    </row>
    <row r="647" ht="25.5">
      <c r="A647" s="32">
        <v>3403</v>
      </c>
      <c r="B647" s="27" t="s">
        <v>1277</v>
      </c>
      <c r="D647" s="28"/>
      <c r="E647" s="28"/>
      <c r="F647" s="29">
        <f t="shared" si="29"/>
        <v>0</v>
      </c>
      <c r="G647" s="29">
        <v>0</v>
      </c>
      <c r="H647" s="30">
        <f t="shared" si="27"/>
        <v>0</v>
      </c>
      <c r="I647" s="32" t="s">
        <v>1278</v>
      </c>
    </row>
    <row r="648" ht="51">
      <c r="A648" s="28" t="s">
        <v>20</v>
      </c>
      <c r="B648" s="27" t="s">
        <v>1279</v>
      </c>
      <c r="D648" s="28" t="s">
        <v>1167</v>
      </c>
      <c r="E648" s="32">
        <v>45819</v>
      </c>
      <c r="F648" s="29">
        <f t="shared" si="29"/>
        <v>0</v>
      </c>
      <c r="G648" s="29">
        <v>0</v>
      </c>
      <c r="H648" s="30">
        <f t="shared" si="27"/>
        <v>0</v>
      </c>
      <c r="I648" s="28" t="s">
        <v>1280</v>
      </c>
    </row>
    <row r="649" ht="63.75">
      <c r="A649" s="43" t="s">
        <v>24</v>
      </c>
      <c r="B649" s="27" t="s">
        <v>1281</v>
      </c>
      <c r="D649" s="28" t="s">
        <v>1167</v>
      </c>
      <c r="E649" s="32">
        <v>34998</v>
      </c>
      <c r="F649" s="29">
        <f t="shared" si="29"/>
        <v>0</v>
      </c>
      <c r="G649" s="29">
        <v>0</v>
      </c>
      <c r="H649" s="30">
        <f t="shared" si="27"/>
        <v>0</v>
      </c>
      <c r="I649" s="28" t="s">
        <v>1282</v>
      </c>
    </row>
    <row r="650" ht="25.5">
      <c r="A650" s="28" t="s">
        <v>42</v>
      </c>
      <c r="B650" s="27" t="s">
        <v>1283</v>
      </c>
      <c r="D650" s="28" t="s">
        <v>1260</v>
      </c>
      <c r="E650" s="32">
        <v>450</v>
      </c>
      <c r="F650" s="29">
        <f t="shared" si="29"/>
        <v>0</v>
      </c>
      <c r="G650" s="29">
        <v>0</v>
      </c>
      <c r="H650" s="30">
        <f t="shared" si="27"/>
        <v>0</v>
      </c>
      <c r="I650" s="28" t="s">
        <v>1284</v>
      </c>
    </row>
    <row r="651" ht="38.25">
      <c r="A651" s="28" t="s">
        <v>69</v>
      </c>
      <c r="B651" s="27" t="s">
        <v>1285</v>
      </c>
      <c r="D651" s="28" t="s">
        <v>1286</v>
      </c>
      <c r="E651" s="32">
        <v>2545</v>
      </c>
      <c r="F651" s="29">
        <f t="shared" si="29"/>
        <v>0</v>
      </c>
      <c r="G651" s="29">
        <v>0</v>
      </c>
      <c r="H651" s="30">
        <f t="shared" si="27"/>
        <v>0</v>
      </c>
      <c r="I651" s="28" t="s">
        <v>1287</v>
      </c>
    </row>
    <row r="652" ht="114.75">
      <c r="A652" s="38">
        <v>3404</v>
      </c>
      <c r="B652" s="27" t="s">
        <v>1288</v>
      </c>
      <c r="D652" s="28" t="s">
        <v>22</v>
      </c>
      <c r="E652" s="32">
        <v>21746</v>
      </c>
      <c r="F652" s="29">
        <f t="shared" si="29"/>
        <v>0</v>
      </c>
      <c r="G652" s="29">
        <v>0</v>
      </c>
      <c r="H652" s="30">
        <f t="shared" si="27"/>
        <v>0</v>
      </c>
      <c r="I652" s="32" t="s">
        <v>1289</v>
      </c>
    </row>
    <row r="653" ht="38.25">
      <c r="A653" s="32">
        <v>3405</v>
      </c>
      <c r="B653" s="27" t="s">
        <v>1290</v>
      </c>
      <c r="D653" s="28" t="s">
        <v>22</v>
      </c>
      <c r="E653" s="32">
        <v>11802</v>
      </c>
      <c r="F653" s="29">
        <f t="shared" si="29"/>
        <v>0</v>
      </c>
      <c r="G653" s="29">
        <v>0</v>
      </c>
      <c r="H653" s="30">
        <f t="shared" si="27"/>
        <v>0</v>
      </c>
      <c r="I653" s="32" t="s">
        <v>1291</v>
      </c>
    </row>
    <row r="654" ht="76.5">
      <c r="A654" s="38">
        <v>3406</v>
      </c>
      <c r="B654" s="27" t="s">
        <v>1292</v>
      </c>
      <c r="D654" s="28" t="s">
        <v>22</v>
      </c>
      <c r="E654" s="32">
        <v>87</v>
      </c>
      <c r="F654" s="29">
        <f t="shared" si="29"/>
        <v>0</v>
      </c>
      <c r="G654" s="29">
        <v>0</v>
      </c>
      <c r="H654" s="30">
        <f t="shared" si="27"/>
        <v>0</v>
      </c>
      <c r="I654" s="32" t="s">
        <v>1293</v>
      </c>
    </row>
    <row r="655">
      <c r="A655" s="38"/>
      <c r="B655" s="38"/>
      <c r="C655" s="38"/>
      <c r="D655" s="38"/>
      <c r="E655" s="32"/>
      <c r="F655" s="29"/>
      <c r="G655" s="29"/>
      <c r="H655" s="30"/>
    </row>
    <row r="656">
      <c r="A656" s="28" t="s">
        <v>1294</v>
      </c>
      <c r="B656" s="28"/>
      <c r="C656" s="28"/>
      <c r="D656" s="28"/>
      <c r="E656" s="28"/>
      <c r="F656" s="29"/>
      <c r="G656" s="29"/>
      <c r="H656" s="30"/>
    </row>
    <row r="657" ht="38.25">
      <c r="A657" s="32">
        <v>3501</v>
      </c>
      <c r="B657" s="27" t="s">
        <v>1295</v>
      </c>
      <c r="D657" s="28"/>
      <c r="E657" s="28"/>
      <c r="F657" s="29">
        <f t="shared" ref="F657:F664" si="30">C657*E657</f>
        <v>0</v>
      </c>
      <c r="G657" s="29">
        <v>0</v>
      </c>
      <c r="H657" s="30">
        <f t="shared" si="27"/>
        <v>0</v>
      </c>
      <c r="I657" s="32" t="s">
        <v>1296</v>
      </c>
    </row>
    <row r="658" ht="25.5">
      <c r="A658" s="28" t="s">
        <v>20</v>
      </c>
      <c r="B658" s="27" t="s">
        <v>1297</v>
      </c>
      <c r="D658" s="28" t="s">
        <v>1298</v>
      </c>
      <c r="E658" s="32">
        <v>677</v>
      </c>
      <c r="F658" s="29">
        <f t="shared" si="30"/>
        <v>0</v>
      </c>
      <c r="G658" s="29">
        <v>0</v>
      </c>
      <c r="H658" s="30">
        <f t="shared" si="27"/>
        <v>0</v>
      </c>
      <c r="I658" s="28" t="s">
        <v>1299</v>
      </c>
    </row>
    <row r="659" ht="76.5">
      <c r="A659" s="28" t="s">
        <v>24</v>
      </c>
      <c r="B659" s="27" t="s">
        <v>1300</v>
      </c>
      <c r="D659" s="28" t="s">
        <v>1301</v>
      </c>
      <c r="E659" s="32">
        <v>3896</v>
      </c>
      <c r="F659" s="29">
        <f t="shared" si="30"/>
        <v>0</v>
      </c>
      <c r="G659" s="29">
        <v>0</v>
      </c>
      <c r="H659" s="30">
        <f t="shared" si="27"/>
        <v>0</v>
      </c>
      <c r="I659" s="28" t="s">
        <v>1302</v>
      </c>
    </row>
    <row r="660" ht="89.25">
      <c r="A660" s="32">
        <v>3502</v>
      </c>
      <c r="B660" s="27" t="s">
        <v>1303</v>
      </c>
      <c r="D660" s="28" t="s">
        <v>877</v>
      </c>
      <c r="E660" s="32">
        <v>103</v>
      </c>
      <c r="F660" s="29">
        <f t="shared" si="30"/>
        <v>0</v>
      </c>
      <c r="G660" s="29">
        <v>0</v>
      </c>
      <c r="H660" s="30">
        <f t="shared" si="27"/>
        <v>0</v>
      </c>
      <c r="I660" s="32" t="s">
        <v>1304</v>
      </c>
    </row>
    <row r="661" ht="76.5">
      <c r="A661" s="32">
        <v>3503</v>
      </c>
      <c r="B661" s="27" t="s">
        <v>1305</v>
      </c>
      <c r="D661" s="28"/>
      <c r="E661" s="28"/>
      <c r="F661" s="29">
        <f t="shared" si="30"/>
        <v>0</v>
      </c>
      <c r="G661" s="29">
        <v>0</v>
      </c>
      <c r="H661" s="30">
        <f t="shared" si="27"/>
        <v>0</v>
      </c>
      <c r="I661" s="32" t="s">
        <v>1306</v>
      </c>
    </row>
    <row r="662" ht="25.5">
      <c r="A662" s="28" t="s">
        <v>20</v>
      </c>
      <c r="B662" s="27" t="s">
        <v>1307</v>
      </c>
      <c r="D662" s="28" t="s">
        <v>1205</v>
      </c>
      <c r="E662" s="32">
        <v>29427</v>
      </c>
      <c r="F662" s="29">
        <f t="shared" si="30"/>
        <v>0</v>
      </c>
      <c r="G662" s="29">
        <v>0</v>
      </c>
      <c r="H662" s="30">
        <f t="shared" si="27"/>
        <v>0</v>
      </c>
      <c r="I662" s="28" t="s">
        <v>1308</v>
      </c>
    </row>
    <row r="663" ht="25.5">
      <c r="A663" s="28" t="s">
        <v>24</v>
      </c>
      <c r="B663" s="27" t="s">
        <v>1309</v>
      </c>
      <c r="D663" s="28" t="s">
        <v>1205</v>
      </c>
      <c r="E663" s="32">
        <v>51415</v>
      </c>
      <c r="F663" s="29">
        <f t="shared" si="30"/>
        <v>0</v>
      </c>
      <c r="G663" s="29">
        <v>0</v>
      </c>
      <c r="H663" s="30">
        <f t="shared" si="27"/>
        <v>0</v>
      </c>
      <c r="I663" s="28" t="s">
        <v>1310</v>
      </c>
    </row>
    <row r="664" ht="25.5">
      <c r="A664" s="28" t="s">
        <v>42</v>
      </c>
      <c r="B664" s="27" t="s">
        <v>1311</v>
      </c>
      <c r="D664" s="28" t="s">
        <v>1312</v>
      </c>
      <c r="E664" s="32">
        <v>11379</v>
      </c>
      <c r="F664" s="29">
        <f t="shared" si="30"/>
        <v>0</v>
      </c>
      <c r="G664" s="29">
        <v>0</v>
      </c>
      <c r="H664" s="30">
        <f t="shared" si="27"/>
        <v>0</v>
      </c>
      <c r="I664" s="28" t="s">
        <v>1313</v>
      </c>
    </row>
    <row r="665">
      <c r="A665" s="28"/>
      <c r="B665" s="28"/>
      <c r="C665" s="28"/>
      <c r="D665" s="28"/>
      <c r="E665" s="28"/>
      <c r="F665" s="29"/>
      <c r="G665" s="29"/>
      <c r="H665" s="30"/>
    </row>
    <row r="666">
      <c r="A666" s="28" t="s">
        <v>1314</v>
      </c>
      <c r="B666" s="28"/>
      <c r="C666" s="28"/>
      <c r="D666" s="28"/>
      <c r="E666" s="28"/>
      <c r="F666" s="29"/>
      <c r="G666" s="29"/>
      <c r="H666" s="30"/>
    </row>
    <row r="667" ht="178.5">
      <c r="A667" s="32">
        <v>3601</v>
      </c>
      <c r="B667" s="27" t="s">
        <v>1315</v>
      </c>
      <c r="D667" s="28" t="s">
        <v>1167</v>
      </c>
      <c r="E667" s="32">
        <v>30145</v>
      </c>
      <c r="F667" s="29">
        <f t="shared" ref="F667:F688" si="31">C667*E667</f>
        <v>0</v>
      </c>
      <c r="G667" s="29">
        <v>0</v>
      </c>
      <c r="H667" s="30">
        <f t="shared" si="27"/>
        <v>0</v>
      </c>
      <c r="I667" s="32" t="s">
        <v>1316</v>
      </c>
    </row>
    <row r="668" ht="127.5">
      <c r="A668" s="32">
        <v>3602</v>
      </c>
      <c r="B668" s="27" t="s">
        <v>1317</v>
      </c>
      <c r="D668" s="28" t="s">
        <v>22</v>
      </c>
      <c r="E668" s="32">
        <v>4554</v>
      </c>
      <c r="F668" s="29">
        <f t="shared" si="31"/>
        <v>0</v>
      </c>
      <c r="G668" s="29">
        <v>0</v>
      </c>
      <c r="H668" s="30">
        <f t="shared" si="27"/>
        <v>0</v>
      </c>
      <c r="I668" s="32" t="s">
        <v>1318</v>
      </c>
    </row>
    <row r="669" ht="38.25">
      <c r="A669" s="32">
        <v>3603</v>
      </c>
      <c r="B669" s="27" t="s">
        <v>1319</v>
      </c>
      <c r="D669" s="28" t="s">
        <v>22</v>
      </c>
      <c r="E669" s="32">
        <v>1407</v>
      </c>
      <c r="F669" s="29">
        <f t="shared" si="31"/>
        <v>0</v>
      </c>
      <c r="G669" s="29">
        <v>0</v>
      </c>
      <c r="H669" s="30">
        <f t="shared" si="27"/>
        <v>0</v>
      </c>
      <c r="I669" s="32" t="s">
        <v>1320</v>
      </c>
    </row>
    <row r="670" ht="25.5">
      <c r="A670" s="32">
        <v>3604</v>
      </c>
      <c r="B670" s="27" t="s">
        <v>1321</v>
      </c>
      <c r="D670" s="28" t="s">
        <v>22</v>
      </c>
      <c r="E670" s="32">
        <v>2572</v>
      </c>
      <c r="F670" s="29">
        <f t="shared" si="31"/>
        <v>0</v>
      </c>
      <c r="G670" s="29">
        <v>0</v>
      </c>
      <c r="H670" s="30">
        <f t="shared" si="27"/>
        <v>0</v>
      </c>
      <c r="I670" s="32" t="s">
        <v>1322</v>
      </c>
    </row>
    <row r="671" ht="38.25">
      <c r="A671" s="32">
        <v>3605</v>
      </c>
      <c r="B671" s="27" t="s">
        <v>1323</v>
      </c>
      <c r="D671" s="28" t="s">
        <v>22</v>
      </c>
      <c r="E671" s="32">
        <v>2732</v>
      </c>
      <c r="F671" s="29">
        <f t="shared" si="31"/>
        <v>0</v>
      </c>
      <c r="G671" s="29">
        <v>0</v>
      </c>
      <c r="H671" s="30">
        <f t="shared" ref="H671:H703" si="32">SUM(F671:G671)</f>
        <v>0</v>
      </c>
      <c r="I671" s="32" t="s">
        <v>1324</v>
      </c>
    </row>
    <row r="672" ht="38.25">
      <c r="A672" s="32">
        <v>3606</v>
      </c>
      <c r="B672" s="27" t="s">
        <v>1325</v>
      </c>
      <c r="D672" s="28" t="s">
        <v>1326</v>
      </c>
      <c r="E672" s="32">
        <v>670</v>
      </c>
      <c r="F672" s="29">
        <f t="shared" si="31"/>
        <v>0</v>
      </c>
      <c r="G672" s="29">
        <v>0</v>
      </c>
      <c r="H672" s="30">
        <f t="shared" si="32"/>
        <v>0</v>
      </c>
      <c r="I672" s="32" t="s">
        <v>1327</v>
      </c>
    </row>
    <row r="673" ht="25.5">
      <c r="A673" s="32">
        <v>3607</v>
      </c>
      <c r="B673" s="27" t="s">
        <v>1328</v>
      </c>
      <c r="D673" s="28" t="s">
        <v>22</v>
      </c>
      <c r="E673" s="32">
        <v>417</v>
      </c>
      <c r="F673" s="29">
        <f t="shared" si="31"/>
        <v>0</v>
      </c>
      <c r="G673" s="29">
        <v>0</v>
      </c>
      <c r="H673" s="30">
        <f t="shared" si="32"/>
        <v>0</v>
      </c>
      <c r="I673" s="32" t="s">
        <v>1329</v>
      </c>
    </row>
    <row r="674" ht="76.5">
      <c r="A674" s="32">
        <v>3608</v>
      </c>
      <c r="B674" s="27" t="s">
        <v>1330</v>
      </c>
      <c r="D674" s="28" t="s">
        <v>22</v>
      </c>
      <c r="E674" s="32">
        <v>14060</v>
      </c>
      <c r="F674" s="29">
        <f t="shared" si="31"/>
        <v>0</v>
      </c>
      <c r="G674" s="29">
        <v>0</v>
      </c>
      <c r="H674" s="30">
        <f t="shared" si="32"/>
        <v>0</v>
      </c>
      <c r="I674" s="32" t="s">
        <v>1331</v>
      </c>
    </row>
    <row r="675" ht="63.75">
      <c r="A675" s="32">
        <v>3609</v>
      </c>
      <c r="B675" s="27" t="s">
        <v>1332</v>
      </c>
      <c r="D675" s="28" t="s">
        <v>22</v>
      </c>
      <c r="E675" s="32">
        <v>6491</v>
      </c>
      <c r="F675" s="29">
        <f t="shared" si="31"/>
        <v>0</v>
      </c>
      <c r="G675" s="29">
        <v>0</v>
      </c>
      <c r="H675" s="30">
        <f t="shared" si="32"/>
        <v>0</v>
      </c>
      <c r="I675" s="32" t="s">
        <v>1333</v>
      </c>
    </row>
    <row r="676" ht="51">
      <c r="A676" s="32">
        <v>3610</v>
      </c>
      <c r="B676" s="27" t="s">
        <v>1334</v>
      </c>
      <c r="D676" s="28" t="s">
        <v>30</v>
      </c>
      <c r="E676" s="32">
        <v>1815</v>
      </c>
      <c r="F676" s="29">
        <f t="shared" si="31"/>
        <v>0</v>
      </c>
      <c r="G676" s="29">
        <v>0</v>
      </c>
      <c r="H676" s="30">
        <f t="shared" si="32"/>
        <v>0</v>
      </c>
      <c r="I676" s="32" t="s">
        <v>1335</v>
      </c>
    </row>
    <row r="677" ht="51">
      <c r="A677" s="32">
        <v>3611</v>
      </c>
      <c r="B677" s="27" t="s">
        <v>1336</v>
      </c>
      <c r="D677" s="28" t="s">
        <v>22</v>
      </c>
      <c r="E677" s="32">
        <v>3501</v>
      </c>
      <c r="F677" s="29">
        <f t="shared" si="31"/>
        <v>0</v>
      </c>
      <c r="G677" s="29">
        <v>0</v>
      </c>
      <c r="H677" s="30">
        <f t="shared" si="32"/>
        <v>0</v>
      </c>
      <c r="I677" s="32" t="s">
        <v>1337</v>
      </c>
    </row>
    <row r="678" ht="51">
      <c r="A678" s="32">
        <v>3612</v>
      </c>
      <c r="B678" s="27" t="s">
        <v>1338</v>
      </c>
      <c r="D678" s="28" t="s">
        <v>22</v>
      </c>
      <c r="E678" s="32">
        <v>2049</v>
      </c>
      <c r="F678" s="29">
        <f t="shared" si="31"/>
        <v>0</v>
      </c>
      <c r="G678" s="29">
        <v>0</v>
      </c>
      <c r="H678" s="30">
        <f t="shared" si="32"/>
        <v>0</v>
      </c>
      <c r="I678" s="32" t="s">
        <v>1339</v>
      </c>
    </row>
    <row r="679" ht="63.75">
      <c r="A679" s="32">
        <v>3613</v>
      </c>
      <c r="B679" s="27" t="s">
        <v>1340</v>
      </c>
      <c r="D679" s="28" t="s">
        <v>30</v>
      </c>
      <c r="E679" s="32">
        <v>8807</v>
      </c>
      <c r="F679" s="29">
        <f t="shared" si="31"/>
        <v>0</v>
      </c>
      <c r="G679" s="29">
        <v>0</v>
      </c>
      <c r="H679" s="30">
        <f t="shared" si="32"/>
        <v>0</v>
      </c>
      <c r="I679" s="32" t="s">
        <v>1341</v>
      </c>
    </row>
    <row r="680" ht="127.5">
      <c r="A680" s="32">
        <v>3614</v>
      </c>
      <c r="B680" s="27" t="s">
        <v>1342</v>
      </c>
      <c r="D680" s="28" t="s">
        <v>1167</v>
      </c>
      <c r="E680" s="32">
        <v>8506</v>
      </c>
      <c r="F680" s="29">
        <f t="shared" si="31"/>
        <v>0</v>
      </c>
      <c r="G680" s="29">
        <v>0</v>
      </c>
      <c r="H680" s="30">
        <f t="shared" si="32"/>
        <v>0</v>
      </c>
      <c r="I680" s="32" t="s">
        <v>1343</v>
      </c>
    </row>
    <row r="681" ht="63.75">
      <c r="A681" s="32">
        <v>3615</v>
      </c>
      <c r="B681" s="27" t="s">
        <v>1344</v>
      </c>
      <c r="D681" s="28" t="s">
        <v>22</v>
      </c>
      <c r="E681" s="32">
        <v>158</v>
      </c>
      <c r="F681" s="29">
        <f t="shared" si="31"/>
        <v>0</v>
      </c>
      <c r="G681" s="29">
        <v>0</v>
      </c>
      <c r="H681" s="30">
        <f t="shared" si="32"/>
        <v>0</v>
      </c>
      <c r="I681" s="32" t="s">
        <v>1345</v>
      </c>
    </row>
    <row r="682" ht="25.5">
      <c r="A682" s="32">
        <v>3616</v>
      </c>
      <c r="B682" s="27" t="s">
        <v>1346</v>
      </c>
      <c r="D682" s="28" t="s">
        <v>22</v>
      </c>
      <c r="E682" s="32">
        <v>723</v>
      </c>
      <c r="F682" s="29">
        <f t="shared" si="31"/>
        <v>0</v>
      </c>
      <c r="G682" s="29">
        <v>0</v>
      </c>
      <c r="H682" s="30">
        <f t="shared" si="32"/>
        <v>0</v>
      </c>
      <c r="I682" s="32" t="s">
        <v>1347</v>
      </c>
    </row>
    <row r="683" ht="89.25">
      <c r="A683" s="32">
        <v>3617</v>
      </c>
      <c r="B683" s="27" t="s">
        <v>1348</v>
      </c>
      <c r="D683" s="28" t="s">
        <v>844</v>
      </c>
      <c r="E683" s="32">
        <v>18</v>
      </c>
      <c r="F683" s="29">
        <f t="shared" si="31"/>
        <v>0</v>
      </c>
      <c r="G683" s="29">
        <v>0</v>
      </c>
      <c r="H683" s="30">
        <f t="shared" si="32"/>
        <v>0</v>
      </c>
      <c r="I683" s="32" t="s">
        <v>1349</v>
      </c>
    </row>
    <row r="684" ht="38.25">
      <c r="A684" s="32">
        <v>3618</v>
      </c>
      <c r="B684" s="27" t="s">
        <v>1350</v>
      </c>
      <c r="D684" s="28" t="s">
        <v>22</v>
      </c>
      <c r="E684" s="32">
        <v>900</v>
      </c>
      <c r="F684" s="29">
        <f t="shared" si="31"/>
        <v>0</v>
      </c>
      <c r="G684" s="29">
        <v>0</v>
      </c>
      <c r="H684" s="30">
        <f t="shared" si="32"/>
        <v>0</v>
      </c>
      <c r="I684" s="32" t="s">
        <v>1351</v>
      </c>
    </row>
    <row r="685" ht="63.75">
      <c r="A685" s="32">
        <v>3619</v>
      </c>
      <c r="B685" s="27" t="s">
        <v>1352</v>
      </c>
      <c r="D685" s="28" t="s">
        <v>22</v>
      </c>
      <c r="E685" s="32">
        <v>94</v>
      </c>
      <c r="F685" s="29">
        <f t="shared" si="31"/>
        <v>0</v>
      </c>
      <c r="G685" s="29">
        <v>0</v>
      </c>
      <c r="H685" s="30">
        <f t="shared" si="32"/>
        <v>0</v>
      </c>
      <c r="I685" s="32" t="s">
        <v>1353</v>
      </c>
    </row>
    <row r="686" ht="102">
      <c r="A686" s="32">
        <v>3620</v>
      </c>
      <c r="B686" s="27" t="s">
        <v>1354</v>
      </c>
      <c r="D686" s="28" t="s">
        <v>1355</v>
      </c>
      <c r="E686" s="32">
        <v>9</v>
      </c>
      <c r="F686" s="29">
        <f t="shared" si="31"/>
        <v>0</v>
      </c>
      <c r="G686" s="29">
        <v>0</v>
      </c>
      <c r="H686" s="30">
        <f t="shared" si="32"/>
        <v>0</v>
      </c>
      <c r="I686" s="32" t="s">
        <v>1356</v>
      </c>
    </row>
    <row r="687" ht="63.75">
      <c r="A687" s="32">
        <v>3621</v>
      </c>
      <c r="B687" s="27" t="s">
        <v>1357</v>
      </c>
      <c r="D687" s="28" t="s">
        <v>1358</v>
      </c>
      <c r="E687" s="32">
        <v>157</v>
      </c>
      <c r="F687" s="29">
        <f t="shared" si="31"/>
        <v>0</v>
      </c>
      <c r="G687" s="29">
        <v>0</v>
      </c>
      <c r="H687" s="30">
        <f t="shared" si="32"/>
        <v>0</v>
      </c>
      <c r="I687" s="32" t="s">
        <v>1359</v>
      </c>
    </row>
    <row r="688" ht="51">
      <c r="A688" s="32">
        <v>3622</v>
      </c>
      <c r="B688" s="27" t="s">
        <v>1360</v>
      </c>
      <c r="D688" s="28" t="s">
        <v>1361</v>
      </c>
      <c r="E688" s="32">
        <v>1590</v>
      </c>
      <c r="F688" s="29">
        <f t="shared" si="31"/>
        <v>0</v>
      </c>
      <c r="G688" s="29">
        <v>0</v>
      </c>
      <c r="H688" s="30">
        <f t="shared" si="32"/>
        <v>0</v>
      </c>
      <c r="I688" s="32" t="s">
        <v>1362</v>
      </c>
    </row>
    <row r="689">
      <c r="A689" s="28"/>
      <c r="B689" s="41" t="s">
        <v>1363</v>
      </c>
      <c r="C689" s="28"/>
      <c r="D689" s="28"/>
      <c r="E689" s="28"/>
      <c r="F689" s="29"/>
      <c r="G689" s="29"/>
      <c r="H689" s="30"/>
    </row>
    <row r="690" ht="76.5">
      <c r="A690" s="32">
        <v>3623</v>
      </c>
      <c r="B690" s="27" t="s">
        <v>1364</v>
      </c>
      <c r="D690" s="28"/>
      <c r="E690" s="28" t="s">
        <v>1365</v>
      </c>
      <c r="F690" s="29"/>
      <c r="G690" s="29"/>
      <c r="H690" s="30"/>
      <c r="I690" s="32" t="s">
        <v>1366</v>
      </c>
    </row>
    <row r="691" ht="63.75">
      <c r="A691" s="28" t="s">
        <v>20</v>
      </c>
      <c r="B691" s="27" t="s">
        <v>1367</v>
      </c>
      <c r="D691" s="28" t="s">
        <v>22</v>
      </c>
      <c r="E691" s="32">
        <v>13607</v>
      </c>
      <c r="F691" s="29">
        <f t="shared" ref="F691:F703" si="33">C691*E691</f>
        <v>0</v>
      </c>
      <c r="G691" s="29">
        <v>0</v>
      </c>
      <c r="H691" s="30">
        <f t="shared" si="32"/>
        <v>0</v>
      </c>
      <c r="I691" s="28" t="s">
        <v>1368</v>
      </c>
    </row>
    <row r="692" ht="38.25">
      <c r="A692" s="28" t="s">
        <v>24</v>
      </c>
      <c r="B692" s="27" t="s">
        <v>1369</v>
      </c>
      <c r="D692" s="28" t="s">
        <v>22</v>
      </c>
      <c r="E692" s="32">
        <v>6804</v>
      </c>
      <c r="F692" s="29">
        <f t="shared" si="33"/>
        <v>0</v>
      </c>
      <c r="G692" s="29">
        <v>0</v>
      </c>
      <c r="H692" s="30">
        <f t="shared" si="32"/>
        <v>0</v>
      </c>
      <c r="I692" s="28" t="s">
        <v>1370</v>
      </c>
    </row>
    <row r="693" ht="89.25">
      <c r="A693" s="28" t="s">
        <v>42</v>
      </c>
      <c r="B693" s="27" t="s">
        <v>1371</v>
      </c>
      <c r="D693" s="28" t="s">
        <v>22</v>
      </c>
      <c r="E693" s="32">
        <v>24180</v>
      </c>
      <c r="F693" s="29">
        <f t="shared" si="33"/>
        <v>0</v>
      </c>
      <c r="G693" s="29">
        <v>0</v>
      </c>
      <c r="H693" s="30">
        <f t="shared" si="32"/>
        <v>0</v>
      </c>
      <c r="I693" s="28" t="s">
        <v>1372</v>
      </c>
    </row>
    <row r="694" ht="38.25">
      <c r="A694" s="28" t="s">
        <v>69</v>
      </c>
      <c r="B694" s="27" t="s">
        <v>1373</v>
      </c>
      <c r="D694" s="28" t="s">
        <v>22</v>
      </c>
      <c r="E694" s="32">
        <v>5193</v>
      </c>
      <c r="F694" s="29">
        <f t="shared" si="33"/>
        <v>0</v>
      </c>
      <c r="G694" s="29">
        <v>0</v>
      </c>
      <c r="H694" s="30">
        <f t="shared" si="32"/>
        <v>0</v>
      </c>
      <c r="I694" s="28" t="s">
        <v>1374</v>
      </c>
    </row>
    <row r="695" ht="63.75">
      <c r="A695" s="28" t="s">
        <v>72</v>
      </c>
      <c r="B695" s="27" t="s">
        <v>1375</v>
      </c>
      <c r="D695" s="28" t="s">
        <v>22</v>
      </c>
      <c r="E695" s="32">
        <v>2417</v>
      </c>
      <c r="F695" s="29">
        <f t="shared" si="33"/>
        <v>0</v>
      </c>
      <c r="G695" s="29">
        <v>0</v>
      </c>
      <c r="H695" s="30">
        <f t="shared" si="32"/>
        <v>0</v>
      </c>
      <c r="I695" s="28" t="s">
        <v>1376</v>
      </c>
    </row>
    <row r="696" ht="51">
      <c r="A696" s="28" t="s">
        <v>75</v>
      </c>
      <c r="B696" s="27" t="s">
        <v>1377</v>
      </c>
      <c r="D696" s="28" t="s">
        <v>30</v>
      </c>
      <c r="E696" s="32">
        <v>8238</v>
      </c>
      <c r="F696" s="29">
        <f t="shared" si="33"/>
        <v>0</v>
      </c>
      <c r="G696" s="29">
        <v>0</v>
      </c>
      <c r="H696" s="30">
        <f t="shared" si="32"/>
        <v>0</v>
      </c>
      <c r="I696" s="28" t="s">
        <v>1378</v>
      </c>
    </row>
    <row r="697" ht="38.25">
      <c r="A697" s="28" t="s">
        <v>204</v>
      </c>
      <c r="B697" s="27" t="s">
        <v>1379</v>
      </c>
      <c r="D697" s="28" t="s">
        <v>22</v>
      </c>
      <c r="E697" s="32">
        <v>4653</v>
      </c>
      <c r="F697" s="29">
        <f t="shared" si="33"/>
        <v>0</v>
      </c>
      <c r="G697" s="29">
        <v>0</v>
      </c>
      <c r="H697" s="30">
        <f t="shared" si="32"/>
        <v>0</v>
      </c>
      <c r="I697" s="28" t="s">
        <v>1380</v>
      </c>
    </row>
    <row r="698" ht="63.75">
      <c r="A698" s="28" t="s">
        <v>419</v>
      </c>
      <c r="B698" s="27" t="s">
        <v>1381</v>
      </c>
      <c r="D698" s="28" t="s">
        <v>22</v>
      </c>
      <c r="E698" s="32">
        <v>4653</v>
      </c>
      <c r="F698" s="29">
        <f t="shared" si="33"/>
        <v>0</v>
      </c>
      <c r="G698" s="29">
        <v>0</v>
      </c>
      <c r="H698" s="30">
        <f t="shared" si="32"/>
        <v>0</v>
      </c>
      <c r="I698" s="28" t="s">
        <v>1382</v>
      </c>
    </row>
    <row r="699" ht="54.75" customHeight="1">
      <c r="A699" s="28" t="s">
        <v>422</v>
      </c>
      <c r="B699" s="27" t="s">
        <v>1383</v>
      </c>
      <c r="D699" s="28" t="s">
        <v>1167</v>
      </c>
      <c r="E699" s="32">
        <v>28998</v>
      </c>
      <c r="F699" s="29">
        <f t="shared" si="33"/>
        <v>0</v>
      </c>
      <c r="G699" s="29">
        <v>0</v>
      </c>
      <c r="H699" s="30">
        <f t="shared" si="32"/>
        <v>0</v>
      </c>
      <c r="I699" s="28" t="s">
        <v>1384</v>
      </c>
    </row>
    <row r="700" ht="102">
      <c r="A700" s="32">
        <v>3624</v>
      </c>
      <c r="B700" s="27" t="s">
        <v>1385</v>
      </c>
      <c r="D700" s="28" t="s">
        <v>1167</v>
      </c>
      <c r="E700" s="32">
        <v>7930</v>
      </c>
      <c r="F700" s="29">
        <f t="shared" si="33"/>
        <v>0</v>
      </c>
      <c r="G700" s="29">
        <v>0</v>
      </c>
      <c r="H700" s="30">
        <f t="shared" si="32"/>
        <v>0</v>
      </c>
      <c r="I700" s="32" t="s">
        <v>1386</v>
      </c>
    </row>
    <row r="701" ht="25.5">
      <c r="A701" s="32">
        <v>3625</v>
      </c>
      <c r="B701" s="27" t="s">
        <v>1387</v>
      </c>
      <c r="D701" s="28"/>
      <c r="E701" s="28"/>
      <c r="F701" s="29">
        <f t="shared" si="33"/>
        <v>0</v>
      </c>
      <c r="G701" s="29">
        <v>0</v>
      </c>
      <c r="H701" s="30">
        <f t="shared" si="32"/>
        <v>0</v>
      </c>
      <c r="I701" s="32" t="s">
        <v>1388</v>
      </c>
    </row>
    <row r="702" ht="25.5">
      <c r="A702" s="28" t="s">
        <v>20</v>
      </c>
      <c r="B702" s="27" t="s">
        <v>1389</v>
      </c>
      <c r="D702" s="28" t="s">
        <v>22</v>
      </c>
      <c r="E702" s="32">
        <v>9735</v>
      </c>
      <c r="F702" s="29">
        <f t="shared" si="33"/>
        <v>0</v>
      </c>
      <c r="G702" s="29">
        <v>0</v>
      </c>
      <c r="H702" s="30">
        <f t="shared" si="32"/>
        <v>0</v>
      </c>
      <c r="I702" s="28" t="s">
        <v>1390</v>
      </c>
    </row>
    <row r="703" ht="25.5">
      <c r="A703" s="28" t="s">
        <v>24</v>
      </c>
      <c r="B703" s="27" t="s">
        <v>1391</v>
      </c>
      <c r="D703" s="28" t="s">
        <v>375</v>
      </c>
      <c r="E703" s="32">
        <v>44781</v>
      </c>
      <c r="F703" s="29">
        <f t="shared" si="33"/>
        <v>0</v>
      </c>
      <c r="G703" s="29">
        <v>0</v>
      </c>
      <c r="H703" s="30">
        <f t="shared" si="32"/>
        <v>0</v>
      </c>
      <c r="I703" s="28" t="s">
        <v>1392</v>
      </c>
    </row>
    <row r="704">
      <c r="A704" s="28"/>
      <c r="B704" s="28"/>
      <c r="C704" s="28"/>
      <c r="D704" s="28"/>
      <c r="E704" s="28"/>
      <c r="F704" s="28"/>
      <c r="G704" s="28"/>
      <c r="H704" s="28"/>
      <c r="I704" s="28"/>
    </row>
    <row r="705">
      <c r="A705" s="28" t="s">
        <v>1393</v>
      </c>
      <c r="B705" s="28"/>
      <c r="C705" s="28"/>
      <c r="D705" s="28"/>
      <c r="E705" s="28"/>
      <c r="F705" s="28"/>
      <c r="G705" s="28"/>
      <c r="H705" s="28"/>
    </row>
    <row r="706" ht="191.25">
      <c r="A706" s="32">
        <v>3701</v>
      </c>
      <c r="B706" s="27" t="s">
        <v>1394</v>
      </c>
      <c r="D706" s="28" t="s">
        <v>30</v>
      </c>
      <c r="E706" s="32">
        <v>8408</v>
      </c>
      <c r="F706" s="29">
        <f>C706*E706</f>
        <v>0</v>
      </c>
      <c r="G706" s="29">
        <v>0</v>
      </c>
      <c r="H706" s="30">
        <f>SUM(F706:G706)</f>
        <v>0</v>
      </c>
      <c r="I706" s="32" t="s">
        <v>1395</v>
      </c>
    </row>
    <row r="707" s="7" customFormat="1" ht="255">
      <c r="A707" s="69">
        <v>3702</v>
      </c>
      <c r="B707" s="70" t="s">
        <v>1396</v>
      </c>
      <c r="C707" s="71"/>
      <c r="D707" s="72" t="s">
        <v>30</v>
      </c>
      <c r="E707" s="69">
        <v>37152</v>
      </c>
      <c r="F707" s="73">
        <f>C707*E707</f>
        <v>0</v>
      </c>
      <c r="G707" s="73">
        <v>0</v>
      </c>
      <c r="H707" s="74">
        <f>SUM(F707:G707)</f>
        <v>0</v>
      </c>
      <c r="I707" s="32" t="s">
        <v>1397</v>
      </c>
    </row>
    <row r="708" ht="25.5">
      <c r="A708" s="32">
        <v>3703</v>
      </c>
      <c r="B708" s="27" t="s">
        <v>1398</v>
      </c>
      <c r="D708" s="28" t="s">
        <v>30</v>
      </c>
      <c r="E708" s="32">
        <v>55166</v>
      </c>
      <c r="F708" s="29">
        <f>C708*E708</f>
        <v>0</v>
      </c>
      <c r="G708" s="29">
        <v>0</v>
      </c>
      <c r="H708" s="30">
        <f>SUM(F708:G708)</f>
        <v>0</v>
      </c>
      <c r="I708" s="32" t="s">
        <v>1399</v>
      </c>
    </row>
    <row r="709" ht="25.5">
      <c r="A709" s="32">
        <v>3704</v>
      </c>
      <c r="B709" s="27" t="s">
        <v>1400</v>
      </c>
      <c r="D709" s="28" t="s">
        <v>30</v>
      </c>
      <c r="E709" s="32">
        <v>29127</v>
      </c>
      <c r="F709" s="29">
        <f>C709*E709</f>
        <v>0</v>
      </c>
      <c r="G709" s="29">
        <v>0</v>
      </c>
      <c r="H709" s="30">
        <f>SUM(F709:G709)</f>
        <v>0</v>
      </c>
      <c r="I709" s="32" t="s">
        <v>1401</v>
      </c>
    </row>
    <row r="710" ht="102">
      <c r="A710" s="32">
        <v>3705</v>
      </c>
      <c r="B710" s="27" t="s">
        <v>1402</v>
      </c>
      <c r="D710" s="28" t="s">
        <v>22</v>
      </c>
      <c r="E710" s="32">
        <v>9564</v>
      </c>
      <c r="F710" s="29">
        <f>C710*E710</f>
        <v>0</v>
      </c>
      <c r="G710" s="29">
        <v>0</v>
      </c>
      <c r="H710" s="30">
        <f>SUM(F710:G710)</f>
        <v>0</v>
      </c>
      <c r="I710" s="32" t="s">
        <v>1403</v>
      </c>
    </row>
    <row r="711">
      <c r="A711" s="32"/>
      <c r="B711" s="32"/>
      <c r="C711" s="32"/>
      <c r="D711" s="32"/>
      <c r="E711" s="32"/>
      <c r="F711" s="32"/>
      <c r="G711" s="32"/>
      <c r="H711" s="32"/>
      <c r="I711" s="32"/>
    </row>
    <row r="712">
      <c r="A712" s="28" t="s">
        <v>1404</v>
      </c>
      <c r="B712" s="28"/>
      <c r="C712" s="28"/>
      <c r="D712" s="28"/>
      <c r="E712" s="28"/>
      <c r="F712" s="28"/>
      <c r="G712" s="28"/>
      <c r="H712" s="28"/>
    </row>
    <row r="713" ht="127.5">
      <c r="A713" s="38">
        <v>3801</v>
      </c>
      <c r="B713" s="27" t="s">
        <v>1405</v>
      </c>
      <c r="D713" s="28" t="s">
        <v>1406</v>
      </c>
      <c r="E713" s="32">
        <v>555</v>
      </c>
      <c r="F713" s="29">
        <f>C713*E713</f>
        <v>0</v>
      </c>
      <c r="G713" s="29">
        <v>0</v>
      </c>
      <c r="H713" s="30">
        <f>SUM(F713:G713)</f>
        <v>0</v>
      </c>
      <c r="I713" s="32" t="s">
        <v>1407</v>
      </c>
    </row>
    <row r="714" ht="76.5">
      <c r="A714" s="38">
        <v>3802</v>
      </c>
      <c r="B714" s="27" t="s">
        <v>1408</v>
      </c>
      <c r="D714" s="28" t="s">
        <v>22</v>
      </c>
      <c r="E714" s="32">
        <v>386</v>
      </c>
      <c r="F714" s="29">
        <f>C714*E714</f>
        <v>0</v>
      </c>
      <c r="G714" s="29">
        <v>0</v>
      </c>
      <c r="H714" s="30">
        <f>SUM(F714:G714)</f>
        <v>0</v>
      </c>
      <c r="I714" s="32" t="s">
        <v>1409</v>
      </c>
    </row>
    <row r="715">
      <c r="A715" s="38"/>
      <c r="B715" s="38"/>
      <c r="C715" s="38"/>
      <c r="D715" s="38"/>
      <c r="E715" s="38"/>
      <c r="F715" s="38"/>
      <c r="G715" s="38"/>
      <c r="H715" s="38"/>
      <c r="I715" s="38"/>
    </row>
    <row r="716" ht="12.75" customHeight="1">
      <c r="A716" s="75" t="s">
        <v>1410</v>
      </c>
      <c r="B716" s="75"/>
      <c r="C716" s="75"/>
      <c r="D716" s="75"/>
      <c r="E716" s="75"/>
      <c r="F716" s="75"/>
      <c r="G716" s="75"/>
      <c r="H716" s="75"/>
      <c r="I716" s="75"/>
    </row>
    <row r="717" ht="140.25">
      <c r="A717" s="38">
        <v>3901</v>
      </c>
      <c r="B717" s="36" t="s">
        <v>1411</v>
      </c>
      <c r="C717" s="28"/>
      <c r="E717" s="28"/>
      <c r="F717" s="28"/>
      <c r="G717" s="28"/>
      <c r="H717" s="28"/>
      <c r="I717" s="32" t="s">
        <v>1412</v>
      </c>
    </row>
    <row r="718" ht="25.5">
      <c r="A718" s="28" t="s">
        <v>20</v>
      </c>
      <c r="B718" s="36" t="s">
        <v>1413</v>
      </c>
      <c r="C718" s="28"/>
      <c r="D718" s="17" t="s">
        <v>30</v>
      </c>
      <c r="E718" s="32">
        <v>16976</v>
      </c>
      <c r="F718" s="29">
        <f t="shared" ref="F718:F725" si="34">C718*E718</f>
        <v>0</v>
      </c>
      <c r="G718" s="29">
        <v>0</v>
      </c>
      <c r="H718" s="30">
        <f t="shared" ref="H718:H781" si="35">SUM(F718:G718)</f>
        <v>0</v>
      </c>
      <c r="I718" s="28" t="s">
        <v>1414</v>
      </c>
    </row>
    <row r="719" ht="25.5">
      <c r="A719" s="28" t="s">
        <v>24</v>
      </c>
      <c r="B719" s="36" t="s">
        <v>1415</v>
      </c>
      <c r="C719" s="28"/>
      <c r="D719" s="17" t="s">
        <v>30</v>
      </c>
      <c r="E719" s="32">
        <v>20044</v>
      </c>
      <c r="F719" s="29">
        <f t="shared" si="34"/>
        <v>0</v>
      </c>
      <c r="G719" s="29">
        <v>0</v>
      </c>
      <c r="H719" s="30">
        <f t="shared" si="35"/>
        <v>0</v>
      </c>
      <c r="I719" s="28" t="s">
        <v>1416</v>
      </c>
    </row>
    <row r="720" ht="25.5">
      <c r="A720" s="28" t="s">
        <v>42</v>
      </c>
      <c r="B720" s="36" t="s">
        <v>1417</v>
      </c>
      <c r="C720" s="28"/>
      <c r="D720" s="17" t="s">
        <v>30</v>
      </c>
      <c r="E720" s="32">
        <v>31950</v>
      </c>
      <c r="F720" s="29">
        <f t="shared" si="34"/>
        <v>0</v>
      </c>
      <c r="G720" s="29">
        <v>0</v>
      </c>
      <c r="H720" s="30">
        <f t="shared" si="35"/>
        <v>0</v>
      </c>
      <c r="I720" s="28" t="s">
        <v>1418</v>
      </c>
    </row>
    <row r="721" ht="25.5">
      <c r="A721" s="28" t="s">
        <v>69</v>
      </c>
      <c r="B721" s="36" t="s">
        <v>1419</v>
      </c>
      <c r="C721" s="28"/>
      <c r="D721" s="17" t="s">
        <v>30</v>
      </c>
      <c r="E721" s="32">
        <v>54010</v>
      </c>
      <c r="F721" s="29">
        <f t="shared" si="34"/>
        <v>0</v>
      </c>
      <c r="G721" s="29">
        <v>0</v>
      </c>
      <c r="H721" s="30">
        <f t="shared" si="35"/>
        <v>0</v>
      </c>
      <c r="I721" s="28" t="s">
        <v>1420</v>
      </c>
    </row>
    <row r="722" ht="25.5">
      <c r="A722" s="28" t="s">
        <v>72</v>
      </c>
      <c r="B722" s="36" t="s">
        <v>1421</v>
      </c>
      <c r="C722" s="28"/>
      <c r="D722" s="17" t="s">
        <v>30</v>
      </c>
      <c r="E722" s="32">
        <v>64329</v>
      </c>
      <c r="F722" s="29">
        <f t="shared" si="34"/>
        <v>0</v>
      </c>
      <c r="G722" s="29">
        <v>0</v>
      </c>
      <c r="H722" s="30">
        <f t="shared" si="35"/>
        <v>0</v>
      </c>
      <c r="I722" s="28" t="s">
        <v>1422</v>
      </c>
    </row>
    <row r="723" ht="25.5">
      <c r="A723" s="28" t="s">
        <v>75</v>
      </c>
      <c r="B723" s="36" t="s">
        <v>1423</v>
      </c>
      <c r="C723" s="28"/>
      <c r="D723" s="17" t="s">
        <v>30</v>
      </c>
      <c r="E723" s="32">
        <v>76115</v>
      </c>
      <c r="F723" s="29">
        <f t="shared" si="34"/>
        <v>0</v>
      </c>
      <c r="G723" s="29">
        <v>0</v>
      </c>
      <c r="H723" s="30">
        <f t="shared" si="35"/>
        <v>0</v>
      </c>
      <c r="I723" s="28" t="s">
        <v>1424</v>
      </c>
    </row>
    <row r="724" ht="25.5">
      <c r="A724" s="28" t="s">
        <v>204</v>
      </c>
      <c r="B724" s="36" t="s">
        <v>1425</v>
      </c>
      <c r="C724" s="28"/>
      <c r="D724" s="17" t="s">
        <v>30</v>
      </c>
      <c r="E724" s="32">
        <v>80280</v>
      </c>
      <c r="F724" s="29">
        <f t="shared" si="34"/>
        <v>0</v>
      </c>
      <c r="G724" s="29">
        <v>0</v>
      </c>
      <c r="H724" s="30">
        <f t="shared" si="35"/>
        <v>0</v>
      </c>
      <c r="I724" s="28" t="s">
        <v>1426</v>
      </c>
    </row>
    <row r="725" ht="25.5">
      <c r="A725" s="28" t="s">
        <v>419</v>
      </c>
      <c r="B725" s="36" t="s">
        <v>1427</v>
      </c>
      <c r="C725" s="28"/>
      <c r="D725" s="17" t="s">
        <v>30</v>
      </c>
      <c r="E725" s="32">
        <v>6669</v>
      </c>
      <c r="F725" s="29">
        <f t="shared" si="34"/>
        <v>0</v>
      </c>
      <c r="G725" s="29">
        <v>0</v>
      </c>
      <c r="H725" s="30">
        <f t="shared" si="35"/>
        <v>0</v>
      </c>
      <c r="I725" s="28" t="s">
        <v>1428</v>
      </c>
    </row>
    <row r="726" ht="145.5" customHeight="1">
      <c r="A726" s="38">
        <v>3902</v>
      </c>
      <c r="B726" s="36" t="s">
        <v>1429</v>
      </c>
      <c r="C726" s="28"/>
      <c r="E726" s="28"/>
      <c r="F726" s="29"/>
      <c r="G726" s="29"/>
      <c r="H726" s="30"/>
      <c r="I726" s="32" t="s">
        <v>1430</v>
      </c>
    </row>
    <row r="727" ht="25.5">
      <c r="A727" s="28" t="s">
        <v>20</v>
      </c>
      <c r="B727" s="36" t="s">
        <v>1413</v>
      </c>
      <c r="C727" s="28"/>
      <c r="D727" s="17" t="s">
        <v>30</v>
      </c>
      <c r="E727" s="32">
        <v>8110</v>
      </c>
      <c r="F727" s="29">
        <f t="shared" ref="F727:F735" si="36">C727*E727</f>
        <v>0</v>
      </c>
      <c r="G727" s="29">
        <v>0</v>
      </c>
      <c r="H727" s="30">
        <f t="shared" si="35"/>
        <v>0</v>
      </c>
      <c r="I727" s="28" t="s">
        <v>1431</v>
      </c>
    </row>
    <row r="728" ht="25.5">
      <c r="A728" s="28" t="s">
        <v>24</v>
      </c>
      <c r="B728" s="36" t="s">
        <v>1415</v>
      </c>
      <c r="C728" s="28"/>
      <c r="D728" s="17" t="s">
        <v>30</v>
      </c>
      <c r="E728" s="32">
        <v>10386</v>
      </c>
      <c r="F728" s="29">
        <f t="shared" si="36"/>
        <v>0</v>
      </c>
      <c r="G728" s="29">
        <v>0</v>
      </c>
      <c r="H728" s="30">
        <f t="shared" si="35"/>
        <v>0</v>
      </c>
      <c r="I728" s="28" t="s">
        <v>1432</v>
      </c>
    </row>
    <row r="729" ht="25.5">
      <c r="A729" s="28" t="s">
        <v>42</v>
      </c>
      <c r="B729" s="36" t="s">
        <v>1417</v>
      </c>
      <c r="C729" s="28"/>
      <c r="D729" s="17" t="s">
        <v>30</v>
      </c>
      <c r="E729" s="32">
        <v>17070</v>
      </c>
      <c r="F729" s="29">
        <f t="shared" si="36"/>
        <v>0</v>
      </c>
      <c r="G729" s="29">
        <v>0</v>
      </c>
      <c r="H729" s="30">
        <f t="shared" si="35"/>
        <v>0</v>
      </c>
      <c r="I729" s="28" t="s">
        <v>1433</v>
      </c>
    </row>
    <row r="730" ht="25.5">
      <c r="A730" s="28" t="s">
        <v>69</v>
      </c>
      <c r="B730" s="36" t="s">
        <v>1419</v>
      </c>
      <c r="C730" s="28"/>
      <c r="D730" s="17" t="s">
        <v>30</v>
      </c>
      <c r="E730" s="32">
        <v>28159</v>
      </c>
      <c r="F730" s="29">
        <f t="shared" si="36"/>
        <v>0</v>
      </c>
      <c r="G730" s="29">
        <v>0</v>
      </c>
      <c r="H730" s="30">
        <f t="shared" si="35"/>
        <v>0</v>
      </c>
      <c r="I730" s="28" t="s">
        <v>1434</v>
      </c>
    </row>
    <row r="731" ht="25.5">
      <c r="A731" s="28" t="s">
        <v>72</v>
      </c>
      <c r="B731" s="36" t="s">
        <v>1421</v>
      </c>
      <c r="C731" s="28"/>
      <c r="D731" s="17" t="s">
        <v>30</v>
      </c>
      <c r="E731" s="32">
        <v>30436</v>
      </c>
      <c r="F731" s="29">
        <f t="shared" si="36"/>
        <v>0</v>
      </c>
      <c r="G731" s="29">
        <v>0</v>
      </c>
      <c r="H731" s="30">
        <f t="shared" si="35"/>
        <v>0</v>
      </c>
      <c r="I731" s="28" t="s">
        <v>1435</v>
      </c>
    </row>
    <row r="732" ht="25.5">
      <c r="A732" s="28" t="s">
        <v>75</v>
      </c>
      <c r="B732" s="36" t="s">
        <v>1423</v>
      </c>
      <c r="C732" s="28"/>
      <c r="D732" s="17" t="s">
        <v>30</v>
      </c>
      <c r="E732" s="32">
        <v>31978</v>
      </c>
      <c r="F732" s="29">
        <f t="shared" si="36"/>
        <v>0</v>
      </c>
      <c r="G732" s="29">
        <v>0</v>
      </c>
      <c r="H732" s="30">
        <f t="shared" si="35"/>
        <v>0</v>
      </c>
      <c r="I732" s="28" t="s">
        <v>1436</v>
      </c>
    </row>
    <row r="733" ht="25.5">
      <c r="A733" s="28" t="s">
        <v>204</v>
      </c>
      <c r="B733" s="36" t="s">
        <v>1425</v>
      </c>
      <c r="C733" s="28"/>
      <c r="D733" s="17" t="s">
        <v>30</v>
      </c>
      <c r="E733" s="32">
        <v>34254</v>
      </c>
      <c r="F733" s="29">
        <f t="shared" si="36"/>
        <v>0</v>
      </c>
      <c r="G733" s="29">
        <v>0</v>
      </c>
      <c r="H733" s="30">
        <f t="shared" si="35"/>
        <v>0</v>
      </c>
      <c r="I733" s="28" t="s">
        <v>1437</v>
      </c>
    </row>
    <row r="734" ht="25.5">
      <c r="A734" s="28" t="s">
        <v>419</v>
      </c>
      <c r="B734" s="36" t="s">
        <v>1438</v>
      </c>
      <c r="C734" s="28"/>
      <c r="D734" s="17" t="s">
        <v>30</v>
      </c>
      <c r="E734" s="32">
        <v>4512</v>
      </c>
      <c r="F734" s="29">
        <f t="shared" si="36"/>
        <v>0</v>
      </c>
      <c r="G734" s="29">
        <v>0</v>
      </c>
      <c r="H734" s="30">
        <f t="shared" si="35"/>
        <v>0</v>
      </c>
      <c r="I734" s="28" t="s">
        <v>1439</v>
      </c>
    </row>
    <row r="735" ht="140.25">
      <c r="A735" s="38">
        <v>3903</v>
      </c>
      <c r="B735" s="36" t="s">
        <v>1440</v>
      </c>
      <c r="C735" s="28"/>
      <c r="D735" s="28" t="s">
        <v>1441</v>
      </c>
      <c r="E735" s="44">
        <v>1000</v>
      </c>
      <c r="F735" s="29">
        <f t="shared" si="36"/>
        <v>0</v>
      </c>
      <c r="G735" s="29">
        <v>0</v>
      </c>
      <c r="H735" s="30">
        <f t="shared" si="35"/>
        <v>0</v>
      </c>
      <c r="I735" s="32" t="s">
        <v>1442</v>
      </c>
    </row>
    <row r="736" ht="246" customHeight="1">
      <c r="A736" s="38">
        <v>3904</v>
      </c>
      <c r="B736" s="36" t="s">
        <v>1443</v>
      </c>
      <c r="C736" s="28"/>
      <c r="E736" s="28"/>
      <c r="F736" s="29"/>
      <c r="G736" s="29"/>
      <c r="H736" s="30"/>
      <c r="I736" s="32" t="s">
        <v>1444</v>
      </c>
    </row>
    <row r="737" ht="25.5">
      <c r="A737" s="28" t="s">
        <v>20</v>
      </c>
      <c r="B737" s="36" t="s">
        <v>1445</v>
      </c>
      <c r="C737" s="28"/>
      <c r="D737" s="17" t="s">
        <v>30</v>
      </c>
      <c r="E737" s="32">
        <v>55611</v>
      </c>
      <c r="F737" s="29">
        <f t="shared" ref="F737:F753" si="37">C737*E737</f>
        <v>0</v>
      </c>
      <c r="G737" s="29">
        <v>0</v>
      </c>
      <c r="H737" s="30">
        <f t="shared" si="35"/>
        <v>0</v>
      </c>
      <c r="I737" s="28" t="s">
        <v>1446</v>
      </c>
    </row>
    <row r="738" ht="25.5">
      <c r="A738" s="28" t="s">
        <v>24</v>
      </c>
      <c r="B738" s="36" t="s">
        <v>1447</v>
      </c>
      <c r="C738" s="28"/>
      <c r="D738" s="17" t="s">
        <v>30</v>
      </c>
      <c r="E738" s="32">
        <v>66799</v>
      </c>
      <c r="F738" s="29">
        <f t="shared" si="37"/>
        <v>0</v>
      </c>
      <c r="G738" s="29">
        <v>0</v>
      </c>
      <c r="H738" s="30">
        <f t="shared" si="35"/>
        <v>0</v>
      </c>
      <c r="I738" s="28" t="s">
        <v>1448</v>
      </c>
    </row>
    <row r="739" ht="25.5">
      <c r="A739" s="28" t="s">
        <v>42</v>
      </c>
      <c r="B739" s="36" t="s">
        <v>1449</v>
      </c>
      <c r="C739" s="28"/>
      <c r="D739" s="17" t="s">
        <v>30</v>
      </c>
      <c r="E739" s="32">
        <v>89345</v>
      </c>
      <c r="F739" s="29">
        <f t="shared" si="37"/>
        <v>0</v>
      </c>
      <c r="G739" s="29">
        <v>0</v>
      </c>
      <c r="H739" s="30">
        <f t="shared" si="35"/>
        <v>0</v>
      </c>
      <c r="I739" s="28" t="s">
        <v>1450</v>
      </c>
    </row>
    <row r="740" ht="25.5">
      <c r="A740" s="28" t="s">
        <v>69</v>
      </c>
      <c r="B740" s="36" t="s">
        <v>1451</v>
      </c>
      <c r="C740" s="28"/>
      <c r="D740" s="17" t="s">
        <v>30</v>
      </c>
      <c r="E740" s="32">
        <v>116448</v>
      </c>
      <c r="F740" s="29">
        <f t="shared" si="37"/>
        <v>0</v>
      </c>
      <c r="G740" s="29">
        <v>0</v>
      </c>
      <c r="H740" s="30">
        <f t="shared" si="35"/>
        <v>0</v>
      </c>
      <c r="I740" s="28" t="s">
        <v>1452</v>
      </c>
    </row>
    <row r="741" ht="25.5">
      <c r="A741" s="28" t="s">
        <v>72</v>
      </c>
      <c r="B741" s="36" t="s">
        <v>1453</v>
      </c>
      <c r="C741" s="28"/>
      <c r="D741" s="17" t="s">
        <v>30</v>
      </c>
      <c r="E741" s="32">
        <v>131648</v>
      </c>
      <c r="F741" s="29">
        <f t="shared" si="37"/>
        <v>0</v>
      </c>
      <c r="G741" s="29">
        <v>0</v>
      </c>
      <c r="H741" s="30">
        <f t="shared" si="35"/>
        <v>0</v>
      </c>
      <c r="I741" s="28" t="s">
        <v>1454</v>
      </c>
    </row>
    <row r="742" ht="25.5">
      <c r="A742" s="28" t="s">
        <v>75</v>
      </c>
      <c r="B742" s="36" t="s">
        <v>1455</v>
      </c>
      <c r="C742" s="28"/>
      <c r="D742" s="17" t="s">
        <v>30</v>
      </c>
      <c r="E742" s="32">
        <v>146238</v>
      </c>
      <c r="F742" s="29">
        <f t="shared" si="37"/>
        <v>0</v>
      </c>
      <c r="G742" s="29">
        <v>0</v>
      </c>
      <c r="H742" s="30">
        <f t="shared" si="35"/>
        <v>0</v>
      </c>
      <c r="I742" s="28" t="s">
        <v>1456</v>
      </c>
    </row>
    <row r="743" ht="27" customHeight="1">
      <c r="A743" s="28" t="s">
        <v>204</v>
      </c>
      <c r="B743" s="36" t="s">
        <v>1457</v>
      </c>
      <c r="C743" s="28"/>
      <c r="D743" s="17" t="s">
        <v>30</v>
      </c>
      <c r="E743" s="32">
        <v>155906</v>
      </c>
      <c r="F743" s="29">
        <f t="shared" si="37"/>
        <v>0</v>
      </c>
      <c r="G743" s="29">
        <v>0</v>
      </c>
      <c r="H743" s="30">
        <f t="shared" si="35"/>
        <v>0</v>
      </c>
      <c r="I743" s="28" t="s">
        <v>1458</v>
      </c>
    </row>
    <row r="744" ht="24" customHeight="1">
      <c r="A744" s="28" t="s">
        <v>419</v>
      </c>
      <c r="B744" s="36" t="s">
        <v>1459</v>
      </c>
      <c r="C744" s="28"/>
      <c r="D744" s="17" t="s">
        <v>30</v>
      </c>
      <c r="E744" s="32">
        <v>41465</v>
      </c>
      <c r="F744" s="29">
        <f t="shared" si="37"/>
        <v>0</v>
      </c>
      <c r="G744" s="29">
        <v>0</v>
      </c>
      <c r="H744" s="30">
        <f t="shared" si="35"/>
        <v>0</v>
      </c>
      <c r="I744" s="28" t="s">
        <v>1460</v>
      </c>
    </row>
    <row r="745" ht="114.75">
      <c r="A745" s="38">
        <v>3905</v>
      </c>
      <c r="B745" s="36" t="s">
        <v>1461</v>
      </c>
      <c r="C745" s="28"/>
      <c r="E745" s="28"/>
      <c r="F745" s="29">
        <f t="shared" si="37"/>
        <v>0</v>
      </c>
      <c r="G745" s="29">
        <v>0</v>
      </c>
      <c r="H745" s="30">
        <f t="shared" si="35"/>
        <v>0</v>
      </c>
      <c r="I745" s="32" t="s">
        <v>1462</v>
      </c>
    </row>
    <row r="746" ht="25.5">
      <c r="A746" s="28" t="s">
        <v>20</v>
      </c>
      <c r="B746" s="36" t="s">
        <v>1413</v>
      </c>
      <c r="C746" s="28"/>
      <c r="D746" s="17" t="s">
        <v>30</v>
      </c>
      <c r="E746" s="32">
        <v>4599</v>
      </c>
      <c r="F746" s="29">
        <f t="shared" si="37"/>
        <v>0</v>
      </c>
      <c r="G746" s="29">
        <v>0</v>
      </c>
      <c r="H746" s="30">
        <f t="shared" si="35"/>
        <v>0</v>
      </c>
      <c r="I746" s="28" t="s">
        <v>1463</v>
      </c>
    </row>
    <row r="747" ht="25.5">
      <c r="A747" s="28" t="s">
        <v>24</v>
      </c>
      <c r="B747" s="36" t="s">
        <v>1415</v>
      </c>
      <c r="C747" s="28"/>
      <c r="D747" s="17" t="s">
        <v>30</v>
      </c>
      <c r="E747" s="32">
        <v>5225</v>
      </c>
      <c r="F747" s="29">
        <f t="shared" si="37"/>
        <v>0</v>
      </c>
      <c r="G747" s="29">
        <v>0</v>
      </c>
      <c r="H747" s="30">
        <f t="shared" si="35"/>
        <v>0</v>
      </c>
      <c r="I747" s="28" t="s">
        <v>1464</v>
      </c>
    </row>
    <row r="748" ht="25.5">
      <c r="A748" s="28" t="s">
        <v>42</v>
      </c>
      <c r="B748" s="36" t="s">
        <v>1417</v>
      </c>
      <c r="C748" s="28"/>
      <c r="D748" s="17" t="s">
        <v>30</v>
      </c>
      <c r="E748" s="32">
        <v>10145</v>
      </c>
      <c r="F748" s="29">
        <f t="shared" si="37"/>
        <v>0</v>
      </c>
      <c r="G748" s="29">
        <v>0</v>
      </c>
      <c r="H748" s="30">
        <f t="shared" si="35"/>
        <v>0</v>
      </c>
      <c r="I748" s="28" t="s">
        <v>1465</v>
      </c>
    </row>
    <row r="749" ht="25.5">
      <c r="A749" s="28" t="s">
        <v>69</v>
      </c>
      <c r="B749" s="36" t="s">
        <v>1419</v>
      </c>
      <c r="C749" s="28"/>
      <c r="D749" s="17" t="s">
        <v>30</v>
      </c>
      <c r="E749" s="32">
        <v>20574</v>
      </c>
      <c r="F749" s="29">
        <f t="shared" si="37"/>
        <v>0</v>
      </c>
      <c r="G749" s="29">
        <v>0</v>
      </c>
      <c r="H749" s="30">
        <f t="shared" si="35"/>
        <v>0</v>
      </c>
      <c r="I749" s="28" t="s">
        <v>1466</v>
      </c>
    </row>
    <row r="750" ht="25.5">
      <c r="A750" s="28" t="s">
        <v>72</v>
      </c>
      <c r="B750" s="36" t="s">
        <v>1421</v>
      </c>
      <c r="C750" s="28"/>
      <c r="D750" s="17" t="s">
        <v>30</v>
      </c>
      <c r="E750" s="32">
        <v>22865</v>
      </c>
      <c r="F750" s="29">
        <f t="shared" si="37"/>
        <v>0</v>
      </c>
      <c r="G750" s="29">
        <v>0</v>
      </c>
      <c r="H750" s="30">
        <f t="shared" si="35"/>
        <v>0</v>
      </c>
      <c r="I750" s="28" t="s">
        <v>1467</v>
      </c>
    </row>
    <row r="751" ht="25.5">
      <c r="A751" s="28" t="s">
        <v>75</v>
      </c>
      <c r="B751" s="36" t="s">
        <v>1423</v>
      </c>
      <c r="C751" s="28"/>
      <c r="D751" s="17" t="s">
        <v>30</v>
      </c>
      <c r="E751" s="32">
        <v>25185</v>
      </c>
      <c r="F751" s="29">
        <f t="shared" si="37"/>
        <v>0</v>
      </c>
      <c r="G751" s="29">
        <v>0</v>
      </c>
      <c r="H751" s="30">
        <f t="shared" si="35"/>
        <v>0</v>
      </c>
      <c r="I751" s="28" t="s">
        <v>1468</v>
      </c>
    </row>
    <row r="752" ht="25.5">
      <c r="A752" s="28" t="s">
        <v>204</v>
      </c>
      <c r="B752" s="36" t="s">
        <v>1425</v>
      </c>
      <c r="C752" s="28"/>
      <c r="D752" s="17" t="s">
        <v>30</v>
      </c>
      <c r="E752" s="32">
        <v>26714</v>
      </c>
      <c r="F752" s="29">
        <f t="shared" si="37"/>
        <v>0</v>
      </c>
      <c r="G752" s="29">
        <v>0</v>
      </c>
      <c r="H752" s="30">
        <f t="shared" si="35"/>
        <v>0</v>
      </c>
      <c r="I752" s="28" t="s">
        <v>1469</v>
      </c>
    </row>
    <row r="753" ht="25.5">
      <c r="A753" s="28" t="s">
        <v>419</v>
      </c>
      <c r="B753" s="36" t="s">
        <v>1427</v>
      </c>
      <c r="C753" s="28"/>
      <c r="D753" s="17" t="s">
        <v>30</v>
      </c>
      <c r="E753" s="32">
        <v>2581</v>
      </c>
      <c r="F753" s="29">
        <f t="shared" si="37"/>
        <v>0</v>
      </c>
      <c r="G753" s="29">
        <v>0</v>
      </c>
      <c r="H753" s="30">
        <f t="shared" si="35"/>
        <v>0</v>
      </c>
      <c r="I753" s="28" t="s">
        <v>1470</v>
      </c>
    </row>
    <row r="754" ht="102">
      <c r="A754" s="38">
        <v>3906</v>
      </c>
      <c r="B754" s="36" t="s">
        <v>1471</v>
      </c>
      <c r="C754" s="28"/>
      <c r="E754" s="28"/>
      <c r="F754" s="29"/>
      <c r="G754" s="29"/>
      <c r="H754" s="30"/>
      <c r="I754" s="32" t="s">
        <v>1472</v>
      </c>
    </row>
    <row r="755" ht="25.5">
      <c r="A755" s="28" t="s">
        <v>20</v>
      </c>
      <c r="B755" s="36" t="s">
        <v>1413</v>
      </c>
      <c r="C755" s="28"/>
      <c r="D755" s="17" t="s">
        <v>30</v>
      </c>
      <c r="E755" s="32">
        <v>4563</v>
      </c>
      <c r="F755" s="29">
        <v>0</v>
      </c>
      <c r="G755" s="29">
        <v>0</v>
      </c>
      <c r="H755" s="30">
        <f t="shared" si="35"/>
        <v>0</v>
      </c>
      <c r="I755" s="28" t="s">
        <v>1473</v>
      </c>
    </row>
    <row r="756" ht="25.5">
      <c r="A756" s="28" t="s">
        <v>24</v>
      </c>
      <c r="B756" s="36" t="s">
        <v>1415</v>
      </c>
      <c r="C756" s="28"/>
      <c r="D756" s="17" t="s">
        <v>30</v>
      </c>
      <c r="E756" s="32">
        <v>5519</v>
      </c>
      <c r="F756" s="29">
        <f t="shared" ref="F756:F787" si="38">C756*E756</f>
        <v>0</v>
      </c>
      <c r="G756" s="29">
        <v>0</v>
      </c>
      <c r="H756" s="30">
        <f t="shared" si="35"/>
        <v>0</v>
      </c>
      <c r="I756" s="28" t="s">
        <v>1474</v>
      </c>
    </row>
    <row r="757" ht="25.5">
      <c r="A757" s="28" t="s">
        <v>42</v>
      </c>
      <c r="B757" s="36" t="s">
        <v>1417</v>
      </c>
      <c r="C757" s="28"/>
      <c r="D757" s="17" t="s">
        <v>30</v>
      </c>
      <c r="E757" s="32">
        <v>8676</v>
      </c>
      <c r="F757" s="29">
        <f t="shared" si="38"/>
        <v>0</v>
      </c>
      <c r="G757" s="29">
        <v>0</v>
      </c>
      <c r="H757" s="30">
        <f t="shared" si="35"/>
        <v>0</v>
      </c>
      <c r="I757" s="28" t="s">
        <v>1475</v>
      </c>
    </row>
    <row r="758" ht="25.5">
      <c r="A758" s="28" t="s">
        <v>69</v>
      </c>
      <c r="B758" s="36" t="s">
        <v>1419</v>
      </c>
      <c r="C758" s="28"/>
      <c r="D758" s="17" t="s">
        <v>30</v>
      </c>
      <c r="E758" s="32">
        <v>15433</v>
      </c>
      <c r="F758" s="29">
        <f t="shared" si="38"/>
        <v>0</v>
      </c>
      <c r="G758" s="29">
        <v>0</v>
      </c>
      <c r="H758" s="30">
        <f t="shared" si="35"/>
        <v>0</v>
      </c>
      <c r="I758" s="28" t="s">
        <v>1476</v>
      </c>
    </row>
    <row r="759" ht="25.5">
      <c r="A759" s="28" t="s">
        <v>72</v>
      </c>
      <c r="B759" s="36" t="s">
        <v>1421</v>
      </c>
      <c r="C759" s="28"/>
      <c r="D759" s="17" t="s">
        <v>30</v>
      </c>
      <c r="E759" s="32">
        <v>16255</v>
      </c>
      <c r="F759" s="29">
        <f t="shared" si="38"/>
        <v>0</v>
      </c>
      <c r="G759" s="29">
        <v>0</v>
      </c>
      <c r="H759" s="30">
        <f t="shared" si="35"/>
        <v>0</v>
      </c>
      <c r="I759" s="28" t="s">
        <v>1477</v>
      </c>
    </row>
    <row r="760" ht="25.5">
      <c r="A760" s="28" t="s">
        <v>75</v>
      </c>
      <c r="B760" s="36" t="s">
        <v>1423</v>
      </c>
      <c r="C760" s="28"/>
      <c r="D760" s="17" t="s">
        <v>30</v>
      </c>
      <c r="E760" s="32">
        <v>20779</v>
      </c>
      <c r="F760" s="29">
        <f t="shared" si="38"/>
        <v>0</v>
      </c>
      <c r="G760" s="29">
        <v>0</v>
      </c>
      <c r="H760" s="30">
        <f t="shared" si="35"/>
        <v>0</v>
      </c>
      <c r="I760" s="28" t="s">
        <v>1478</v>
      </c>
    </row>
    <row r="761" ht="25.5">
      <c r="A761" s="28" t="s">
        <v>204</v>
      </c>
      <c r="B761" s="36" t="s">
        <v>1425</v>
      </c>
      <c r="C761" s="28"/>
      <c r="D761" s="17" t="s">
        <v>30</v>
      </c>
      <c r="E761" s="32">
        <v>22307</v>
      </c>
      <c r="F761" s="29">
        <f t="shared" si="38"/>
        <v>0</v>
      </c>
      <c r="G761" s="29">
        <v>0</v>
      </c>
      <c r="H761" s="30">
        <f t="shared" si="35"/>
        <v>0</v>
      </c>
      <c r="I761" s="28" t="s">
        <v>1479</v>
      </c>
    </row>
    <row r="762" ht="25.5">
      <c r="A762" s="28" t="s">
        <v>419</v>
      </c>
      <c r="B762" s="36" t="s">
        <v>1427</v>
      </c>
      <c r="C762" s="28"/>
      <c r="D762" s="17" t="s">
        <v>30</v>
      </c>
      <c r="E762" s="32">
        <v>2581</v>
      </c>
      <c r="F762" s="29">
        <f t="shared" si="38"/>
        <v>0</v>
      </c>
      <c r="G762" s="29">
        <v>0</v>
      </c>
      <c r="H762" s="30">
        <f t="shared" si="35"/>
        <v>0</v>
      </c>
      <c r="I762" s="28" t="s">
        <v>1480</v>
      </c>
    </row>
    <row r="763" ht="126" customHeight="1">
      <c r="A763" s="32">
        <v>3907</v>
      </c>
      <c r="B763" s="36" t="s">
        <v>1481</v>
      </c>
      <c r="C763" s="28"/>
      <c r="E763" s="28"/>
      <c r="F763" s="29">
        <f t="shared" si="38"/>
        <v>0</v>
      </c>
      <c r="G763" s="29">
        <v>0</v>
      </c>
      <c r="H763" s="30">
        <f t="shared" si="35"/>
        <v>0</v>
      </c>
      <c r="I763" s="32" t="s">
        <v>1482</v>
      </c>
    </row>
    <row r="764" ht="25.5">
      <c r="A764" s="28" t="s">
        <v>20</v>
      </c>
      <c r="B764" s="36" t="s">
        <v>1413</v>
      </c>
      <c r="C764" s="28"/>
      <c r="D764" s="17" t="s">
        <v>30</v>
      </c>
      <c r="E764" s="32">
        <v>4306</v>
      </c>
      <c r="F764" s="29">
        <f t="shared" si="38"/>
        <v>0</v>
      </c>
      <c r="G764" s="29">
        <v>0</v>
      </c>
      <c r="H764" s="30">
        <f t="shared" si="35"/>
        <v>0</v>
      </c>
      <c r="I764" s="28" t="s">
        <v>1483</v>
      </c>
    </row>
    <row r="765" ht="25.5">
      <c r="A765" s="28" t="s">
        <v>24</v>
      </c>
      <c r="B765" s="36" t="s">
        <v>1415</v>
      </c>
      <c r="C765" s="28"/>
      <c r="D765" s="17" t="s">
        <v>30</v>
      </c>
      <c r="E765" s="32">
        <v>5152</v>
      </c>
      <c r="F765" s="29">
        <f t="shared" si="38"/>
        <v>0</v>
      </c>
      <c r="G765" s="29">
        <v>0</v>
      </c>
      <c r="H765" s="30">
        <f t="shared" si="35"/>
        <v>0</v>
      </c>
      <c r="I765" s="28" t="s">
        <v>1484</v>
      </c>
    </row>
    <row r="766" ht="25.5">
      <c r="A766" s="28" t="s">
        <v>42</v>
      </c>
      <c r="B766" s="36" t="s">
        <v>1417</v>
      </c>
      <c r="C766" s="28"/>
      <c r="D766" s="17" t="s">
        <v>30</v>
      </c>
      <c r="E766" s="32">
        <v>7941</v>
      </c>
      <c r="F766" s="29">
        <f t="shared" si="38"/>
        <v>0</v>
      </c>
      <c r="G766" s="29">
        <v>0</v>
      </c>
      <c r="H766" s="30">
        <f t="shared" si="35"/>
        <v>0</v>
      </c>
      <c r="I766" s="28" t="s">
        <v>1485</v>
      </c>
    </row>
    <row r="767" ht="25.5">
      <c r="A767" s="28" t="s">
        <v>69</v>
      </c>
      <c r="B767" s="36" t="s">
        <v>1419</v>
      </c>
      <c r="C767" s="28"/>
      <c r="D767" s="17" t="s">
        <v>30</v>
      </c>
      <c r="E767" s="32">
        <v>12018</v>
      </c>
      <c r="F767" s="29">
        <f t="shared" si="38"/>
        <v>0</v>
      </c>
      <c r="G767" s="29">
        <v>0</v>
      </c>
      <c r="H767" s="30">
        <f t="shared" si="35"/>
        <v>0</v>
      </c>
      <c r="I767" s="28" t="s">
        <v>1486</v>
      </c>
    </row>
    <row r="768" ht="25.5">
      <c r="A768" s="28" t="s">
        <v>72</v>
      </c>
      <c r="B768" s="36" t="s">
        <v>1421</v>
      </c>
      <c r="C768" s="28"/>
      <c r="D768" s="17" t="s">
        <v>30</v>
      </c>
      <c r="E768" s="32">
        <v>12425</v>
      </c>
      <c r="F768" s="29">
        <f t="shared" si="38"/>
        <v>0</v>
      </c>
      <c r="G768" s="29">
        <v>0</v>
      </c>
      <c r="H768" s="30">
        <f t="shared" si="35"/>
        <v>0</v>
      </c>
      <c r="I768" s="28" t="s">
        <v>1487</v>
      </c>
    </row>
    <row r="769" ht="25.5">
      <c r="A769" s="28" t="s">
        <v>75</v>
      </c>
      <c r="B769" s="36" t="s">
        <v>1423</v>
      </c>
      <c r="C769" s="28"/>
      <c r="D769" s="17" t="s">
        <v>30</v>
      </c>
      <c r="E769" s="32">
        <v>14331</v>
      </c>
      <c r="F769" s="29">
        <f t="shared" si="38"/>
        <v>0</v>
      </c>
      <c r="G769" s="29">
        <v>0</v>
      </c>
      <c r="H769" s="30">
        <f t="shared" si="35"/>
        <v>0</v>
      </c>
      <c r="I769" s="28" t="s">
        <v>1488</v>
      </c>
    </row>
    <row r="770" ht="25.5">
      <c r="A770" s="28" t="s">
        <v>204</v>
      </c>
      <c r="B770" s="36" t="s">
        <v>1425</v>
      </c>
      <c r="C770" s="28"/>
      <c r="D770" s="17" t="s">
        <v>30</v>
      </c>
      <c r="E770" s="32">
        <v>15102</v>
      </c>
      <c r="F770" s="29">
        <f t="shared" si="38"/>
        <v>0</v>
      </c>
      <c r="G770" s="29">
        <v>0</v>
      </c>
      <c r="H770" s="30">
        <f t="shared" si="35"/>
        <v>0</v>
      </c>
      <c r="I770" s="28" t="s">
        <v>1489</v>
      </c>
    </row>
    <row r="771" ht="102.75" customHeight="1">
      <c r="A771" s="32">
        <v>3908</v>
      </c>
      <c r="B771" s="36" t="s">
        <v>1490</v>
      </c>
      <c r="C771" s="28"/>
      <c r="E771" s="28"/>
      <c r="F771" s="29">
        <f t="shared" si="38"/>
        <v>0</v>
      </c>
      <c r="G771" s="29">
        <v>0</v>
      </c>
      <c r="H771" s="30">
        <f t="shared" si="35"/>
        <v>0</v>
      </c>
      <c r="I771" s="32" t="s">
        <v>1491</v>
      </c>
    </row>
    <row r="772" ht="25.5">
      <c r="A772" s="28" t="s">
        <v>20</v>
      </c>
      <c r="B772" s="36" t="s">
        <v>1413</v>
      </c>
      <c r="C772" s="28"/>
      <c r="D772" s="28" t="s">
        <v>1205</v>
      </c>
      <c r="E772" s="32">
        <v>66096</v>
      </c>
      <c r="F772" s="29">
        <f t="shared" si="38"/>
        <v>0</v>
      </c>
      <c r="G772" s="29">
        <v>0</v>
      </c>
      <c r="H772" s="30">
        <f t="shared" si="35"/>
        <v>0</v>
      </c>
      <c r="I772" s="28" t="s">
        <v>1492</v>
      </c>
    </row>
    <row r="773" ht="35.25" customHeight="1">
      <c r="A773" s="28" t="s">
        <v>24</v>
      </c>
      <c r="B773" s="36" t="s">
        <v>1415</v>
      </c>
      <c r="C773" s="28"/>
      <c r="D773" s="28" t="s">
        <v>1205</v>
      </c>
      <c r="E773" s="32">
        <v>80784</v>
      </c>
      <c r="F773" s="29">
        <f t="shared" si="38"/>
        <v>0</v>
      </c>
      <c r="G773" s="29">
        <v>0</v>
      </c>
      <c r="H773" s="30">
        <f t="shared" si="35"/>
        <v>0</v>
      </c>
      <c r="I773" s="28" t="s">
        <v>1493</v>
      </c>
    </row>
    <row r="774" ht="35.25" customHeight="1">
      <c r="A774" s="28" t="s">
        <v>42</v>
      </c>
      <c r="B774" s="36" t="s">
        <v>1417</v>
      </c>
      <c r="C774" s="28"/>
      <c r="D774" s="28" t="s">
        <v>1205</v>
      </c>
      <c r="E774" s="32">
        <v>110160</v>
      </c>
      <c r="F774" s="29">
        <f t="shared" si="38"/>
        <v>0</v>
      </c>
      <c r="G774" s="29">
        <v>0</v>
      </c>
      <c r="H774" s="30">
        <f t="shared" si="35"/>
        <v>0</v>
      </c>
      <c r="I774" s="28" t="s">
        <v>1494</v>
      </c>
    </row>
    <row r="775" ht="25.5">
      <c r="A775" s="28" t="s">
        <v>69</v>
      </c>
      <c r="B775" s="36" t="s">
        <v>1419</v>
      </c>
      <c r="C775" s="28"/>
      <c r="D775" s="28" t="s">
        <v>1205</v>
      </c>
      <c r="E775" s="32">
        <v>139536</v>
      </c>
      <c r="F775" s="29">
        <f t="shared" si="38"/>
        <v>0</v>
      </c>
      <c r="G775" s="29">
        <v>0</v>
      </c>
      <c r="H775" s="30">
        <f t="shared" si="35"/>
        <v>0</v>
      </c>
      <c r="I775" s="28" t="s">
        <v>1495</v>
      </c>
    </row>
    <row r="776" ht="25.5">
      <c r="A776" s="28" t="s">
        <v>72</v>
      </c>
      <c r="B776" s="36" t="s">
        <v>1421</v>
      </c>
      <c r="C776" s="28"/>
      <c r="D776" s="28" t="s">
        <v>1205</v>
      </c>
      <c r="E776" s="32">
        <v>168912</v>
      </c>
      <c r="F776" s="29">
        <f t="shared" si="38"/>
        <v>0</v>
      </c>
      <c r="G776" s="29">
        <v>0</v>
      </c>
      <c r="H776" s="30">
        <f t="shared" si="35"/>
        <v>0</v>
      </c>
      <c r="I776" s="28" t="s">
        <v>1496</v>
      </c>
    </row>
    <row r="777" ht="25.5">
      <c r="A777" s="28" t="s">
        <v>75</v>
      </c>
      <c r="B777" s="36" t="s">
        <v>1423</v>
      </c>
      <c r="C777" s="28"/>
      <c r="D777" s="28" t="s">
        <v>1205</v>
      </c>
      <c r="E777" s="32">
        <v>205632</v>
      </c>
      <c r="F777" s="29">
        <f t="shared" si="38"/>
        <v>0</v>
      </c>
      <c r="G777" s="29">
        <v>0</v>
      </c>
      <c r="H777" s="30">
        <f t="shared" si="35"/>
        <v>0</v>
      </c>
      <c r="I777" s="28" t="s">
        <v>1497</v>
      </c>
    </row>
    <row r="778" ht="25.5">
      <c r="A778" s="28" t="s">
        <v>204</v>
      </c>
      <c r="B778" s="36" t="s">
        <v>1425</v>
      </c>
      <c r="C778" s="28"/>
      <c r="D778" s="28" t="s">
        <v>1205</v>
      </c>
      <c r="E778" s="32">
        <v>257040</v>
      </c>
      <c r="F778" s="29">
        <f t="shared" si="38"/>
        <v>0</v>
      </c>
      <c r="G778" s="29">
        <v>0</v>
      </c>
      <c r="H778" s="30">
        <f t="shared" si="35"/>
        <v>0</v>
      </c>
      <c r="I778" s="28" t="s">
        <v>1498</v>
      </c>
    </row>
    <row r="779" ht="25.5">
      <c r="A779" s="28" t="s">
        <v>419</v>
      </c>
      <c r="B779" s="36" t="s">
        <v>1427</v>
      </c>
      <c r="C779" s="28"/>
      <c r="D779" s="28" t="s">
        <v>1499</v>
      </c>
      <c r="E779" s="32">
        <v>29376</v>
      </c>
      <c r="F779" s="29">
        <f t="shared" si="38"/>
        <v>0</v>
      </c>
      <c r="G779" s="29">
        <v>0</v>
      </c>
      <c r="H779" s="30">
        <f t="shared" si="35"/>
        <v>0</v>
      </c>
      <c r="I779" s="28" t="s">
        <v>1500</v>
      </c>
    </row>
    <row r="780" s="8" customFormat="1" ht="138" customHeight="1">
      <c r="A780" s="76">
        <v>3909</v>
      </c>
      <c r="B780" s="77" t="s">
        <v>1501</v>
      </c>
      <c r="C780" s="78"/>
      <c r="D780" s="78" t="s">
        <v>1502</v>
      </c>
      <c r="E780" s="76">
        <v>584</v>
      </c>
      <c r="F780" s="79">
        <f t="shared" si="38"/>
        <v>0</v>
      </c>
      <c r="G780" s="79">
        <v>0</v>
      </c>
      <c r="H780" s="80">
        <f t="shared" si="35"/>
        <v>0</v>
      </c>
      <c r="I780" s="76" t="s">
        <v>1503</v>
      </c>
    </row>
    <row r="781" ht="90.75" customHeight="1">
      <c r="A781" s="32">
        <v>3910</v>
      </c>
      <c r="B781" s="36" t="s">
        <v>1504</v>
      </c>
      <c r="C781" s="28"/>
      <c r="E781" s="28"/>
      <c r="F781" s="29">
        <f t="shared" si="38"/>
        <v>0</v>
      </c>
      <c r="G781" s="29">
        <v>0</v>
      </c>
      <c r="H781" s="30">
        <f t="shared" si="35"/>
        <v>0</v>
      </c>
      <c r="I781" s="32" t="s">
        <v>1505</v>
      </c>
    </row>
    <row r="782" ht="25.5">
      <c r="A782" s="28" t="s">
        <v>20</v>
      </c>
      <c r="B782" s="36" t="s">
        <v>1413</v>
      </c>
      <c r="C782" s="28"/>
      <c r="D782" s="28" t="s">
        <v>1205</v>
      </c>
      <c r="E782" s="32">
        <v>13586</v>
      </c>
      <c r="F782" s="29">
        <f t="shared" si="38"/>
        <v>0</v>
      </c>
      <c r="G782" s="29">
        <v>0</v>
      </c>
      <c r="H782" s="30">
        <f t="shared" ref="H782:H829" si="39">SUM(F782:G782)</f>
        <v>0</v>
      </c>
      <c r="I782" s="28" t="s">
        <v>1506</v>
      </c>
    </row>
    <row r="783" ht="25.5">
      <c r="A783" s="28" t="s">
        <v>24</v>
      </c>
      <c r="B783" s="36" t="s">
        <v>1415</v>
      </c>
      <c r="C783" s="28"/>
      <c r="D783" s="28" t="s">
        <v>1205</v>
      </c>
      <c r="E783" s="32">
        <v>16891</v>
      </c>
      <c r="F783" s="29">
        <f t="shared" si="38"/>
        <v>0</v>
      </c>
      <c r="G783" s="29">
        <v>0</v>
      </c>
      <c r="H783" s="30">
        <f t="shared" si="39"/>
        <v>0</v>
      </c>
      <c r="I783" s="28" t="s">
        <v>1507</v>
      </c>
    </row>
    <row r="784" ht="25.5">
      <c r="A784" s="28" t="s">
        <v>42</v>
      </c>
      <c r="B784" s="36" t="s">
        <v>1417</v>
      </c>
      <c r="C784" s="28"/>
      <c r="D784" s="28" t="s">
        <v>1205</v>
      </c>
      <c r="E784" s="32">
        <v>22032</v>
      </c>
      <c r="F784" s="29">
        <f t="shared" si="38"/>
        <v>0</v>
      </c>
      <c r="G784" s="29">
        <v>0</v>
      </c>
      <c r="H784" s="30">
        <f t="shared" si="39"/>
        <v>0</v>
      </c>
      <c r="I784" s="28" t="s">
        <v>1508</v>
      </c>
    </row>
    <row r="785" ht="25.5">
      <c r="A785" s="28" t="s">
        <v>69</v>
      </c>
      <c r="B785" s="36" t="s">
        <v>1419</v>
      </c>
      <c r="C785" s="28"/>
      <c r="D785" s="28" t="s">
        <v>1205</v>
      </c>
      <c r="E785" s="32">
        <v>24676</v>
      </c>
      <c r="F785" s="29">
        <f t="shared" si="38"/>
        <v>0</v>
      </c>
      <c r="G785" s="29">
        <v>0</v>
      </c>
      <c r="H785" s="30">
        <f t="shared" si="39"/>
        <v>0</v>
      </c>
      <c r="I785" s="28" t="s">
        <v>1509</v>
      </c>
    </row>
    <row r="786" ht="25.5">
      <c r="A786" s="28" t="s">
        <v>72</v>
      </c>
      <c r="B786" s="36" t="s">
        <v>1421</v>
      </c>
      <c r="C786" s="28"/>
      <c r="D786" s="28" t="s">
        <v>1205</v>
      </c>
      <c r="E786" s="32">
        <v>27173</v>
      </c>
      <c r="F786" s="29">
        <f t="shared" si="38"/>
        <v>0</v>
      </c>
      <c r="G786" s="29">
        <v>0</v>
      </c>
      <c r="H786" s="30">
        <f t="shared" si="39"/>
        <v>0</v>
      </c>
      <c r="I786" s="28" t="s">
        <v>1510</v>
      </c>
    </row>
    <row r="787" ht="25.5">
      <c r="A787" s="28" t="s">
        <v>75</v>
      </c>
      <c r="B787" s="36" t="s">
        <v>1423</v>
      </c>
      <c r="C787" s="28"/>
      <c r="D787" s="28" t="s">
        <v>1205</v>
      </c>
      <c r="E787" s="32">
        <v>29376</v>
      </c>
      <c r="F787" s="29">
        <f t="shared" si="38"/>
        <v>0</v>
      </c>
      <c r="G787" s="29">
        <v>0</v>
      </c>
      <c r="H787" s="30">
        <f t="shared" si="39"/>
        <v>0</v>
      </c>
      <c r="I787" s="28" t="s">
        <v>1511</v>
      </c>
    </row>
    <row r="788" ht="25.5">
      <c r="A788" s="28" t="s">
        <v>204</v>
      </c>
      <c r="B788" s="36" t="s">
        <v>1425</v>
      </c>
      <c r="C788" s="28"/>
      <c r="D788" s="28" t="s">
        <v>1205</v>
      </c>
      <c r="E788" s="32">
        <v>33048</v>
      </c>
      <c r="F788" s="29">
        <f t="shared" ref="F788:F819" si="40">C788*E788</f>
        <v>0</v>
      </c>
      <c r="G788" s="29">
        <v>0</v>
      </c>
      <c r="H788" s="30">
        <f t="shared" si="39"/>
        <v>0</v>
      </c>
      <c r="I788" s="28" t="s">
        <v>1512</v>
      </c>
    </row>
    <row r="789" ht="25.5">
      <c r="A789" s="28" t="s">
        <v>419</v>
      </c>
      <c r="B789" s="36" t="s">
        <v>1427</v>
      </c>
      <c r="C789" s="28"/>
      <c r="D789" s="28" t="s">
        <v>1499</v>
      </c>
      <c r="E789" s="32">
        <v>10282</v>
      </c>
      <c r="F789" s="29">
        <f t="shared" si="40"/>
        <v>0</v>
      </c>
      <c r="G789" s="29">
        <v>0</v>
      </c>
      <c r="H789" s="30">
        <f t="shared" si="39"/>
        <v>0</v>
      </c>
      <c r="I789" s="28" t="s">
        <v>1513</v>
      </c>
    </row>
    <row r="790" ht="75.75" customHeight="1">
      <c r="A790" s="32">
        <v>3911</v>
      </c>
      <c r="B790" s="36" t="s">
        <v>1514</v>
      </c>
      <c r="C790" s="28"/>
      <c r="E790" s="28"/>
      <c r="F790" s="29">
        <f t="shared" si="40"/>
        <v>0</v>
      </c>
      <c r="G790" s="29">
        <v>0</v>
      </c>
      <c r="H790" s="30">
        <f t="shared" si="39"/>
        <v>0</v>
      </c>
      <c r="I790" s="32" t="s">
        <v>1515</v>
      </c>
    </row>
    <row r="791" ht="25.5">
      <c r="A791" s="28" t="s">
        <v>20</v>
      </c>
      <c r="B791" s="36" t="s">
        <v>1413</v>
      </c>
      <c r="C791" s="28"/>
      <c r="D791" s="28" t="s">
        <v>1205</v>
      </c>
      <c r="E791" s="32">
        <v>1102</v>
      </c>
      <c r="F791" s="29">
        <f t="shared" si="40"/>
        <v>0</v>
      </c>
      <c r="G791" s="29">
        <v>0</v>
      </c>
      <c r="H791" s="30">
        <f t="shared" si="39"/>
        <v>0</v>
      </c>
      <c r="I791" s="28" t="s">
        <v>1516</v>
      </c>
    </row>
    <row r="792" ht="25.5">
      <c r="A792" s="28" t="s">
        <v>24</v>
      </c>
      <c r="B792" s="36" t="s">
        <v>1415</v>
      </c>
      <c r="C792" s="28"/>
      <c r="D792" s="28" t="s">
        <v>1205</v>
      </c>
      <c r="E792" s="32">
        <v>1469</v>
      </c>
      <c r="F792" s="29">
        <f t="shared" si="40"/>
        <v>0</v>
      </c>
      <c r="G792" s="29">
        <v>0</v>
      </c>
      <c r="H792" s="30">
        <f t="shared" si="39"/>
        <v>0</v>
      </c>
      <c r="I792" s="28" t="s">
        <v>1517</v>
      </c>
    </row>
    <row r="793" ht="25.5">
      <c r="A793" s="28" t="s">
        <v>42</v>
      </c>
      <c r="B793" s="36" t="s">
        <v>1417</v>
      </c>
      <c r="C793" s="28"/>
      <c r="D793" s="28" t="s">
        <v>1205</v>
      </c>
      <c r="E793" s="32">
        <v>2203</v>
      </c>
      <c r="F793" s="29">
        <f t="shared" si="40"/>
        <v>0</v>
      </c>
      <c r="G793" s="29">
        <v>0</v>
      </c>
      <c r="H793" s="30">
        <f t="shared" si="39"/>
        <v>0</v>
      </c>
      <c r="I793" s="28" t="s">
        <v>1518</v>
      </c>
    </row>
    <row r="794" ht="25.5">
      <c r="A794" s="28" t="s">
        <v>69</v>
      </c>
      <c r="B794" s="36" t="s">
        <v>1419</v>
      </c>
      <c r="C794" s="28"/>
      <c r="D794" s="28" t="s">
        <v>1205</v>
      </c>
      <c r="E794" s="32">
        <v>2570</v>
      </c>
      <c r="F794" s="29">
        <f t="shared" si="40"/>
        <v>0</v>
      </c>
      <c r="G794" s="29">
        <v>0</v>
      </c>
      <c r="H794" s="30">
        <f t="shared" si="39"/>
        <v>0</v>
      </c>
      <c r="I794" s="28" t="s">
        <v>1519</v>
      </c>
    </row>
    <row r="795" ht="25.5">
      <c r="A795" s="28" t="s">
        <v>72</v>
      </c>
      <c r="B795" s="36" t="s">
        <v>1421</v>
      </c>
      <c r="C795" s="28"/>
      <c r="D795" s="28" t="s">
        <v>1205</v>
      </c>
      <c r="E795" s="32">
        <v>2938</v>
      </c>
      <c r="F795" s="29">
        <f t="shared" si="40"/>
        <v>0</v>
      </c>
      <c r="G795" s="29">
        <v>0</v>
      </c>
      <c r="H795" s="30">
        <f t="shared" si="39"/>
        <v>0</v>
      </c>
      <c r="I795" s="28" t="s">
        <v>1520</v>
      </c>
    </row>
    <row r="796" ht="25.5">
      <c r="A796" s="28" t="s">
        <v>75</v>
      </c>
      <c r="B796" s="36" t="s">
        <v>1423</v>
      </c>
      <c r="C796" s="28"/>
      <c r="D796" s="28" t="s">
        <v>1205</v>
      </c>
      <c r="E796" s="32">
        <v>3672</v>
      </c>
      <c r="F796" s="29">
        <f t="shared" si="40"/>
        <v>0</v>
      </c>
      <c r="G796" s="29">
        <v>0</v>
      </c>
      <c r="H796" s="30">
        <f t="shared" si="39"/>
        <v>0</v>
      </c>
      <c r="I796" s="28" t="s">
        <v>1521</v>
      </c>
    </row>
    <row r="797" ht="25.5">
      <c r="A797" s="28" t="s">
        <v>204</v>
      </c>
      <c r="B797" s="36" t="s">
        <v>1425</v>
      </c>
      <c r="C797" s="28"/>
      <c r="D797" s="28" t="s">
        <v>1205</v>
      </c>
      <c r="E797" s="32">
        <v>4406</v>
      </c>
      <c r="F797" s="29">
        <f t="shared" si="40"/>
        <v>0</v>
      </c>
      <c r="G797" s="29">
        <v>0</v>
      </c>
      <c r="H797" s="30">
        <f t="shared" si="39"/>
        <v>0</v>
      </c>
      <c r="I797" s="28" t="s">
        <v>1522</v>
      </c>
    </row>
    <row r="798" ht="25.5">
      <c r="A798" s="28" t="s">
        <v>419</v>
      </c>
      <c r="B798" s="36" t="s">
        <v>1427</v>
      </c>
      <c r="C798" s="28"/>
      <c r="D798" s="28" t="s">
        <v>1205</v>
      </c>
      <c r="E798" s="32">
        <v>661</v>
      </c>
      <c r="F798" s="29">
        <f t="shared" si="40"/>
        <v>0</v>
      </c>
      <c r="G798" s="29">
        <v>0</v>
      </c>
      <c r="H798" s="30">
        <f t="shared" si="39"/>
        <v>0</v>
      </c>
      <c r="I798" s="28" t="s">
        <v>1523</v>
      </c>
    </row>
    <row r="799" ht="26.25" customHeight="1">
      <c r="A799" s="32">
        <v>3912</v>
      </c>
      <c r="B799" s="36" t="s">
        <v>1524</v>
      </c>
      <c r="C799" s="28"/>
      <c r="E799" s="28"/>
      <c r="F799" s="29">
        <f t="shared" si="40"/>
        <v>0</v>
      </c>
      <c r="G799" s="29">
        <v>0</v>
      </c>
      <c r="H799" s="30">
        <f t="shared" si="39"/>
        <v>0</v>
      </c>
      <c r="I799" s="32" t="s">
        <v>1525</v>
      </c>
    </row>
    <row r="800" ht="25.5">
      <c r="A800" s="28" t="s">
        <v>20</v>
      </c>
      <c r="B800" s="36" t="s">
        <v>1413</v>
      </c>
      <c r="C800" s="28"/>
      <c r="D800" s="28" t="s">
        <v>1205</v>
      </c>
      <c r="E800" s="32">
        <v>1102</v>
      </c>
      <c r="F800" s="29">
        <f t="shared" si="40"/>
        <v>0</v>
      </c>
      <c r="G800" s="29">
        <v>0</v>
      </c>
      <c r="H800" s="30">
        <f t="shared" si="39"/>
        <v>0</v>
      </c>
      <c r="I800" s="28" t="s">
        <v>1526</v>
      </c>
    </row>
    <row r="801" ht="25.5">
      <c r="A801" s="28" t="s">
        <v>24</v>
      </c>
      <c r="B801" s="36" t="s">
        <v>1415</v>
      </c>
      <c r="C801" s="28"/>
      <c r="D801" s="28" t="s">
        <v>1205</v>
      </c>
      <c r="E801" s="32">
        <v>1469</v>
      </c>
      <c r="F801" s="29">
        <f t="shared" si="40"/>
        <v>0</v>
      </c>
      <c r="G801" s="29">
        <v>0</v>
      </c>
      <c r="H801" s="30">
        <f t="shared" si="39"/>
        <v>0</v>
      </c>
      <c r="I801" s="28" t="s">
        <v>1527</v>
      </c>
    </row>
    <row r="802" ht="25.5">
      <c r="A802" s="28" t="s">
        <v>42</v>
      </c>
      <c r="B802" s="36" t="s">
        <v>1417</v>
      </c>
      <c r="C802" s="28"/>
      <c r="D802" s="28" t="s">
        <v>1205</v>
      </c>
      <c r="E802" s="32">
        <v>2203</v>
      </c>
      <c r="F802" s="29">
        <f t="shared" si="40"/>
        <v>0</v>
      </c>
      <c r="G802" s="29">
        <v>0</v>
      </c>
      <c r="H802" s="30">
        <f t="shared" si="39"/>
        <v>0</v>
      </c>
      <c r="I802" s="28" t="s">
        <v>1528</v>
      </c>
    </row>
    <row r="803" ht="25.5">
      <c r="A803" s="28" t="s">
        <v>69</v>
      </c>
      <c r="B803" s="36" t="s">
        <v>1419</v>
      </c>
      <c r="C803" s="28"/>
      <c r="D803" s="28" t="s">
        <v>1205</v>
      </c>
      <c r="E803" s="32">
        <v>3672</v>
      </c>
      <c r="F803" s="29">
        <f t="shared" si="40"/>
        <v>0</v>
      </c>
      <c r="G803" s="29">
        <v>0</v>
      </c>
      <c r="H803" s="30">
        <f t="shared" si="39"/>
        <v>0</v>
      </c>
      <c r="I803" s="28" t="s">
        <v>1529</v>
      </c>
    </row>
    <row r="804" ht="25.5">
      <c r="A804" s="28" t="s">
        <v>72</v>
      </c>
      <c r="B804" s="36" t="s">
        <v>1421</v>
      </c>
      <c r="C804" s="28"/>
      <c r="D804" s="28" t="s">
        <v>1205</v>
      </c>
      <c r="E804" s="32">
        <v>5508</v>
      </c>
      <c r="F804" s="29">
        <f t="shared" si="40"/>
        <v>0</v>
      </c>
      <c r="G804" s="29">
        <v>0</v>
      </c>
      <c r="H804" s="30">
        <f t="shared" si="39"/>
        <v>0</v>
      </c>
      <c r="I804" s="28" t="s">
        <v>1530</v>
      </c>
    </row>
    <row r="805" ht="25.5">
      <c r="A805" s="28" t="s">
        <v>75</v>
      </c>
      <c r="B805" s="36" t="s">
        <v>1423</v>
      </c>
      <c r="C805" s="28"/>
      <c r="D805" s="28" t="s">
        <v>1205</v>
      </c>
      <c r="E805" s="32">
        <v>6059</v>
      </c>
      <c r="F805" s="29">
        <f t="shared" si="40"/>
        <v>0</v>
      </c>
      <c r="G805" s="29">
        <v>0</v>
      </c>
      <c r="H805" s="30">
        <f t="shared" si="39"/>
        <v>0</v>
      </c>
      <c r="I805" s="28" t="s">
        <v>1531</v>
      </c>
    </row>
    <row r="806" ht="25.5">
      <c r="A806" s="28" t="s">
        <v>204</v>
      </c>
      <c r="B806" s="36" t="s">
        <v>1425</v>
      </c>
      <c r="C806" s="28"/>
      <c r="D806" s="28" t="s">
        <v>1205</v>
      </c>
      <c r="E806" s="32">
        <v>7344</v>
      </c>
      <c r="F806" s="29">
        <f t="shared" si="40"/>
        <v>0</v>
      </c>
      <c r="G806" s="29">
        <v>0</v>
      </c>
      <c r="H806" s="30">
        <f t="shared" si="39"/>
        <v>0</v>
      </c>
      <c r="I806" s="28" t="s">
        <v>1532</v>
      </c>
    </row>
    <row r="807" ht="25.5">
      <c r="A807" s="28" t="s">
        <v>419</v>
      </c>
      <c r="B807" s="36" t="s">
        <v>1427</v>
      </c>
      <c r="C807" s="28"/>
      <c r="D807" s="28" t="s">
        <v>1326</v>
      </c>
      <c r="E807" s="32">
        <v>441</v>
      </c>
      <c r="F807" s="29">
        <f t="shared" si="40"/>
        <v>0</v>
      </c>
      <c r="G807" s="29">
        <v>0</v>
      </c>
      <c r="H807" s="30">
        <f t="shared" si="39"/>
        <v>0</v>
      </c>
      <c r="I807" s="28" t="s">
        <v>1533</v>
      </c>
    </row>
    <row r="808" s="6" customFormat="1" ht="77.25" customHeight="1">
      <c r="A808" s="64">
        <v>3913</v>
      </c>
      <c r="B808" s="81" t="s">
        <v>1534</v>
      </c>
      <c r="C808" s="66"/>
      <c r="D808" s="66" t="s">
        <v>1298</v>
      </c>
      <c r="E808" s="64">
        <v>294</v>
      </c>
      <c r="F808" s="29">
        <f t="shared" si="40"/>
        <v>0</v>
      </c>
      <c r="G808" s="29">
        <v>0</v>
      </c>
      <c r="H808" s="30">
        <f t="shared" si="39"/>
        <v>0</v>
      </c>
      <c r="I808" s="64" t="s">
        <v>1535</v>
      </c>
    </row>
    <row r="809" s="6" customFormat="1" ht="38.25">
      <c r="A809" s="64">
        <v>3914</v>
      </c>
      <c r="B809" s="81" t="s">
        <v>1536</v>
      </c>
      <c r="C809" s="66"/>
      <c r="D809" s="66" t="s">
        <v>1298</v>
      </c>
      <c r="E809" s="64">
        <v>367</v>
      </c>
      <c r="F809" s="29">
        <f t="shared" si="40"/>
        <v>0</v>
      </c>
      <c r="G809" s="29">
        <v>0</v>
      </c>
      <c r="H809" s="30">
        <f t="shared" si="39"/>
        <v>0</v>
      </c>
      <c r="I809" s="64" t="s">
        <v>1537</v>
      </c>
    </row>
    <row r="810" ht="51">
      <c r="A810" s="32">
        <v>3915</v>
      </c>
      <c r="B810" s="36" t="s">
        <v>1538</v>
      </c>
      <c r="C810" s="28"/>
      <c r="D810" s="28" t="s">
        <v>1298</v>
      </c>
      <c r="E810" s="32">
        <v>58</v>
      </c>
      <c r="F810" s="29">
        <f t="shared" si="40"/>
        <v>0</v>
      </c>
      <c r="G810" s="29">
        <v>0</v>
      </c>
      <c r="H810" s="30">
        <f t="shared" si="39"/>
        <v>0</v>
      </c>
      <c r="I810" s="32" t="s">
        <v>1539</v>
      </c>
    </row>
    <row r="811" ht="25.5">
      <c r="A811" s="32">
        <v>3916</v>
      </c>
      <c r="B811" s="36" t="s">
        <v>1540</v>
      </c>
      <c r="C811" s="28"/>
      <c r="D811" s="28"/>
      <c r="E811" s="28"/>
      <c r="F811" s="29">
        <f t="shared" si="40"/>
        <v>0</v>
      </c>
      <c r="G811" s="29">
        <v>0</v>
      </c>
      <c r="H811" s="30">
        <f t="shared" si="39"/>
        <v>0</v>
      </c>
      <c r="I811" s="32" t="s">
        <v>1541</v>
      </c>
    </row>
    <row r="812" ht="25.5">
      <c r="A812" s="28" t="s">
        <v>20</v>
      </c>
      <c r="B812" s="36" t="s">
        <v>1542</v>
      </c>
      <c r="C812" s="28"/>
      <c r="D812" s="28" t="s">
        <v>1298</v>
      </c>
      <c r="E812" s="32">
        <v>17</v>
      </c>
      <c r="F812" s="29">
        <f t="shared" si="40"/>
        <v>0</v>
      </c>
      <c r="G812" s="29">
        <v>0</v>
      </c>
      <c r="H812" s="30">
        <f t="shared" si="39"/>
        <v>0</v>
      </c>
      <c r="I812" s="28" t="s">
        <v>1543</v>
      </c>
    </row>
    <row r="813" ht="25.5">
      <c r="A813" s="28" t="s">
        <v>24</v>
      </c>
      <c r="B813" s="36" t="s">
        <v>1544</v>
      </c>
      <c r="C813" s="28"/>
      <c r="D813" s="28" t="s">
        <v>1298</v>
      </c>
      <c r="E813" s="32">
        <v>33</v>
      </c>
      <c r="F813" s="29">
        <f t="shared" si="40"/>
        <v>0</v>
      </c>
      <c r="G813" s="29">
        <v>0</v>
      </c>
      <c r="H813" s="30">
        <f t="shared" si="39"/>
        <v>0</v>
      </c>
      <c r="I813" s="28" t="s">
        <v>1545</v>
      </c>
    </row>
    <row r="814" ht="25.5">
      <c r="A814" s="28" t="s">
        <v>42</v>
      </c>
      <c r="B814" s="36" t="s">
        <v>1546</v>
      </c>
      <c r="C814" s="28"/>
      <c r="D814" s="17" t="s">
        <v>1547</v>
      </c>
      <c r="E814" s="32">
        <v>170</v>
      </c>
      <c r="F814" s="29">
        <f t="shared" si="40"/>
        <v>0</v>
      </c>
      <c r="G814" s="29">
        <v>0</v>
      </c>
      <c r="H814" s="30">
        <f t="shared" si="39"/>
        <v>0</v>
      </c>
      <c r="I814" s="28" t="s">
        <v>1548</v>
      </c>
    </row>
    <row r="815" ht="25.5">
      <c r="A815" s="32">
        <v>3917</v>
      </c>
      <c r="B815" s="36" t="s">
        <v>1549</v>
      </c>
      <c r="C815" s="28"/>
      <c r="E815" s="28"/>
      <c r="F815" s="29">
        <f t="shared" si="40"/>
        <v>0</v>
      </c>
      <c r="G815" s="29">
        <v>0</v>
      </c>
      <c r="H815" s="30">
        <f t="shared" si="39"/>
        <v>0</v>
      </c>
      <c r="I815" s="32" t="s">
        <v>1550</v>
      </c>
    </row>
    <row r="816" ht="76.5">
      <c r="A816" s="28" t="s">
        <v>20</v>
      </c>
      <c r="B816" s="36" t="s">
        <v>1551</v>
      </c>
      <c r="C816" s="28"/>
      <c r="D816" s="28" t="s">
        <v>1552</v>
      </c>
      <c r="E816" s="32">
        <v>320</v>
      </c>
      <c r="F816" s="29">
        <f t="shared" si="40"/>
        <v>0</v>
      </c>
      <c r="G816" s="29">
        <v>0</v>
      </c>
      <c r="H816" s="30">
        <f t="shared" si="39"/>
        <v>0</v>
      </c>
      <c r="I816" s="28" t="s">
        <v>1553</v>
      </c>
    </row>
    <row r="817" ht="76.5">
      <c r="A817" s="28" t="s">
        <v>24</v>
      </c>
      <c r="B817" s="36" t="s">
        <v>1554</v>
      </c>
      <c r="C817" s="28"/>
      <c r="D817" s="28" t="s">
        <v>1555</v>
      </c>
      <c r="E817" s="32">
        <v>140</v>
      </c>
      <c r="F817" s="29">
        <f t="shared" si="40"/>
        <v>0</v>
      </c>
      <c r="G817" s="29">
        <v>0</v>
      </c>
      <c r="H817" s="30">
        <f t="shared" si="39"/>
        <v>0</v>
      </c>
      <c r="I817" s="28" t="s">
        <v>1556</v>
      </c>
    </row>
    <row r="818" ht="76.5">
      <c r="A818" s="28" t="s">
        <v>42</v>
      </c>
      <c r="B818" s="36" t="s">
        <v>1557</v>
      </c>
      <c r="C818" s="28"/>
      <c r="D818" s="28" t="s">
        <v>1558</v>
      </c>
      <c r="E818" s="32">
        <v>105</v>
      </c>
      <c r="F818" s="29">
        <f t="shared" si="40"/>
        <v>0</v>
      </c>
      <c r="G818" s="29">
        <v>0</v>
      </c>
      <c r="H818" s="30">
        <f t="shared" si="39"/>
        <v>0</v>
      </c>
      <c r="I818" s="28" t="s">
        <v>1559</v>
      </c>
    </row>
    <row r="819" ht="25.5">
      <c r="A819" s="28" t="s">
        <v>69</v>
      </c>
      <c r="B819" s="36" t="s">
        <v>1560</v>
      </c>
      <c r="C819" s="28"/>
      <c r="D819" s="28" t="s">
        <v>1561</v>
      </c>
      <c r="E819" s="32">
        <v>243</v>
      </c>
      <c r="F819" s="29">
        <f t="shared" si="40"/>
        <v>0</v>
      </c>
      <c r="G819" s="29">
        <v>0</v>
      </c>
      <c r="H819" s="30">
        <f t="shared" si="39"/>
        <v>0</v>
      </c>
      <c r="I819" s="28" t="s">
        <v>1562</v>
      </c>
    </row>
    <row r="820" ht="27" customHeight="1">
      <c r="A820" s="32">
        <v>3918</v>
      </c>
      <c r="B820" s="36" t="s">
        <v>1563</v>
      </c>
      <c r="C820" s="28"/>
      <c r="E820" s="28"/>
      <c r="F820" s="29">
        <f t="shared" ref="F820:F829" si="41">C820*E820</f>
        <v>0</v>
      </c>
      <c r="G820" s="29">
        <v>0</v>
      </c>
      <c r="H820" s="30">
        <f t="shared" si="39"/>
        <v>0</v>
      </c>
      <c r="I820" s="32" t="s">
        <v>1564</v>
      </c>
    </row>
    <row r="821" ht="25.5">
      <c r="A821" s="28" t="s">
        <v>20</v>
      </c>
      <c r="B821" s="36" t="s">
        <v>1565</v>
      </c>
      <c r="C821" s="28"/>
      <c r="D821" s="17" t="s">
        <v>1566</v>
      </c>
      <c r="E821" s="32">
        <v>8</v>
      </c>
      <c r="F821" s="29">
        <f t="shared" si="41"/>
        <v>0</v>
      </c>
      <c r="G821" s="29">
        <v>0</v>
      </c>
      <c r="H821" s="30">
        <f t="shared" si="39"/>
        <v>0</v>
      </c>
      <c r="I821" s="28" t="s">
        <v>1567</v>
      </c>
    </row>
    <row r="822" ht="25.5">
      <c r="A822" s="28" t="s">
        <v>24</v>
      </c>
      <c r="B822" s="36" t="s">
        <v>1568</v>
      </c>
      <c r="C822" s="28"/>
      <c r="D822" s="17" t="s">
        <v>1566</v>
      </c>
      <c r="E822" s="32">
        <v>35</v>
      </c>
      <c r="F822" s="29">
        <f t="shared" si="41"/>
        <v>0</v>
      </c>
      <c r="G822" s="29">
        <v>0</v>
      </c>
      <c r="H822" s="30">
        <f t="shared" si="39"/>
        <v>0</v>
      </c>
      <c r="I822" s="28" t="s">
        <v>1569</v>
      </c>
    </row>
    <row r="823" ht="25.5">
      <c r="A823" s="32">
        <v>3919</v>
      </c>
      <c r="B823" s="36" t="s">
        <v>1570</v>
      </c>
      <c r="C823" s="28"/>
      <c r="E823" s="28"/>
      <c r="F823" s="29">
        <f t="shared" si="41"/>
        <v>0</v>
      </c>
      <c r="G823" s="29">
        <v>0</v>
      </c>
      <c r="H823" s="30">
        <f t="shared" si="39"/>
        <v>0</v>
      </c>
      <c r="I823" s="32" t="s">
        <v>1571</v>
      </c>
    </row>
    <row r="824" ht="51.75" customHeight="1">
      <c r="A824" s="28" t="s">
        <v>20</v>
      </c>
      <c r="B824" s="36" t="s">
        <v>1572</v>
      </c>
      <c r="C824" s="28"/>
      <c r="D824" s="28" t="s">
        <v>1573</v>
      </c>
      <c r="E824" s="32">
        <v>9391</v>
      </c>
      <c r="F824" s="29">
        <f t="shared" si="41"/>
        <v>0</v>
      </c>
      <c r="G824" s="29">
        <v>0</v>
      </c>
      <c r="H824" s="30">
        <f t="shared" si="39"/>
        <v>0</v>
      </c>
      <c r="I824" s="28" t="s">
        <v>1574</v>
      </c>
    </row>
    <row r="825" ht="51">
      <c r="A825" s="28" t="s">
        <v>24</v>
      </c>
      <c r="B825" s="36" t="s">
        <v>1575</v>
      </c>
      <c r="C825" s="28"/>
      <c r="D825" s="28" t="s">
        <v>1573</v>
      </c>
      <c r="E825" s="32">
        <v>9291</v>
      </c>
      <c r="F825" s="29">
        <f t="shared" si="41"/>
        <v>0</v>
      </c>
      <c r="G825" s="29">
        <v>0</v>
      </c>
      <c r="H825" s="30">
        <f t="shared" si="39"/>
        <v>0</v>
      </c>
      <c r="I825" s="28" t="s">
        <v>1576</v>
      </c>
    </row>
    <row r="826" ht="38.25">
      <c r="A826" s="28" t="s">
        <v>42</v>
      </c>
      <c r="B826" s="36" t="s">
        <v>1577</v>
      </c>
      <c r="C826" s="28"/>
      <c r="D826" s="17" t="s">
        <v>22</v>
      </c>
      <c r="E826" s="32">
        <v>4762</v>
      </c>
      <c r="F826" s="29">
        <f t="shared" si="41"/>
        <v>0</v>
      </c>
      <c r="G826" s="29">
        <v>0</v>
      </c>
      <c r="H826" s="30">
        <f t="shared" si="39"/>
        <v>0</v>
      </c>
      <c r="I826" s="28" t="s">
        <v>1578</v>
      </c>
    </row>
    <row r="827" ht="38.25">
      <c r="A827" s="28" t="s">
        <v>69</v>
      </c>
      <c r="B827" s="36" t="s">
        <v>1579</v>
      </c>
      <c r="C827" s="28"/>
      <c r="D827" s="28" t="s">
        <v>1580</v>
      </c>
      <c r="E827" s="32">
        <v>2268</v>
      </c>
      <c r="F827" s="29">
        <f t="shared" si="41"/>
        <v>0</v>
      </c>
      <c r="G827" s="29">
        <v>0</v>
      </c>
      <c r="H827" s="30">
        <f t="shared" si="39"/>
        <v>0</v>
      </c>
      <c r="I827" s="28" t="s">
        <v>1581</v>
      </c>
    </row>
    <row r="828" ht="38.25">
      <c r="A828" s="32">
        <v>3920</v>
      </c>
      <c r="B828" s="36" t="s">
        <v>1582</v>
      </c>
      <c r="C828" s="28"/>
      <c r="D828" s="17" t="s">
        <v>1583</v>
      </c>
      <c r="E828" s="32">
        <v>5679</v>
      </c>
      <c r="F828" s="29">
        <f t="shared" si="41"/>
        <v>0</v>
      </c>
      <c r="G828" s="29">
        <v>0</v>
      </c>
      <c r="H828" s="30">
        <f t="shared" si="39"/>
        <v>0</v>
      </c>
      <c r="I828" s="32" t="s">
        <v>1584</v>
      </c>
    </row>
    <row r="829" ht="25.5">
      <c r="A829" s="32">
        <v>3921</v>
      </c>
      <c r="B829" s="36" t="s">
        <v>1585</v>
      </c>
      <c r="C829" s="28"/>
      <c r="D829" s="28" t="s">
        <v>1561</v>
      </c>
      <c r="E829" s="32">
        <v>179</v>
      </c>
      <c r="F829" s="29">
        <f t="shared" si="41"/>
        <v>0</v>
      </c>
      <c r="G829" s="29">
        <v>0</v>
      </c>
      <c r="H829" s="30">
        <f t="shared" si="39"/>
        <v>0</v>
      </c>
      <c r="I829" s="32" t="s">
        <v>1586</v>
      </c>
    </row>
    <row r="830">
      <c r="A830" s="32"/>
      <c r="B830" s="32"/>
      <c r="C830" s="32"/>
      <c r="D830" s="32"/>
      <c r="E830" s="32"/>
      <c r="F830" s="32"/>
      <c r="G830" s="32"/>
      <c r="H830" s="32"/>
      <c r="I830" s="32"/>
    </row>
    <row r="831" ht="12.75" customHeight="1">
      <c r="A831" s="34" t="s">
        <v>1587</v>
      </c>
      <c r="B831" s="34"/>
      <c r="C831" s="34"/>
      <c r="D831" s="34"/>
      <c r="E831" s="34"/>
      <c r="F831" s="34"/>
      <c r="G831" s="34"/>
      <c r="H831" s="34"/>
      <c r="I831" s="34"/>
    </row>
    <row r="832" ht="140.25">
      <c r="A832" s="32">
        <v>4001</v>
      </c>
      <c r="B832" s="27" t="s">
        <v>1588</v>
      </c>
      <c r="D832" s="28" t="s">
        <v>981</v>
      </c>
      <c r="E832" s="32">
        <v>56</v>
      </c>
      <c r="F832" s="29">
        <f>C832*E832</f>
        <v>0</v>
      </c>
      <c r="G832" s="29">
        <v>0</v>
      </c>
      <c r="H832" s="30">
        <f>SUM(F832:G832)</f>
        <v>0</v>
      </c>
      <c r="I832" s="32" t="s">
        <v>1589</v>
      </c>
    </row>
    <row r="833" ht="89.25">
      <c r="A833" s="32">
        <v>4002</v>
      </c>
      <c r="B833" s="27" t="s">
        <v>1590</v>
      </c>
      <c r="D833" s="28" t="s">
        <v>1591</v>
      </c>
      <c r="E833" s="32">
        <v>2091</v>
      </c>
      <c r="F833" s="29">
        <f>C833*E833</f>
        <v>0</v>
      </c>
      <c r="G833" s="29">
        <v>0</v>
      </c>
      <c r="H833" s="30">
        <f>SUM(F833:G833)</f>
        <v>0</v>
      </c>
      <c r="I833" s="32" t="s">
        <v>1592</v>
      </c>
    </row>
    <row r="834" ht="89.25">
      <c r="A834" s="32">
        <v>4003</v>
      </c>
      <c r="B834" s="27" t="s">
        <v>1593</v>
      </c>
      <c r="D834" s="28" t="s">
        <v>863</v>
      </c>
      <c r="E834" s="32">
        <v>2123</v>
      </c>
      <c r="F834" s="29">
        <f>C834*E834</f>
        <v>0</v>
      </c>
      <c r="G834" s="29">
        <v>0</v>
      </c>
      <c r="H834" s="30">
        <f>SUM(F834:G834)</f>
        <v>0</v>
      </c>
      <c r="I834" s="32" t="s">
        <v>1594</v>
      </c>
    </row>
    <row r="835">
      <c r="A835" s="32"/>
      <c r="B835" s="32"/>
      <c r="C835" s="32"/>
      <c r="D835" s="32"/>
      <c r="E835" s="32"/>
      <c r="F835" s="32"/>
      <c r="G835" s="32"/>
      <c r="H835" s="32"/>
      <c r="I835" s="32"/>
    </row>
    <row r="836" ht="12.75" customHeight="1">
      <c r="A836" s="34" t="s">
        <v>1595</v>
      </c>
      <c r="B836" s="34"/>
      <c r="C836" s="34"/>
      <c r="D836" s="34"/>
      <c r="E836" s="34"/>
      <c r="F836" s="34"/>
      <c r="G836" s="34"/>
      <c r="H836" s="34"/>
      <c r="I836" s="34"/>
    </row>
    <row r="837" ht="188.25" customHeight="1">
      <c r="A837" s="32">
        <v>4101</v>
      </c>
      <c r="B837" s="27" t="s">
        <v>1596</v>
      </c>
      <c r="D837" s="28" t="s">
        <v>30</v>
      </c>
      <c r="E837" s="32">
        <v>7832317</v>
      </c>
      <c r="F837" s="29">
        <f t="shared" ref="F837:F851" si="42">C837*E837</f>
        <v>0</v>
      </c>
      <c r="G837" s="29">
        <v>0</v>
      </c>
      <c r="H837" s="30">
        <f t="shared" ref="H837:H851" si="43">SUM(F837:G837)</f>
        <v>0</v>
      </c>
      <c r="I837" s="32" t="s">
        <v>1597</v>
      </c>
    </row>
    <row r="838" ht="76.5">
      <c r="A838" s="32">
        <v>4102</v>
      </c>
      <c r="B838" s="27" t="s">
        <v>1598</v>
      </c>
      <c r="D838" s="28" t="s">
        <v>1599</v>
      </c>
      <c r="E838" s="32">
        <v>71250</v>
      </c>
      <c r="F838" s="29">
        <f t="shared" si="42"/>
        <v>0</v>
      </c>
      <c r="G838" s="29">
        <v>0</v>
      </c>
      <c r="H838" s="30">
        <f t="shared" si="43"/>
        <v>0</v>
      </c>
      <c r="I838" s="32" t="s">
        <v>1600</v>
      </c>
    </row>
    <row r="839" ht="63.75">
      <c r="A839" s="32">
        <v>4103</v>
      </c>
      <c r="B839" s="27" t="s">
        <v>1601</v>
      </c>
      <c r="D839" s="28" t="s">
        <v>1602</v>
      </c>
      <c r="E839" s="32">
        <v>674202</v>
      </c>
      <c r="F839" s="29">
        <f t="shared" si="42"/>
        <v>0</v>
      </c>
      <c r="G839" s="29">
        <v>0</v>
      </c>
      <c r="H839" s="30">
        <f t="shared" si="43"/>
        <v>0</v>
      </c>
      <c r="I839" s="32" t="s">
        <v>1603</v>
      </c>
    </row>
    <row r="840" ht="75.75" customHeight="1">
      <c r="A840" s="32">
        <v>4104</v>
      </c>
      <c r="B840" s="27" t="s">
        <v>1604</v>
      </c>
      <c r="D840" s="28" t="s">
        <v>22</v>
      </c>
      <c r="E840" s="32">
        <v>226320</v>
      </c>
      <c r="F840" s="29">
        <f t="shared" si="42"/>
        <v>0</v>
      </c>
      <c r="G840" s="29">
        <v>0</v>
      </c>
      <c r="H840" s="30">
        <f t="shared" si="43"/>
        <v>0</v>
      </c>
      <c r="I840" s="32" t="s">
        <v>1605</v>
      </c>
    </row>
    <row r="841" ht="76.5">
      <c r="A841" s="32">
        <v>4105</v>
      </c>
      <c r="B841" s="27" t="s">
        <v>1606</v>
      </c>
      <c r="D841" s="28" t="s">
        <v>943</v>
      </c>
      <c r="E841" s="32">
        <v>182900</v>
      </c>
      <c r="F841" s="29">
        <f t="shared" si="42"/>
        <v>0</v>
      </c>
      <c r="G841" s="29">
        <v>0</v>
      </c>
      <c r="H841" s="30">
        <f t="shared" si="43"/>
        <v>0</v>
      </c>
      <c r="I841" s="32" t="s">
        <v>1607</v>
      </c>
    </row>
    <row r="842" ht="63.75">
      <c r="A842" s="32">
        <v>4106</v>
      </c>
      <c r="B842" s="27" t="s">
        <v>1608</v>
      </c>
      <c r="D842" s="28" t="s">
        <v>1609</v>
      </c>
      <c r="E842" s="32">
        <v>659159</v>
      </c>
      <c r="F842" s="29">
        <f t="shared" si="42"/>
        <v>0</v>
      </c>
      <c r="G842" s="29">
        <v>0</v>
      </c>
      <c r="H842" s="30">
        <f t="shared" si="43"/>
        <v>0</v>
      </c>
      <c r="I842" s="32" t="s">
        <v>1610</v>
      </c>
    </row>
    <row r="843" ht="63.75">
      <c r="A843" s="32">
        <v>4107</v>
      </c>
      <c r="B843" s="27" t="s">
        <v>1611</v>
      </c>
      <c r="D843" s="28" t="s">
        <v>1612</v>
      </c>
      <c r="E843" s="32">
        <v>253418</v>
      </c>
      <c r="F843" s="29">
        <f t="shared" si="42"/>
        <v>0</v>
      </c>
      <c r="G843" s="29">
        <v>0</v>
      </c>
      <c r="H843" s="30">
        <f t="shared" si="43"/>
        <v>0</v>
      </c>
      <c r="I843" s="32" t="s">
        <v>1613</v>
      </c>
    </row>
    <row r="844" ht="54.75" customHeight="1">
      <c r="A844" s="32">
        <v>4108</v>
      </c>
      <c r="B844" s="27" t="s">
        <v>1614</v>
      </c>
      <c r="D844" s="28" t="s">
        <v>1441</v>
      </c>
      <c r="E844" s="32">
        <v>1950</v>
      </c>
      <c r="F844" s="29">
        <f t="shared" si="42"/>
        <v>0</v>
      </c>
      <c r="G844" s="29">
        <v>0</v>
      </c>
      <c r="H844" s="30">
        <f t="shared" si="43"/>
        <v>0</v>
      </c>
      <c r="I844" s="32" t="s">
        <v>1615</v>
      </c>
    </row>
    <row r="845" ht="28.5" customHeight="1">
      <c r="A845" s="32">
        <v>4109</v>
      </c>
      <c r="B845" s="27" t="s">
        <v>1616</v>
      </c>
      <c r="D845" s="28" t="s">
        <v>22</v>
      </c>
      <c r="E845" s="32">
        <v>25604</v>
      </c>
      <c r="F845" s="29">
        <f t="shared" si="42"/>
        <v>0</v>
      </c>
      <c r="G845" s="29">
        <v>0</v>
      </c>
      <c r="H845" s="30">
        <f t="shared" si="43"/>
        <v>0</v>
      </c>
      <c r="I845" s="32" t="s">
        <v>1617</v>
      </c>
    </row>
    <row r="846" ht="51">
      <c r="A846" s="32">
        <v>4110</v>
      </c>
      <c r="B846" s="27" t="s">
        <v>1618</v>
      </c>
      <c r="D846" s="28" t="s">
        <v>1254</v>
      </c>
      <c r="E846" s="32">
        <v>1246</v>
      </c>
      <c r="F846" s="29">
        <f t="shared" si="42"/>
        <v>0</v>
      </c>
      <c r="G846" s="29">
        <v>0</v>
      </c>
      <c r="H846" s="30">
        <f t="shared" si="43"/>
        <v>0</v>
      </c>
      <c r="I846" s="32" t="s">
        <v>1619</v>
      </c>
    </row>
    <row r="847" ht="63.75">
      <c r="A847" s="32">
        <v>4111</v>
      </c>
      <c r="B847" s="27" t="s">
        <v>1620</v>
      </c>
      <c r="D847" s="28" t="s">
        <v>1254</v>
      </c>
      <c r="E847" s="32">
        <v>1368</v>
      </c>
      <c r="F847" s="29">
        <f t="shared" si="42"/>
        <v>0</v>
      </c>
      <c r="G847" s="29">
        <v>0</v>
      </c>
      <c r="H847" s="30">
        <f t="shared" si="43"/>
        <v>0</v>
      </c>
      <c r="I847" s="32" t="s">
        <v>1621</v>
      </c>
    </row>
    <row r="848" ht="53.25" customHeight="1">
      <c r="A848" s="32">
        <v>4112</v>
      </c>
      <c r="B848" s="27" t="s">
        <v>1622</v>
      </c>
      <c r="D848" s="28" t="s">
        <v>22</v>
      </c>
      <c r="E848" s="32">
        <v>126896</v>
      </c>
      <c r="F848" s="29">
        <f t="shared" si="42"/>
        <v>0</v>
      </c>
      <c r="G848" s="29">
        <v>0</v>
      </c>
      <c r="H848" s="30">
        <f t="shared" si="43"/>
        <v>0</v>
      </c>
      <c r="I848" s="32" t="s">
        <v>1623</v>
      </c>
    </row>
    <row r="849" ht="127.5">
      <c r="A849" s="32">
        <v>4113</v>
      </c>
      <c r="B849" s="27" t="s">
        <v>1624</v>
      </c>
      <c r="D849" s="28" t="s">
        <v>844</v>
      </c>
      <c r="E849" s="32">
        <v>4098</v>
      </c>
      <c r="F849" s="29">
        <f t="shared" si="42"/>
        <v>0</v>
      </c>
      <c r="G849" s="29">
        <v>0</v>
      </c>
      <c r="H849" s="30">
        <f t="shared" si="43"/>
        <v>0</v>
      </c>
      <c r="I849" s="32" t="s">
        <v>1625</v>
      </c>
    </row>
    <row r="850" ht="102">
      <c r="A850" s="32">
        <v>4114</v>
      </c>
      <c r="B850" s="27" t="s">
        <v>1626</v>
      </c>
      <c r="D850" s="28" t="s">
        <v>943</v>
      </c>
      <c r="E850" s="32">
        <v>354447</v>
      </c>
      <c r="F850" s="29">
        <f t="shared" si="42"/>
        <v>0</v>
      </c>
      <c r="G850" s="29">
        <v>0</v>
      </c>
      <c r="H850" s="30">
        <f t="shared" si="43"/>
        <v>0</v>
      </c>
      <c r="I850" s="32" t="s">
        <v>1627</v>
      </c>
    </row>
    <row r="851" ht="25.5">
      <c r="A851" s="32">
        <v>4115</v>
      </c>
      <c r="B851" s="27" t="s">
        <v>1628</v>
      </c>
      <c r="D851" s="28" t="s">
        <v>943</v>
      </c>
      <c r="E851" s="32">
        <v>11286</v>
      </c>
      <c r="F851" s="29">
        <f t="shared" si="42"/>
        <v>0</v>
      </c>
      <c r="G851" s="29">
        <v>0</v>
      </c>
      <c r="H851" s="30">
        <f t="shared" si="43"/>
        <v>0</v>
      </c>
      <c r="I851" s="32" t="s">
        <v>1629</v>
      </c>
    </row>
    <row r="852">
      <c r="A852" s="32"/>
      <c r="B852" s="32"/>
      <c r="C852" s="32"/>
      <c r="D852" s="32"/>
      <c r="E852" s="32"/>
      <c r="F852" s="32"/>
      <c r="G852" s="32"/>
      <c r="H852" s="32"/>
      <c r="I852" s="32"/>
    </row>
    <row r="853" ht="12.75" customHeight="1">
      <c r="A853" s="34" t="s">
        <v>1630</v>
      </c>
      <c r="B853" s="34"/>
      <c r="C853" s="34"/>
      <c r="D853" s="34"/>
      <c r="E853" s="34"/>
      <c r="F853" s="34"/>
      <c r="G853" s="34"/>
      <c r="H853" s="34"/>
      <c r="I853" s="34"/>
    </row>
    <row r="854" ht="95.25" customHeight="1">
      <c r="A854" s="32">
        <v>4201</v>
      </c>
      <c r="B854" s="27" t="s">
        <v>1631</v>
      </c>
      <c r="D854" s="28" t="s">
        <v>30</v>
      </c>
      <c r="E854" s="32">
        <v>960520</v>
      </c>
      <c r="F854" s="29">
        <f>C854*E854</f>
        <v>0</v>
      </c>
      <c r="G854" s="29">
        <v>0</v>
      </c>
      <c r="H854" s="30">
        <f>SUM(F854:G854)</f>
        <v>0</v>
      </c>
      <c r="I854" s="32" t="s">
        <v>1632</v>
      </c>
    </row>
    <row r="855" ht="260.25" customHeight="1">
      <c r="A855" s="32">
        <v>4202</v>
      </c>
      <c r="B855" s="27" t="s">
        <v>1633</v>
      </c>
      <c r="D855" s="28" t="s">
        <v>30</v>
      </c>
      <c r="E855" s="32">
        <v>1261656</v>
      </c>
      <c r="F855" s="29">
        <f>C855*E855</f>
        <v>0</v>
      </c>
      <c r="G855" s="29">
        <v>0</v>
      </c>
      <c r="H855" s="30">
        <f>SUM(F855:G855)</f>
        <v>0</v>
      </c>
      <c r="I855" s="32" t="s">
        <v>1634</v>
      </c>
      <c r="M855" s="16" t="s">
        <v>1635</v>
      </c>
    </row>
    <row r="856" ht="177.75" customHeight="1">
      <c r="A856" s="32">
        <v>4203</v>
      </c>
      <c r="B856" s="27" t="s">
        <v>1636</v>
      </c>
      <c r="D856" s="28" t="s">
        <v>30</v>
      </c>
      <c r="E856" s="32">
        <v>1259269</v>
      </c>
      <c r="F856" s="29">
        <f>C856*E856</f>
        <v>0</v>
      </c>
      <c r="G856" s="29">
        <v>0</v>
      </c>
      <c r="H856" s="30">
        <f>SUM(F856:G856)</f>
        <v>0</v>
      </c>
      <c r="I856" s="32" t="s">
        <v>1637</v>
      </c>
    </row>
    <row r="857">
      <c r="A857" s="32"/>
      <c r="B857" s="32"/>
      <c r="C857" s="32"/>
      <c r="D857" s="32"/>
      <c r="E857" s="32"/>
      <c r="F857" s="32"/>
      <c r="G857" s="32"/>
      <c r="H857" s="32"/>
      <c r="I857" s="32"/>
    </row>
    <row r="858" ht="12.75" customHeight="1">
      <c r="A858" s="28" t="s">
        <v>1638</v>
      </c>
      <c r="B858" s="28"/>
      <c r="C858" s="28"/>
      <c r="D858" s="28"/>
      <c r="E858" s="28"/>
      <c r="F858" s="28"/>
      <c r="G858" s="28"/>
      <c r="H858" s="28"/>
      <c r="I858" s="28"/>
    </row>
    <row r="859" ht="255.75" customHeight="1">
      <c r="A859" s="32">
        <v>4301</v>
      </c>
      <c r="B859" s="27" t="s">
        <v>1639</v>
      </c>
      <c r="D859" s="28" t="s">
        <v>22</v>
      </c>
      <c r="E859" s="32">
        <v>261419</v>
      </c>
      <c r="F859" s="29">
        <f t="shared" ref="F859:F874" si="44">C859*E859</f>
        <v>0</v>
      </c>
      <c r="G859" s="29">
        <v>0</v>
      </c>
      <c r="H859" s="30">
        <f t="shared" ref="H859:H874" si="45">SUM(F859:G859)</f>
        <v>0</v>
      </c>
      <c r="I859" s="32" t="s">
        <v>1640</v>
      </c>
    </row>
    <row r="860" ht="89.25">
      <c r="A860" s="38">
        <v>4302</v>
      </c>
      <c r="B860" s="27" t="s">
        <v>1641</v>
      </c>
      <c r="D860" s="28" t="s">
        <v>22</v>
      </c>
      <c r="E860" s="32">
        <v>800672</v>
      </c>
      <c r="F860" s="29">
        <f t="shared" si="44"/>
        <v>0</v>
      </c>
      <c r="G860" s="29">
        <v>0</v>
      </c>
      <c r="H860" s="30">
        <f t="shared" si="45"/>
        <v>0</v>
      </c>
      <c r="I860" s="32" t="s">
        <v>1642</v>
      </c>
    </row>
    <row r="861" ht="63.75">
      <c r="A861" s="38">
        <v>4303</v>
      </c>
      <c r="B861" s="27" t="s">
        <v>1643</v>
      </c>
      <c r="D861" s="28" t="s">
        <v>22</v>
      </c>
      <c r="E861" s="32">
        <v>6237</v>
      </c>
      <c r="F861" s="29">
        <f t="shared" si="44"/>
        <v>0</v>
      </c>
      <c r="G861" s="29">
        <v>0</v>
      </c>
      <c r="H861" s="30">
        <f t="shared" si="45"/>
        <v>0</v>
      </c>
      <c r="I861" s="32" t="s">
        <v>1644</v>
      </c>
    </row>
    <row r="862" ht="51">
      <c r="A862" s="32">
        <v>4304</v>
      </c>
      <c r="B862" s="27" t="s">
        <v>1645</v>
      </c>
      <c r="D862" s="28" t="s">
        <v>22</v>
      </c>
      <c r="E862" s="32">
        <v>6269</v>
      </c>
      <c r="F862" s="29">
        <f t="shared" si="44"/>
        <v>0</v>
      </c>
      <c r="G862" s="29">
        <v>0</v>
      </c>
      <c r="H862" s="30">
        <f t="shared" si="45"/>
        <v>0</v>
      </c>
      <c r="I862" s="32" t="s">
        <v>1646</v>
      </c>
    </row>
    <row r="863" ht="76.5">
      <c r="A863" s="38">
        <v>4305</v>
      </c>
      <c r="B863" s="27" t="s">
        <v>1647</v>
      </c>
      <c r="D863" s="28" t="s">
        <v>22</v>
      </c>
      <c r="E863" s="32">
        <v>8510</v>
      </c>
      <c r="F863" s="29">
        <f t="shared" si="44"/>
        <v>0</v>
      </c>
      <c r="G863" s="29">
        <v>0</v>
      </c>
      <c r="H863" s="30">
        <f t="shared" si="45"/>
        <v>0</v>
      </c>
      <c r="I863" s="32" t="s">
        <v>1648</v>
      </c>
    </row>
    <row r="864" ht="89.25">
      <c r="A864" s="38">
        <v>4306</v>
      </c>
      <c r="B864" s="27" t="s">
        <v>1649</v>
      </c>
      <c r="D864" s="28" t="s">
        <v>22</v>
      </c>
      <c r="E864" s="32">
        <v>5889</v>
      </c>
      <c r="F864" s="29">
        <f t="shared" si="44"/>
        <v>0</v>
      </c>
      <c r="G864" s="29">
        <v>0</v>
      </c>
      <c r="H864" s="30">
        <f t="shared" si="45"/>
        <v>0</v>
      </c>
      <c r="I864" s="32" t="s">
        <v>1650</v>
      </c>
    </row>
    <row r="865" s="6" customFormat="1" ht="89.25">
      <c r="A865" s="82">
        <v>4307</v>
      </c>
      <c r="B865" s="42" t="s">
        <v>1651</v>
      </c>
      <c r="C865" s="65"/>
      <c r="D865" s="66" t="s">
        <v>22</v>
      </c>
      <c r="E865" s="64">
        <v>312061</v>
      </c>
      <c r="F865" s="29">
        <f t="shared" si="44"/>
        <v>0</v>
      </c>
      <c r="G865" s="29">
        <v>0</v>
      </c>
      <c r="H865" s="30">
        <f t="shared" si="45"/>
        <v>0</v>
      </c>
      <c r="I865" s="64" t="s">
        <v>1652</v>
      </c>
      <c r="J865" s="83">
        <f>E865</f>
        <v>312061</v>
      </c>
    </row>
    <row r="866" s="6" customFormat="1" ht="51">
      <c r="A866" s="64">
        <v>4308</v>
      </c>
      <c r="B866" s="42" t="s">
        <v>1653</v>
      </c>
      <c r="C866" s="65"/>
      <c r="D866" s="66" t="s">
        <v>22</v>
      </c>
      <c r="E866" s="64">
        <v>67603</v>
      </c>
      <c r="F866" s="29">
        <f t="shared" si="44"/>
        <v>0</v>
      </c>
      <c r="G866" s="29">
        <v>0</v>
      </c>
      <c r="H866" s="30">
        <f t="shared" si="45"/>
        <v>0</v>
      </c>
      <c r="I866" s="64" t="s">
        <v>1654</v>
      </c>
      <c r="J866" s="83">
        <f>E866</f>
        <v>67603</v>
      </c>
    </row>
    <row r="867" s="9" customFormat="1" ht="38.25">
      <c r="A867" s="84">
        <v>4309</v>
      </c>
      <c r="B867" s="85" t="s">
        <v>1655</v>
      </c>
      <c r="C867" s="86"/>
      <c r="D867" s="87" t="s">
        <v>1656</v>
      </c>
      <c r="E867" s="84">
        <v>1189</v>
      </c>
      <c r="F867" s="88">
        <f t="shared" si="44"/>
        <v>0</v>
      </c>
      <c r="G867" s="88">
        <v>0</v>
      </c>
      <c r="H867" s="89">
        <f t="shared" si="45"/>
        <v>0</v>
      </c>
      <c r="I867" s="84" t="s">
        <v>1657</v>
      </c>
      <c r="J867" s="9">
        <f>E867*60</f>
        <v>71340</v>
      </c>
    </row>
    <row r="868" ht="114.75">
      <c r="A868" s="32">
        <v>4310</v>
      </c>
      <c r="B868" s="27" t="s">
        <v>1658</v>
      </c>
      <c r="D868" s="28" t="s">
        <v>22</v>
      </c>
      <c r="E868" s="32">
        <v>10558</v>
      </c>
      <c r="F868" s="29">
        <f t="shared" si="44"/>
        <v>0</v>
      </c>
      <c r="G868" s="29">
        <v>0</v>
      </c>
      <c r="H868" s="30">
        <f t="shared" si="45"/>
        <v>0</v>
      </c>
      <c r="I868" s="32" t="s">
        <v>1659</v>
      </c>
    </row>
    <row r="869" ht="51">
      <c r="A869" s="32">
        <v>4311</v>
      </c>
      <c r="B869" s="27" t="s">
        <v>1660</v>
      </c>
      <c r="D869" s="28" t="s">
        <v>22</v>
      </c>
      <c r="E869" s="32">
        <v>9595</v>
      </c>
      <c r="F869" s="29">
        <f t="shared" si="44"/>
        <v>0</v>
      </c>
      <c r="G869" s="29">
        <v>0</v>
      </c>
      <c r="H869" s="30">
        <f t="shared" si="45"/>
        <v>0</v>
      </c>
      <c r="I869" s="32" t="s">
        <v>1661</v>
      </c>
    </row>
    <row r="870" ht="38.25">
      <c r="A870" s="32">
        <v>4312</v>
      </c>
      <c r="B870" s="27" t="s">
        <v>1662</v>
      </c>
      <c r="D870" s="28" t="s">
        <v>22</v>
      </c>
      <c r="E870" s="32">
        <v>9520</v>
      </c>
      <c r="F870" s="29">
        <f t="shared" si="44"/>
        <v>0</v>
      </c>
      <c r="G870" s="29">
        <v>0</v>
      </c>
      <c r="H870" s="30">
        <f t="shared" si="45"/>
        <v>0</v>
      </c>
      <c r="I870" s="32" t="s">
        <v>1663</v>
      </c>
    </row>
    <row r="871" ht="38.25">
      <c r="A871" s="32">
        <v>4313</v>
      </c>
      <c r="B871" s="27" t="s">
        <v>1664</v>
      </c>
      <c r="D871" s="28" t="s">
        <v>22</v>
      </c>
      <c r="E871" s="32">
        <v>3808</v>
      </c>
      <c r="F871" s="29">
        <f t="shared" si="44"/>
        <v>0</v>
      </c>
      <c r="G871" s="29">
        <v>0</v>
      </c>
      <c r="H871" s="30">
        <f t="shared" si="45"/>
        <v>0</v>
      </c>
      <c r="I871" s="32" t="s">
        <v>1665</v>
      </c>
    </row>
    <row r="872" ht="103.5" customHeight="1">
      <c r="A872" s="32">
        <v>4314</v>
      </c>
      <c r="B872" s="27" t="s">
        <v>1666</v>
      </c>
      <c r="D872" s="28" t="s">
        <v>1667</v>
      </c>
      <c r="E872" s="32">
        <v>60016</v>
      </c>
      <c r="F872" s="29">
        <f t="shared" si="44"/>
        <v>0</v>
      </c>
      <c r="G872" s="29">
        <v>0</v>
      </c>
      <c r="H872" s="30">
        <f t="shared" si="45"/>
        <v>0</v>
      </c>
      <c r="I872" s="32" t="s">
        <v>1668</v>
      </c>
    </row>
    <row r="873" ht="25.5">
      <c r="A873" s="32">
        <v>4315</v>
      </c>
      <c r="B873" s="27" t="s">
        <v>1669</v>
      </c>
      <c r="D873" s="28" t="s">
        <v>22</v>
      </c>
      <c r="E873" s="32">
        <v>8171</v>
      </c>
      <c r="F873" s="29">
        <f t="shared" si="44"/>
        <v>0</v>
      </c>
      <c r="G873" s="29">
        <v>0</v>
      </c>
      <c r="H873" s="30">
        <f t="shared" si="45"/>
        <v>0</v>
      </c>
      <c r="I873" s="32" t="s">
        <v>1670</v>
      </c>
    </row>
    <row r="874" ht="38.25">
      <c r="A874" s="32">
        <v>4316</v>
      </c>
      <c r="B874" s="27" t="s">
        <v>1671</v>
      </c>
      <c r="D874" s="28" t="s">
        <v>22</v>
      </c>
      <c r="E874" s="32">
        <v>8800</v>
      </c>
      <c r="F874" s="29">
        <f t="shared" si="44"/>
        <v>0</v>
      </c>
      <c r="G874" s="29">
        <v>0</v>
      </c>
      <c r="H874" s="30">
        <f t="shared" si="45"/>
        <v>0</v>
      </c>
      <c r="I874" s="32" t="s">
        <v>1672</v>
      </c>
    </row>
    <row r="875">
      <c r="A875" s="32"/>
      <c r="B875" s="32"/>
      <c r="C875" s="32"/>
      <c r="D875" s="32"/>
      <c r="E875" s="32"/>
      <c r="F875" s="32"/>
      <c r="G875" s="32"/>
      <c r="H875" s="32"/>
      <c r="I875" s="32"/>
    </row>
    <row r="876" ht="12.75" customHeight="1">
      <c r="A876" s="28" t="s">
        <v>1673</v>
      </c>
      <c r="B876" s="28"/>
      <c r="C876" s="28"/>
      <c r="D876" s="28"/>
      <c r="E876" s="28"/>
      <c r="F876" s="28"/>
      <c r="G876" s="28"/>
      <c r="H876" s="28"/>
      <c r="I876" s="28"/>
    </row>
    <row r="877" ht="90" customHeight="1">
      <c r="A877" s="32">
        <v>4401</v>
      </c>
      <c r="B877" s="27" t="s">
        <v>1674</v>
      </c>
      <c r="D877" s="28" t="s">
        <v>943</v>
      </c>
      <c r="E877" s="32">
        <v>18699</v>
      </c>
      <c r="F877" s="29">
        <f>C877*E877</f>
        <v>0</v>
      </c>
      <c r="G877" s="29">
        <v>0</v>
      </c>
      <c r="H877" s="30">
        <f t="shared" ref="H877:H892" si="46">SUM(F877:G877)</f>
        <v>0</v>
      </c>
      <c r="I877" s="32" t="s">
        <v>1675</v>
      </c>
    </row>
    <row r="878" ht="38.25">
      <c r="A878" s="32">
        <v>4402</v>
      </c>
      <c r="B878" s="27" t="s">
        <v>1676</v>
      </c>
      <c r="D878" s="28" t="s">
        <v>1677</v>
      </c>
      <c r="E878" s="32">
        <v>424</v>
      </c>
      <c r="F878" s="29">
        <f>C878*E878</f>
        <v>0</v>
      </c>
      <c r="G878" s="29">
        <v>0</v>
      </c>
      <c r="H878" s="30">
        <f t="shared" si="46"/>
        <v>0</v>
      </c>
      <c r="I878" s="32" t="s">
        <v>1678</v>
      </c>
    </row>
    <row r="879" ht="51">
      <c r="A879" s="32">
        <v>4403</v>
      </c>
      <c r="B879" s="27" t="s">
        <v>1679</v>
      </c>
      <c r="D879" s="28"/>
      <c r="E879" s="28"/>
      <c r="F879" s="29"/>
      <c r="G879" s="29"/>
      <c r="H879" s="30"/>
      <c r="I879" s="32" t="s">
        <v>1680</v>
      </c>
    </row>
    <row r="880" ht="19.5" customHeight="1">
      <c r="A880" s="28" t="s">
        <v>20</v>
      </c>
      <c r="B880" s="27" t="s">
        <v>1681</v>
      </c>
      <c r="D880" s="28" t="s">
        <v>704</v>
      </c>
      <c r="E880" s="32">
        <v>907</v>
      </c>
      <c r="F880" s="29">
        <f>C880*E880</f>
        <v>0</v>
      </c>
      <c r="G880" s="29">
        <v>0</v>
      </c>
      <c r="H880" s="30">
        <f t="shared" si="46"/>
        <v>0</v>
      </c>
      <c r="I880" s="28" t="s">
        <v>1682</v>
      </c>
    </row>
    <row r="881" ht="19.5" customHeight="1">
      <c r="A881" s="28" t="s">
        <v>24</v>
      </c>
      <c r="B881" s="27" t="s">
        <v>1683</v>
      </c>
      <c r="D881" s="28" t="s">
        <v>704</v>
      </c>
      <c r="E881" s="32">
        <v>625</v>
      </c>
      <c r="F881" s="29">
        <f>C881*E881</f>
        <v>0</v>
      </c>
      <c r="G881" s="29">
        <v>0</v>
      </c>
      <c r="H881" s="30">
        <f t="shared" si="46"/>
        <v>0</v>
      </c>
      <c r="I881" s="28" t="s">
        <v>1684</v>
      </c>
    </row>
    <row r="882" ht="51">
      <c r="A882" s="32">
        <v>4404</v>
      </c>
      <c r="B882" s="27" t="s">
        <v>1685</v>
      </c>
      <c r="D882" s="28" t="s">
        <v>943</v>
      </c>
      <c r="E882" s="32">
        <v>72290</v>
      </c>
      <c r="F882" s="29">
        <f>C882*E882</f>
        <v>0</v>
      </c>
      <c r="G882" s="29">
        <v>0</v>
      </c>
      <c r="H882" s="30">
        <f t="shared" si="46"/>
        <v>0</v>
      </c>
      <c r="I882" s="32" t="s">
        <v>1686</v>
      </c>
    </row>
    <row r="883" ht="25.5">
      <c r="A883" s="32">
        <v>4405</v>
      </c>
      <c r="B883" s="27" t="s">
        <v>1687</v>
      </c>
      <c r="D883" s="28"/>
      <c r="E883" s="28"/>
      <c r="F883" s="29"/>
      <c r="G883" s="29"/>
      <c r="H883" s="30"/>
      <c r="I883" s="32" t="s">
        <v>1688</v>
      </c>
    </row>
    <row r="884" ht="25.5">
      <c r="A884" s="28" t="s">
        <v>20</v>
      </c>
      <c r="B884" s="27" t="s">
        <v>1689</v>
      </c>
      <c r="D884" s="28" t="s">
        <v>943</v>
      </c>
      <c r="E884" s="32">
        <v>3894</v>
      </c>
      <c r="F884" s="29">
        <f t="shared" ref="F884:F892" si="47">C884*E884</f>
        <v>0</v>
      </c>
      <c r="G884" s="29">
        <v>0</v>
      </c>
      <c r="H884" s="30">
        <f t="shared" si="46"/>
        <v>0</v>
      </c>
      <c r="I884" s="28" t="s">
        <v>1690</v>
      </c>
    </row>
    <row r="885" ht="25.5">
      <c r="A885" s="28" t="s">
        <v>24</v>
      </c>
      <c r="B885" s="27" t="s">
        <v>1691</v>
      </c>
      <c r="D885" s="28" t="s">
        <v>943</v>
      </c>
      <c r="E885" s="32">
        <v>3245</v>
      </c>
      <c r="F885" s="29">
        <f t="shared" si="47"/>
        <v>0</v>
      </c>
      <c r="G885" s="29">
        <v>0</v>
      </c>
      <c r="H885" s="30">
        <f t="shared" si="46"/>
        <v>0</v>
      </c>
      <c r="I885" s="28" t="s">
        <v>1692</v>
      </c>
    </row>
    <row r="886" ht="25.5">
      <c r="A886" s="28" t="s">
        <v>42</v>
      </c>
      <c r="B886" s="27" t="s">
        <v>1693</v>
      </c>
      <c r="D886" s="28" t="s">
        <v>943</v>
      </c>
      <c r="E886" s="32">
        <v>7788</v>
      </c>
      <c r="F886" s="29">
        <f t="shared" si="47"/>
        <v>0</v>
      </c>
      <c r="G886" s="29">
        <v>0</v>
      </c>
      <c r="H886" s="30">
        <f t="shared" si="46"/>
        <v>0</v>
      </c>
      <c r="I886" s="28" t="s">
        <v>1694</v>
      </c>
    </row>
    <row r="887" ht="25.5">
      <c r="A887" s="28" t="s">
        <v>69</v>
      </c>
      <c r="B887" s="27" t="s">
        <v>1695</v>
      </c>
      <c r="D887" s="28" t="s">
        <v>943</v>
      </c>
      <c r="E887" s="32">
        <v>3245</v>
      </c>
      <c r="F887" s="29">
        <f t="shared" si="47"/>
        <v>0</v>
      </c>
      <c r="G887" s="29">
        <v>0</v>
      </c>
      <c r="H887" s="30">
        <f t="shared" si="46"/>
        <v>0</v>
      </c>
      <c r="I887" s="28" t="s">
        <v>1696</v>
      </c>
    </row>
    <row r="888" ht="105.75" customHeight="1">
      <c r="A888" s="32">
        <v>4406</v>
      </c>
      <c r="B888" s="27" t="s">
        <v>1697</v>
      </c>
      <c r="D888" s="28" t="s">
        <v>1254</v>
      </c>
      <c r="E888" s="32">
        <v>784</v>
      </c>
      <c r="F888" s="29">
        <f t="shared" si="47"/>
        <v>0</v>
      </c>
      <c r="G888" s="29">
        <v>0</v>
      </c>
      <c r="H888" s="30">
        <f t="shared" si="46"/>
        <v>0</v>
      </c>
      <c r="I888" s="32" t="s">
        <v>1698</v>
      </c>
    </row>
    <row r="889" ht="38.25">
      <c r="A889" s="32">
        <v>4407</v>
      </c>
      <c r="B889" s="27" t="s">
        <v>1699</v>
      </c>
      <c r="D889" s="28" t="s">
        <v>1254</v>
      </c>
      <c r="E889" s="32">
        <v>640</v>
      </c>
      <c r="F889" s="29">
        <f t="shared" si="47"/>
        <v>0</v>
      </c>
      <c r="G889" s="29">
        <v>0</v>
      </c>
      <c r="H889" s="30">
        <f t="shared" si="46"/>
        <v>0</v>
      </c>
      <c r="I889" s="32" t="s">
        <v>1700</v>
      </c>
    </row>
    <row r="890" ht="51">
      <c r="A890" s="32">
        <v>4408</v>
      </c>
      <c r="B890" s="27" t="s">
        <v>1701</v>
      </c>
      <c r="D890" s="28" t="s">
        <v>1702</v>
      </c>
      <c r="E890" s="32">
        <v>4102</v>
      </c>
      <c r="F890" s="29">
        <f t="shared" si="47"/>
        <v>0</v>
      </c>
      <c r="G890" s="29">
        <v>0</v>
      </c>
      <c r="H890" s="30">
        <f t="shared" si="46"/>
        <v>0</v>
      </c>
      <c r="I890" s="32" t="s">
        <v>1703</v>
      </c>
    </row>
    <row r="891" ht="64.5" customHeight="1">
      <c r="A891" s="32">
        <v>4409</v>
      </c>
      <c r="B891" s="27" t="s">
        <v>1704</v>
      </c>
      <c r="D891" s="28" t="s">
        <v>1705</v>
      </c>
      <c r="E891" s="32">
        <v>64951</v>
      </c>
      <c r="F891" s="29">
        <f t="shared" si="47"/>
        <v>0</v>
      </c>
      <c r="G891" s="29">
        <v>0</v>
      </c>
      <c r="H891" s="30">
        <f t="shared" si="46"/>
        <v>0</v>
      </c>
      <c r="I891" s="32" t="s">
        <v>1706</v>
      </c>
    </row>
    <row r="892" ht="25.5">
      <c r="A892" s="32">
        <v>4410</v>
      </c>
      <c r="B892" s="27" t="s">
        <v>1707</v>
      </c>
      <c r="D892" s="28" t="s">
        <v>943</v>
      </c>
      <c r="E892" s="32">
        <v>3309</v>
      </c>
      <c r="F892" s="29">
        <f t="shared" si="47"/>
        <v>0</v>
      </c>
      <c r="G892" s="29">
        <v>0</v>
      </c>
      <c r="H892" s="30">
        <f t="shared" si="46"/>
        <v>0</v>
      </c>
      <c r="I892" s="32" t="s">
        <v>1708</v>
      </c>
    </row>
    <row r="893">
      <c r="A893" s="32"/>
      <c r="B893" s="32"/>
      <c r="C893" s="32"/>
      <c r="D893" s="32"/>
      <c r="E893" s="32"/>
      <c r="F893" s="32"/>
      <c r="G893" s="32"/>
      <c r="H893" s="32"/>
      <c r="I893" s="32"/>
    </row>
    <row r="894" ht="12.75" customHeight="1">
      <c r="A894" s="28" t="s">
        <v>1709</v>
      </c>
      <c r="B894" s="28"/>
      <c r="C894" s="28"/>
      <c r="D894" s="28"/>
      <c r="E894" s="28"/>
      <c r="F894" s="28"/>
      <c r="G894" s="28"/>
      <c r="H894" s="28"/>
      <c r="I894" s="28"/>
    </row>
    <row r="895" ht="52.5" customHeight="1">
      <c r="A895" s="32">
        <v>4501</v>
      </c>
      <c r="B895" s="27" t="s">
        <v>1710</v>
      </c>
      <c r="D895" s="28"/>
      <c r="E895" s="28"/>
      <c r="F895" s="29">
        <f t="shared" ref="F895:F919" si="48">C895*E895</f>
        <v>0</v>
      </c>
      <c r="G895" s="29">
        <v>0</v>
      </c>
      <c r="H895" s="30">
        <f t="shared" ref="H895:H919" si="49">SUM(F895:G895)</f>
        <v>0</v>
      </c>
      <c r="I895" s="32" t="s">
        <v>1711</v>
      </c>
    </row>
    <row r="896" ht="65.25" customHeight="1">
      <c r="A896" s="28" t="s">
        <v>20</v>
      </c>
      <c r="B896" s="27" t="s">
        <v>1712</v>
      </c>
      <c r="D896" s="28" t="s">
        <v>30</v>
      </c>
      <c r="E896" s="32">
        <v>1808</v>
      </c>
      <c r="F896" s="29">
        <f t="shared" si="48"/>
        <v>0</v>
      </c>
      <c r="G896" s="29">
        <v>0</v>
      </c>
      <c r="H896" s="30">
        <f t="shared" si="49"/>
        <v>0</v>
      </c>
      <c r="I896" s="28" t="s">
        <v>1713</v>
      </c>
    </row>
    <row r="897" ht="102">
      <c r="A897" s="28" t="s">
        <v>24</v>
      </c>
      <c r="B897" s="27" t="s">
        <v>1714</v>
      </c>
      <c r="D897" s="28" t="s">
        <v>30</v>
      </c>
      <c r="E897" s="32">
        <v>7232</v>
      </c>
      <c r="F897" s="29">
        <f t="shared" si="48"/>
        <v>0</v>
      </c>
      <c r="G897" s="29">
        <v>0</v>
      </c>
      <c r="H897" s="30">
        <f t="shared" si="49"/>
        <v>0</v>
      </c>
      <c r="I897" s="28" t="s">
        <v>1715</v>
      </c>
    </row>
    <row r="898" ht="127.5">
      <c r="A898" s="28" t="s">
        <v>42</v>
      </c>
      <c r="B898" s="27" t="s">
        <v>1716</v>
      </c>
      <c r="D898" s="28" t="s">
        <v>943</v>
      </c>
      <c r="E898" s="32">
        <v>2275</v>
      </c>
      <c r="F898" s="29">
        <f t="shared" si="48"/>
        <v>0</v>
      </c>
      <c r="G898" s="29">
        <v>0</v>
      </c>
      <c r="H898" s="30">
        <f t="shared" si="49"/>
        <v>0</v>
      </c>
      <c r="I898" s="28" t="s">
        <v>1717</v>
      </c>
    </row>
    <row r="899" ht="76.5">
      <c r="A899" s="28" t="s">
        <v>69</v>
      </c>
      <c r="B899" s="27" t="s">
        <v>1718</v>
      </c>
      <c r="D899" s="28" t="s">
        <v>943</v>
      </c>
      <c r="E899" s="32">
        <v>1196</v>
      </c>
      <c r="F899" s="29">
        <f t="shared" si="48"/>
        <v>0</v>
      </c>
      <c r="G899" s="29">
        <v>0</v>
      </c>
      <c r="H899" s="30">
        <f t="shared" si="49"/>
        <v>0</v>
      </c>
      <c r="I899" s="28" t="s">
        <v>1719</v>
      </c>
    </row>
    <row r="900" ht="90.75" customHeight="1">
      <c r="A900" s="28" t="s">
        <v>72</v>
      </c>
      <c r="B900" s="27" t="s">
        <v>1720</v>
      </c>
      <c r="D900" s="28" t="s">
        <v>943</v>
      </c>
      <c r="E900" s="32">
        <v>1518</v>
      </c>
      <c r="F900" s="29">
        <f t="shared" si="48"/>
        <v>0</v>
      </c>
      <c r="G900" s="29">
        <v>0</v>
      </c>
      <c r="H900" s="30">
        <f t="shared" si="49"/>
        <v>0</v>
      </c>
      <c r="I900" s="28" t="s">
        <v>1721</v>
      </c>
    </row>
    <row r="901" ht="63.75">
      <c r="A901" s="28" t="s">
        <v>75</v>
      </c>
      <c r="B901" s="27" t="s">
        <v>1722</v>
      </c>
      <c r="D901" s="28" t="s">
        <v>943</v>
      </c>
      <c r="E901" s="32">
        <v>1342</v>
      </c>
      <c r="F901" s="29">
        <f t="shared" si="48"/>
        <v>0</v>
      </c>
      <c r="G901" s="29">
        <v>0</v>
      </c>
      <c r="H901" s="30">
        <f t="shared" si="49"/>
        <v>0</v>
      </c>
      <c r="I901" s="28" t="s">
        <v>1723</v>
      </c>
    </row>
    <row r="902" ht="51">
      <c r="A902" s="28" t="s">
        <v>204</v>
      </c>
      <c r="B902" s="27" t="s">
        <v>1724</v>
      </c>
      <c r="D902" s="28" t="s">
        <v>1725</v>
      </c>
      <c r="E902" s="32">
        <v>1497</v>
      </c>
      <c r="F902" s="29">
        <f t="shared" si="48"/>
        <v>0</v>
      </c>
      <c r="G902" s="29">
        <v>0</v>
      </c>
      <c r="H902" s="30">
        <f t="shared" si="49"/>
        <v>0</v>
      </c>
      <c r="I902" s="28" t="s">
        <v>1726</v>
      </c>
    </row>
    <row r="903" ht="55.5" customHeight="1">
      <c r="A903" s="28"/>
      <c r="B903" s="27" t="s">
        <v>1727</v>
      </c>
      <c r="D903" s="28"/>
      <c r="E903" s="28"/>
      <c r="F903" s="29">
        <f t="shared" si="48"/>
        <v>0</v>
      </c>
      <c r="G903" s="29">
        <v>0</v>
      </c>
      <c r="H903" s="30">
        <f t="shared" si="49"/>
        <v>0</v>
      </c>
      <c r="I903" s="28"/>
    </row>
    <row r="904" ht="89.25">
      <c r="A904" s="28" t="s">
        <v>419</v>
      </c>
      <c r="B904" s="27" t="s">
        <v>1728</v>
      </c>
      <c r="D904" s="28" t="s">
        <v>30</v>
      </c>
      <c r="E904" s="32">
        <v>3979</v>
      </c>
      <c r="F904" s="29">
        <f t="shared" si="48"/>
        <v>0</v>
      </c>
      <c r="G904" s="29">
        <v>0</v>
      </c>
      <c r="H904" s="30">
        <f t="shared" si="49"/>
        <v>0</v>
      </c>
      <c r="I904" s="28" t="s">
        <v>1729</v>
      </c>
    </row>
    <row r="905" ht="89.25">
      <c r="A905" s="28" t="s">
        <v>422</v>
      </c>
      <c r="B905" s="27" t="s">
        <v>1730</v>
      </c>
      <c r="D905" s="28" t="s">
        <v>943</v>
      </c>
      <c r="E905" s="32">
        <v>4200</v>
      </c>
      <c r="F905" s="29">
        <f t="shared" si="48"/>
        <v>0</v>
      </c>
      <c r="G905" s="29">
        <v>0</v>
      </c>
      <c r="H905" s="30">
        <f t="shared" si="49"/>
        <v>0</v>
      </c>
      <c r="I905" s="28" t="s">
        <v>1731</v>
      </c>
    </row>
    <row r="906" ht="114.75">
      <c r="A906" s="28" t="s">
        <v>499</v>
      </c>
      <c r="B906" s="27" t="s">
        <v>1732</v>
      </c>
      <c r="D906" s="28" t="s">
        <v>30</v>
      </c>
      <c r="E906" s="32">
        <v>955</v>
      </c>
      <c r="F906" s="29">
        <f t="shared" si="48"/>
        <v>0</v>
      </c>
      <c r="G906" s="29">
        <v>0</v>
      </c>
      <c r="H906" s="30">
        <f t="shared" si="49"/>
        <v>0</v>
      </c>
      <c r="I906" s="28" t="s">
        <v>1733</v>
      </c>
    </row>
    <row r="907" ht="114.75">
      <c r="A907" s="28" t="s">
        <v>502</v>
      </c>
      <c r="B907" s="27" t="s">
        <v>1734</v>
      </c>
      <c r="D907" s="28" t="s">
        <v>943</v>
      </c>
      <c r="E907" s="32">
        <v>2333</v>
      </c>
      <c r="F907" s="29">
        <f t="shared" si="48"/>
        <v>0</v>
      </c>
      <c r="G907" s="29">
        <v>0</v>
      </c>
      <c r="H907" s="30">
        <f t="shared" si="49"/>
        <v>0</v>
      </c>
      <c r="I907" s="28" t="s">
        <v>1735</v>
      </c>
    </row>
    <row r="908" ht="51">
      <c r="A908" s="28" t="s">
        <v>818</v>
      </c>
      <c r="B908" s="27" t="s">
        <v>1736</v>
      </c>
      <c r="D908" s="28" t="s">
        <v>943</v>
      </c>
      <c r="E908" s="32">
        <v>1167</v>
      </c>
      <c r="F908" s="29">
        <f t="shared" si="48"/>
        <v>0</v>
      </c>
      <c r="G908" s="29">
        <v>0</v>
      </c>
      <c r="H908" s="30">
        <f t="shared" si="49"/>
        <v>0</v>
      </c>
      <c r="I908" s="28" t="s">
        <v>1737</v>
      </c>
    </row>
    <row r="909" ht="77.25" customHeight="1">
      <c r="A909" s="28" t="s">
        <v>702</v>
      </c>
      <c r="B909" s="27" t="s">
        <v>1738</v>
      </c>
      <c r="D909" s="28" t="s">
        <v>943</v>
      </c>
      <c r="E909" s="32">
        <v>1662</v>
      </c>
      <c r="F909" s="29">
        <f t="shared" si="48"/>
        <v>0</v>
      </c>
      <c r="G909" s="29">
        <v>0</v>
      </c>
      <c r="H909" s="30">
        <f t="shared" si="49"/>
        <v>0</v>
      </c>
      <c r="I909" s="28" t="s">
        <v>1739</v>
      </c>
    </row>
    <row r="910" ht="63.75">
      <c r="A910" s="28" t="s">
        <v>706</v>
      </c>
      <c r="B910" s="27" t="s">
        <v>1740</v>
      </c>
      <c r="D910" s="28" t="s">
        <v>943</v>
      </c>
      <c r="E910" s="32">
        <v>2042</v>
      </c>
      <c r="F910" s="29">
        <f t="shared" si="48"/>
        <v>0</v>
      </c>
      <c r="G910" s="29">
        <v>0</v>
      </c>
      <c r="H910" s="30">
        <f t="shared" si="49"/>
        <v>0</v>
      </c>
      <c r="I910" s="28" t="s">
        <v>1741</v>
      </c>
    </row>
    <row r="911" ht="51" customHeight="1">
      <c r="A911" s="28" t="s">
        <v>709</v>
      </c>
      <c r="B911" s="27" t="s">
        <v>1742</v>
      </c>
      <c r="D911" s="28" t="s">
        <v>943</v>
      </c>
      <c r="E911" s="32">
        <v>121</v>
      </c>
      <c r="F911" s="29">
        <f t="shared" si="48"/>
        <v>0</v>
      </c>
      <c r="G911" s="29">
        <v>0</v>
      </c>
      <c r="H911" s="30">
        <f t="shared" si="49"/>
        <v>0</v>
      </c>
      <c r="I911" s="28" t="s">
        <v>1743</v>
      </c>
    </row>
    <row r="912" ht="51">
      <c r="A912" s="28" t="s">
        <v>712</v>
      </c>
      <c r="B912" s="27" t="s">
        <v>1744</v>
      </c>
      <c r="D912" s="28" t="s">
        <v>1167</v>
      </c>
      <c r="E912" s="32">
        <v>6999</v>
      </c>
      <c r="F912" s="29">
        <f t="shared" si="48"/>
        <v>0</v>
      </c>
      <c r="G912" s="29">
        <v>0</v>
      </c>
      <c r="H912" s="30">
        <f t="shared" si="49"/>
        <v>0</v>
      </c>
      <c r="I912" s="28" t="s">
        <v>1745</v>
      </c>
    </row>
    <row r="913" ht="91.5" customHeight="1">
      <c r="A913" s="28" t="s">
        <v>715</v>
      </c>
      <c r="B913" s="27" t="s">
        <v>1746</v>
      </c>
      <c r="D913" s="28" t="s">
        <v>30</v>
      </c>
      <c r="E913" s="32">
        <v>4083</v>
      </c>
      <c r="F913" s="29">
        <f t="shared" si="48"/>
        <v>0</v>
      </c>
      <c r="G913" s="29">
        <v>0</v>
      </c>
      <c r="H913" s="30">
        <f t="shared" si="49"/>
        <v>0</v>
      </c>
      <c r="I913" s="28" t="s">
        <v>1747</v>
      </c>
    </row>
    <row r="914" ht="114.75">
      <c r="A914" s="28" t="s">
        <v>718</v>
      </c>
      <c r="B914" s="27" t="s">
        <v>1748</v>
      </c>
      <c r="D914" s="28" t="s">
        <v>30</v>
      </c>
      <c r="E914" s="32">
        <v>9565</v>
      </c>
      <c r="F914" s="29">
        <f t="shared" si="48"/>
        <v>0</v>
      </c>
      <c r="G914" s="29">
        <v>0</v>
      </c>
      <c r="H914" s="30">
        <f t="shared" si="49"/>
        <v>0</v>
      </c>
      <c r="I914" s="28" t="s">
        <v>1749</v>
      </c>
    </row>
    <row r="915" ht="65.25" customHeight="1">
      <c r="A915" s="28" t="s">
        <v>1750</v>
      </c>
      <c r="B915" s="27" t="s">
        <v>1751</v>
      </c>
      <c r="D915" s="28" t="s">
        <v>30</v>
      </c>
      <c r="E915" s="32">
        <v>4550</v>
      </c>
      <c r="F915" s="29">
        <f t="shared" si="48"/>
        <v>0</v>
      </c>
      <c r="G915" s="29">
        <v>0</v>
      </c>
      <c r="H915" s="30">
        <f t="shared" si="49"/>
        <v>0</v>
      </c>
      <c r="I915" s="28" t="s">
        <v>1752</v>
      </c>
    </row>
    <row r="916" ht="25.5">
      <c r="A916" s="28" t="s">
        <v>1753</v>
      </c>
      <c r="B916" s="27" t="s">
        <v>1754</v>
      </c>
      <c r="D916" s="28" t="s">
        <v>943</v>
      </c>
      <c r="E916" s="32">
        <v>65</v>
      </c>
      <c r="F916" s="29">
        <f t="shared" si="48"/>
        <v>0</v>
      </c>
      <c r="G916" s="29">
        <v>0</v>
      </c>
      <c r="H916" s="30">
        <f t="shared" si="49"/>
        <v>0</v>
      </c>
      <c r="I916" s="28" t="s">
        <v>1755</v>
      </c>
    </row>
    <row r="917" ht="25.5">
      <c r="A917" s="28" t="s">
        <v>1756</v>
      </c>
      <c r="B917" s="27" t="s">
        <v>1757</v>
      </c>
      <c r="D917" s="28" t="s">
        <v>943</v>
      </c>
      <c r="E917" s="32">
        <v>89</v>
      </c>
      <c r="F917" s="29">
        <f t="shared" si="48"/>
        <v>0</v>
      </c>
      <c r="G917" s="29">
        <v>0</v>
      </c>
      <c r="H917" s="30">
        <f t="shared" si="49"/>
        <v>0</v>
      </c>
      <c r="I917" s="28" t="s">
        <v>1758</v>
      </c>
    </row>
    <row r="918" ht="51">
      <c r="A918" s="28" t="s">
        <v>1759</v>
      </c>
      <c r="B918" s="27" t="s">
        <v>1760</v>
      </c>
      <c r="D918" s="28" t="s">
        <v>1761</v>
      </c>
      <c r="E918" s="32">
        <v>11</v>
      </c>
      <c r="F918" s="29">
        <f t="shared" si="48"/>
        <v>0</v>
      </c>
      <c r="G918" s="29">
        <v>0</v>
      </c>
      <c r="H918" s="30">
        <f t="shared" si="49"/>
        <v>0</v>
      </c>
      <c r="I918" s="28" t="s">
        <v>1762</v>
      </c>
    </row>
    <row r="919" ht="25.5">
      <c r="A919" s="28" t="s">
        <v>1763</v>
      </c>
      <c r="B919" s="27" t="s">
        <v>1764</v>
      </c>
      <c r="D919" s="28" t="s">
        <v>943</v>
      </c>
      <c r="E919" s="32">
        <v>478</v>
      </c>
      <c r="F919" s="29">
        <f t="shared" si="48"/>
        <v>0</v>
      </c>
      <c r="G919" s="29">
        <v>0</v>
      </c>
      <c r="H919" s="30">
        <f t="shared" si="49"/>
        <v>0</v>
      </c>
      <c r="I919" s="28" t="s">
        <v>1765</v>
      </c>
    </row>
    <row r="920">
      <c r="A920" s="28"/>
      <c r="B920" s="28"/>
      <c r="C920" s="28"/>
      <c r="D920" s="28"/>
      <c r="E920" s="28"/>
      <c r="F920" s="28"/>
      <c r="G920" s="28"/>
      <c r="H920" s="28"/>
      <c r="I920" s="28"/>
    </row>
    <row r="921" ht="12.75" customHeight="1">
      <c r="A921" s="28" t="s">
        <v>1766</v>
      </c>
      <c r="B921" s="28"/>
      <c r="C921" s="28"/>
      <c r="D921" s="28"/>
      <c r="E921" s="28"/>
      <c r="F921" s="28"/>
      <c r="G921" s="28"/>
      <c r="H921" s="28"/>
      <c r="I921" s="28"/>
    </row>
    <row r="922" ht="25.5">
      <c r="A922" s="32">
        <v>4601</v>
      </c>
      <c r="B922" s="27" t="s">
        <v>1767</v>
      </c>
      <c r="D922" s="28" t="s">
        <v>943</v>
      </c>
      <c r="E922" s="32">
        <v>922</v>
      </c>
      <c r="F922" s="29">
        <f t="shared" ref="F922:F953" si="50">C922*E922</f>
        <v>0</v>
      </c>
      <c r="G922" s="29">
        <v>0</v>
      </c>
      <c r="H922" s="30">
        <f t="shared" ref="H922:H974" si="51">SUM(F922:G922)</f>
        <v>0</v>
      </c>
      <c r="I922" s="32" t="s">
        <v>1768</v>
      </c>
    </row>
    <row r="923" ht="130.5" customHeight="1">
      <c r="A923" s="32">
        <v>4602</v>
      </c>
      <c r="B923" s="27" t="s">
        <v>1769</v>
      </c>
      <c r="D923" s="28" t="s">
        <v>1770</v>
      </c>
      <c r="E923" s="32">
        <v>1449</v>
      </c>
      <c r="F923" s="29">
        <f t="shared" si="50"/>
        <v>0</v>
      </c>
      <c r="G923" s="29">
        <v>0</v>
      </c>
      <c r="H923" s="30">
        <f t="shared" si="51"/>
        <v>0</v>
      </c>
      <c r="I923" s="32" t="s">
        <v>1771</v>
      </c>
    </row>
    <row r="924" ht="45" customHeight="1">
      <c r="A924" s="32">
        <v>4603</v>
      </c>
      <c r="B924" s="27" t="s">
        <v>1772</v>
      </c>
      <c r="D924" s="28" t="s">
        <v>943</v>
      </c>
      <c r="E924" s="32">
        <v>9558</v>
      </c>
      <c r="F924" s="29">
        <f t="shared" si="50"/>
        <v>0</v>
      </c>
      <c r="G924" s="29">
        <v>0</v>
      </c>
      <c r="H924" s="30">
        <f t="shared" si="51"/>
        <v>0</v>
      </c>
      <c r="I924" s="32" t="s">
        <v>1773</v>
      </c>
    </row>
    <row r="925" ht="38.25">
      <c r="A925" s="32">
        <v>4604</v>
      </c>
      <c r="B925" s="27" t="s">
        <v>1774</v>
      </c>
      <c r="D925" s="28" t="s">
        <v>1775</v>
      </c>
      <c r="E925" s="32">
        <v>2737</v>
      </c>
      <c r="F925" s="29">
        <f t="shared" si="50"/>
        <v>0</v>
      </c>
      <c r="G925" s="29">
        <v>0</v>
      </c>
      <c r="H925" s="30">
        <f t="shared" si="51"/>
        <v>0</v>
      </c>
      <c r="I925" s="32" t="s">
        <v>1776</v>
      </c>
    </row>
    <row r="926" ht="38.25">
      <c r="A926" s="32">
        <v>4605</v>
      </c>
      <c r="B926" s="27" t="s">
        <v>1777</v>
      </c>
      <c r="D926" s="28" t="s">
        <v>30</v>
      </c>
      <c r="E926" s="32">
        <v>1729</v>
      </c>
      <c r="F926" s="29">
        <f t="shared" si="50"/>
        <v>0</v>
      </c>
      <c r="G926" s="29">
        <v>0</v>
      </c>
      <c r="H926" s="30">
        <f t="shared" si="51"/>
        <v>0</v>
      </c>
      <c r="I926" s="32" t="s">
        <v>1778</v>
      </c>
    </row>
    <row r="927" ht="39.75" customHeight="1">
      <c r="A927" s="32">
        <v>4606</v>
      </c>
      <c r="B927" s="27" t="s">
        <v>1779</v>
      </c>
      <c r="D927" s="28" t="s">
        <v>943</v>
      </c>
      <c r="E927" s="32">
        <v>340</v>
      </c>
      <c r="F927" s="29">
        <f t="shared" si="50"/>
        <v>0</v>
      </c>
      <c r="G927" s="29">
        <v>0</v>
      </c>
      <c r="H927" s="30">
        <f t="shared" si="51"/>
        <v>0</v>
      </c>
      <c r="I927" s="32" t="s">
        <v>1780</v>
      </c>
    </row>
    <row r="928" s="6" customFormat="1" ht="51">
      <c r="A928" s="64">
        <v>4607</v>
      </c>
      <c r="B928" s="42" t="s">
        <v>1781</v>
      </c>
      <c r="C928" s="65"/>
      <c r="D928" s="66" t="s">
        <v>943</v>
      </c>
      <c r="E928" s="64">
        <v>375</v>
      </c>
      <c r="F928" s="29">
        <f t="shared" si="50"/>
        <v>0</v>
      </c>
      <c r="G928" s="29">
        <v>0</v>
      </c>
      <c r="H928" s="30">
        <f t="shared" si="51"/>
        <v>0</v>
      </c>
      <c r="I928" s="64" t="s">
        <v>1782</v>
      </c>
    </row>
    <row r="929" ht="155.25" customHeight="1">
      <c r="A929" s="32">
        <v>4608</v>
      </c>
      <c r="B929" s="27" t="s">
        <v>1783</v>
      </c>
      <c r="D929" s="28" t="s">
        <v>1167</v>
      </c>
      <c r="E929" s="32">
        <v>2670</v>
      </c>
      <c r="F929" s="29">
        <f t="shared" si="50"/>
        <v>0</v>
      </c>
      <c r="G929" s="29">
        <v>0</v>
      </c>
      <c r="H929" s="30">
        <f t="shared" si="51"/>
        <v>0</v>
      </c>
      <c r="I929" s="32" t="s">
        <v>1784</v>
      </c>
    </row>
    <row r="930" ht="140.25">
      <c r="A930" s="32">
        <v>4609</v>
      </c>
      <c r="B930" s="27" t="s">
        <v>1785</v>
      </c>
      <c r="D930" s="28" t="s">
        <v>943</v>
      </c>
      <c r="E930" s="32">
        <v>3922</v>
      </c>
      <c r="F930" s="29">
        <f t="shared" si="50"/>
        <v>0</v>
      </c>
      <c r="G930" s="29">
        <v>0</v>
      </c>
      <c r="H930" s="30">
        <f t="shared" si="51"/>
        <v>0</v>
      </c>
      <c r="I930" s="32" t="s">
        <v>1786</v>
      </c>
    </row>
    <row r="931" ht="89.25">
      <c r="A931" s="32">
        <v>4610</v>
      </c>
      <c r="B931" s="27" t="s">
        <v>1787</v>
      </c>
      <c r="D931" s="28" t="s">
        <v>943</v>
      </c>
      <c r="E931" s="32">
        <v>3292</v>
      </c>
      <c r="F931" s="29">
        <f t="shared" si="50"/>
        <v>0</v>
      </c>
      <c r="G931" s="29">
        <v>0</v>
      </c>
      <c r="H931" s="30">
        <f t="shared" si="51"/>
        <v>0</v>
      </c>
      <c r="I931" s="32" t="s">
        <v>1788</v>
      </c>
    </row>
    <row r="932" ht="18" customHeight="1">
      <c r="A932" s="32">
        <v>4611</v>
      </c>
      <c r="B932" s="27" t="s">
        <v>1789</v>
      </c>
      <c r="D932" s="28"/>
      <c r="E932" s="28"/>
      <c r="F932" s="29">
        <f t="shared" si="50"/>
        <v>0</v>
      </c>
      <c r="G932" s="29">
        <v>0</v>
      </c>
      <c r="H932" s="30">
        <f t="shared" si="51"/>
        <v>0</v>
      </c>
      <c r="I932" s="32" t="s">
        <v>1790</v>
      </c>
    </row>
    <row r="933" ht="67.5" customHeight="1">
      <c r="A933" s="28" t="s">
        <v>20</v>
      </c>
      <c r="B933" s="27" t="s">
        <v>1791</v>
      </c>
      <c r="D933" s="28" t="s">
        <v>943</v>
      </c>
      <c r="E933" s="32">
        <v>2046</v>
      </c>
      <c r="F933" s="29">
        <f t="shared" si="50"/>
        <v>0</v>
      </c>
      <c r="G933" s="29">
        <v>0</v>
      </c>
      <c r="H933" s="30">
        <f t="shared" si="51"/>
        <v>0</v>
      </c>
      <c r="I933" s="28" t="s">
        <v>1792</v>
      </c>
    </row>
    <row r="934" ht="17.25" customHeight="1">
      <c r="A934" s="28" t="s">
        <v>24</v>
      </c>
      <c r="B934" s="27" t="s">
        <v>1793</v>
      </c>
      <c r="D934" s="28" t="s">
        <v>943</v>
      </c>
      <c r="E934" s="32">
        <v>222</v>
      </c>
      <c r="F934" s="29">
        <f t="shared" si="50"/>
        <v>0</v>
      </c>
      <c r="G934" s="29">
        <v>0</v>
      </c>
      <c r="H934" s="30">
        <f t="shared" si="51"/>
        <v>0</v>
      </c>
      <c r="I934" s="28" t="s">
        <v>1794</v>
      </c>
    </row>
    <row r="935" ht="51">
      <c r="A935" s="28" t="s">
        <v>42</v>
      </c>
      <c r="B935" s="27" t="s">
        <v>1795</v>
      </c>
      <c r="D935" s="28" t="s">
        <v>943</v>
      </c>
      <c r="E935" s="32">
        <v>325</v>
      </c>
      <c r="F935" s="29">
        <f t="shared" si="50"/>
        <v>0</v>
      </c>
      <c r="G935" s="29">
        <v>0</v>
      </c>
      <c r="H935" s="30">
        <f t="shared" si="51"/>
        <v>0</v>
      </c>
      <c r="I935" s="28" t="s">
        <v>1796</v>
      </c>
    </row>
    <row r="936" ht="102">
      <c r="A936" s="32">
        <v>4612</v>
      </c>
      <c r="B936" s="27" t="s">
        <v>1797</v>
      </c>
      <c r="D936" s="28" t="s">
        <v>943</v>
      </c>
      <c r="E936" s="32">
        <v>7739</v>
      </c>
      <c r="F936" s="29">
        <f t="shared" si="50"/>
        <v>0</v>
      </c>
      <c r="G936" s="29">
        <v>0</v>
      </c>
      <c r="H936" s="30">
        <f t="shared" si="51"/>
        <v>0</v>
      </c>
      <c r="I936" s="32" t="s">
        <v>1798</v>
      </c>
    </row>
    <row r="937" ht="90" customHeight="1">
      <c r="A937" s="32">
        <v>4613</v>
      </c>
      <c r="B937" s="27" t="s">
        <v>1799</v>
      </c>
      <c r="D937" s="28" t="s">
        <v>943</v>
      </c>
      <c r="E937" s="32">
        <v>17545</v>
      </c>
      <c r="F937" s="29">
        <f t="shared" si="50"/>
        <v>0</v>
      </c>
      <c r="G937" s="29">
        <v>0</v>
      </c>
      <c r="H937" s="30">
        <f t="shared" si="51"/>
        <v>0</v>
      </c>
      <c r="I937" s="32" t="s">
        <v>1800</v>
      </c>
    </row>
    <row r="938" ht="17.25" customHeight="1">
      <c r="A938" s="28"/>
      <c r="B938" s="90" t="s">
        <v>1801</v>
      </c>
      <c r="C938" s="28"/>
      <c r="D938" s="28"/>
      <c r="E938" s="28"/>
      <c r="F938" s="29">
        <f t="shared" si="50"/>
        <v>0</v>
      </c>
      <c r="G938" s="29">
        <v>0</v>
      </c>
      <c r="H938" s="30">
        <f t="shared" si="51"/>
        <v>0</v>
      </c>
      <c r="I938" s="28"/>
    </row>
    <row r="939" ht="25.5">
      <c r="A939" s="32">
        <v>4614</v>
      </c>
      <c r="B939" s="27" t="s">
        <v>1802</v>
      </c>
      <c r="D939" s="28" t="s">
        <v>293</v>
      </c>
      <c r="E939" s="32">
        <v>7410</v>
      </c>
      <c r="F939" s="29">
        <f t="shared" si="50"/>
        <v>0</v>
      </c>
      <c r="G939" s="29">
        <v>0</v>
      </c>
      <c r="H939" s="30">
        <f t="shared" si="51"/>
        <v>0</v>
      </c>
      <c r="I939" s="32" t="s">
        <v>1803</v>
      </c>
    </row>
    <row r="940" ht="140.25">
      <c r="A940" s="32">
        <v>4615</v>
      </c>
      <c r="B940" s="27" t="s">
        <v>1804</v>
      </c>
      <c r="D940" s="28" t="s">
        <v>1805</v>
      </c>
      <c r="E940" s="32">
        <v>10956</v>
      </c>
      <c r="F940" s="29">
        <f t="shared" si="50"/>
        <v>0</v>
      </c>
      <c r="G940" s="29">
        <v>0</v>
      </c>
      <c r="H940" s="30">
        <f t="shared" si="51"/>
        <v>0</v>
      </c>
      <c r="I940" s="32" t="s">
        <v>1806</v>
      </c>
    </row>
    <row r="941" ht="25.5">
      <c r="A941" s="32">
        <v>4616</v>
      </c>
      <c r="B941" s="27" t="s">
        <v>1807</v>
      </c>
      <c r="D941" s="28" t="s">
        <v>428</v>
      </c>
      <c r="E941" s="32">
        <v>1750</v>
      </c>
      <c r="F941" s="29">
        <f t="shared" si="50"/>
        <v>0</v>
      </c>
      <c r="G941" s="29">
        <v>0</v>
      </c>
      <c r="H941" s="30">
        <f t="shared" si="51"/>
        <v>0</v>
      </c>
      <c r="I941" s="32" t="s">
        <v>1808</v>
      </c>
    </row>
    <row r="942" ht="140.25">
      <c r="A942" s="32">
        <v>4617</v>
      </c>
      <c r="B942" s="27" t="s">
        <v>1809</v>
      </c>
      <c r="D942" s="28" t="s">
        <v>943</v>
      </c>
      <c r="E942" s="32">
        <v>6344</v>
      </c>
      <c r="F942" s="29">
        <f t="shared" si="50"/>
        <v>0</v>
      </c>
      <c r="G942" s="29">
        <v>0</v>
      </c>
      <c r="H942" s="30">
        <f t="shared" si="51"/>
        <v>0</v>
      </c>
      <c r="I942" s="32" t="s">
        <v>1810</v>
      </c>
    </row>
    <row r="943" ht="127.5">
      <c r="A943" s="32">
        <v>4618</v>
      </c>
      <c r="B943" s="27" t="s">
        <v>1811</v>
      </c>
      <c r="D943" s="28" t="s">
        <v>943</v>
      </c>
      <c r="E943" s="32">
        <v>9398</v>
      </c>
      <c r="F943" s="29">
        <f t="shared" si="50"/>
        <v>0</v>
      </c>
      <c r="G943" s="29">
        <v>0</v>
      </c>
      <c r="H943" s="30">
        <f t="shared" si="51"/>
        <v>0</v>
      </c>
      <c r="I943" s="32" t="s">
        <v>1812</v>
      </c>
    </row>
    <row r="944" ht="102">
      <c r="A944" s="32">
        <v>4619</v>
      </c>
      <c r="B944" s="27" t="s">
        <v>1813</v>
      </c>
      <c r="D944" s="28" t="s">
        <v>943</v>
      </c>
      <c r="E944" s="32">
        <v>23712</v>
      </c>
      <c r="F944" s="29">
        <f t="shared" si="50"/>
        <v>0</v>
      </c>
      <c r="G944" s="29">
        <v>0</v>
      </c>
      <c r="H944" s="30">
        <f t="shared" si="51"/>
        <v>0</v>
      </c>
      <c r="I944" s="32" t="s">
        <v>1814</v>
      </c>
    </row>
    <row r="945" ht="25.5">
      <c r="A945" s="32">
        <v>4620</v>
      </c>
      <c r="B945" s="27" t="s">
        <v>1815</v>
      </c>
      <c r="D945" s="28" t="s">
        <v>1167</v>
      </c>
      <c r="E945" s="32">
        <v>21512</v>
      </c>
      <c r="F945" s="29">
        <f t="shared" si="50"/>
        <v>0</v>
      </c>
      <c r="G945" s="29">
        <v>0</v>
      </c>
      <c r="H945" s="30">
        <f t="shared" si="51"/>
        <v>0</v>
      </c>
      <c r="I945" s="32" t="s">
        <v>1816</v>
      </c>
    </row>
    <row r="946" ht="25.5">
      <c r="A946" s="32">
        <v>4621</v>
      </c>
      <c r="B946" s="27" t="s">
        <v>1817</v>
      </c>
      <c r="D946" s="28" t="s">
        <v>1167</v>
      </c>
      <c r="E946" s="32">
        <v>7769</v>
      </c>
      <c r="F946" s="29">
        <f t="shared" si="50"/>
        <v>0</v>
      </c>
      <c r="G946" s="29">
        <v>0</v>
      </c>
      <c r="H946" s="30">
        <f t="shared" si="51"/>
        <v>0</v>
      </c>
      <c r="I946" s="32" t="s">
        <v>1818</v>
      </c>
    </row>
    <row r="947" ht="51">
      <c r="A947" s="32">
        <v>4622</v>
      </c>
      <c r="B947" s="27" t="s">
        <v>1819</v>
      </c>
      <c r="D947" s="28" t="s">
        <v>1820</v>
      </c>
      <c r="E947" s="32">
        <v>102</v>
      </c>
      <c r="F947" s="29">
        <f t="shared" si="50"/>
        <v>0</v>
      </c>
      <c r="G947" s="29">
        <v>0</v>
      </c>
      <c r="H947" s="30">
        <f t="shared" si="51"/>
        <v>0</v>
      </c>
      <c r="I947" s="32" t="s">
        <v>1821</v>
      </c>
    </row>
    <row r="948" ht="63.75">
      <c r="A948" s="32">
        <v>4623</v>
      </c>
      <c r="B948" s="27" t="s">
        <v>1822</v>
      </c>
      <c r="D948" s="28" t="s">
        <v>844</v>
      </c>
      <c r="E948" s="32">
        <v>48</v>
      </c>
      <c r="F948" s="29">
        <f t="shared" si="50"/>
        <v>0</v>
      </c>
      <c r="G948" s="29">
        <v>0</v>
      </c>
      <c r="H948" s="30">
        <f t="shared" si="51"/>
        <v>0</v>
      </c>
      <c r="I948" s="32" t="s">
        <v>1823</v>
      </c>
    </row>
    <row r="949" s="6" customFormat="1" ht="51">
      <c r="A949" s="64">
        <v>4624</v>
      </c>
      <c r="B949" s="42" t="s">
        <v>1824</v>
      </c>
      <c r="C949" s="65"/>
      <c r="D949" s="66" t="s">
        <v>943</v>
      </c>
      <c r="E949" s="64">
        <v>83721</v>
      </c>
      <c r="F949" s="29">
        <f t="shared" si="50"/>
        <v>0</v>
      </c>
      <c r="G949" s="29">
        <v>0</v>
      </c>
      <c r="H949" s="30">
        <f t="shared" si="51"/>
        <v>0</v>
      </c>
      <c r="I949" s="64" t="s">
        <v>1825</v>
      </c>
    </row>
    <row r="950" ht="51">
      <c r="A950" s="32">
        <v>4625</v>
      </c>
      <c r="B950" s="27" t="s">
        <v>1826</v>
      </c>
      <c r="D950" s="28" t="s">
        <v>30</v>
      </c>
      <c r="E950" s="32">
        <v>104042</v>
      </c>
      <c r="F950" s="29">
        <f t="shared" si="50"/>
        <v>0</v>
      </c>
      <c r="G950" s="29">
        <v>0</v>
      </c>
      <c r="H950" s="30">
        <f t="shared" si="51"/>
        <v>0</v>
      </c>
      <c r="I950" s="32" t="s">
        <v>1827</v>
      </c>
    </row>
    <row r="951" ht="63.75">
      <c r="A951" s="32">
        <v>4626</v>
      </c>
      <c r="B951" s="27" t="s">
        <v>1828</v>
      </c>
      <c r="D951" s="28" t="s">
        <v>943</v>
      </c>
      <c r="E951" s="32">
        <v>16625</v>
      </c>
      <c r="F951" s="29">
        <f t="shared" si="50"/>
        <v>0</v>
      </c>
      <c r="G951" s="29">
        <v>0</v>
      </c>
      <c r="H951" s="30">
        <f t="shared" si="51"/>
        <v>0</v>
      </c>
      <c r="I951" s="32" t="s">
        <v>1829</v>
      </c>
    </row>
    <row r="952" ht="267.75">
      <c r="A952" s="32">
        <v>4627</v>
      </c>
      <c r="B952" s="27" t="s">
        <v>1830</v>
      </c>
      <c r="D952" s="28" t="s">
        <v>943</v>
      </c>
      <c r="E952" s="32">
        <v>41962</v>
      </c>
      <c r="F952" s="29">
        <f t="shared" si="50"/>
        <v>0</v>
      </c>
      <c r="G952" s="29">
        <v>0</v>
      </c>
      <c r="H952" s="30">
        <f t="shared" si="51"/>
        <v>0</v>
      </c>
      <c r="I952" s="32" t="s">
        <v>1831</v>
      </c>
    </row>
    <row r="953" ht="216.75">
      <c r="A953" s="32">
        <v>4628</v>
      </c>
      <c r="B953" s="27" t="s">
        <v>1832</v>
      </c>
      <c r="D953" s="28" t="s">
        <v>943</v>
      </c>
      <c r="E953" s="32">
        <v>311694</v>
      </c>
      <c r="F953" s="29">
        <f t="shared" si="50"/>
        <v>0</v>
      </c>
      <c r="G953" s="29">
        <v>0</v>
      </c>
      <c r="H953" s="30">
        <f t="shared" si="51"/>
        <v>0</v>
      </c>
      <c r="I953" s="32" t="s">
        <v>1833</v>
      </c>
    </row>
    <row r="954" ht="38.25">
      <c r="A954" s="32">
        <v>4629</v>
      </c>
      <c r="B954" s="27" t="s">
        <v>1834</v>
      </c>
      <c r="D954" s="28" t="s">
        <v>943</v>
      </c>
      <c r="E954" s="32">
        <v>43247</v>
      </c>
      <c r="F954" s="29">
        <f t="shared" ref="F954:F974" si="52">C954*E954</f>
        <v>0</v>
      </c>
      <c r="G954" s="29">
        <v>0</v>
      </c>
      <c r="H954" s="30">
        <f t="shared" si="51"/>
        <v>0</v>
      </c>
      <c r="I954" s="32" t="s">
        <v>1835</v>
      </c>
    </row>
    <row r="955" ht="327.75" customHeight="1">
      <c r="A955" s="32">
        <v>4630</v>
      </c>
      <c r="B955" s="27" t="s">
        <v>1836</v>
      </c>
      <c r="D955" s="28" t="s">
        <v>943</v>
      </c>
      <c r="E955" s="32">
        <v>274869</v>
      </c>
      <c r="F955" s="29">
        <f t="shared" si="52"/>
        <v>0</v>
      </c>
      <c r="G955" s="29">
        <v>0</v>
      </c>
      <c r="H955" s="30">
        <f t="shared" si="51"/>
        <v>0</v>
      </c>
      <c r="I955" s="32" t="s">
        <v>1837</v>
      </c>
    </row>
    <row r="956" ht="38.25">
      <c r="A956" s="32">
        <v>4631</v>
      </c>
      <c r="B956" s="27" t="s">
        <v>1838</v>
      </c>
      <c r="D956" s="28" t="s">
        <v>943</v>
      </c>
      <c r="E956" s="32">
        <v>51411</v>
      </c>
      <c r="F956" s="29">
        <f t="shared" si="52"/>
        <v>0</v>
      </c>
      <c r="G956" s="29">
        <v>0</v>
      </c>
      <c r="H956" s="30">
        <f t="shared" si="51"/>
        <v>0</v>
      </c>
      <c r="I956" s="32" t="s">
        <v>1839</v>
      </c>
    </row>
    <row r="957" ht="51">
      <c r="A957" s="32">
        <v>4632</v>
      </c>
      <c r="B957" s="27" t="s">
        <v>1840</v>
      </c>
      <c r="D957" s="28" t="s">
        <v>943</v>
      </c>
      <c r="E957" s="32">
        <v>71031</v>
      </c>
      <c r="F957" s="29">
        <f t="shared" si="52"/>
        <v>0</v>
      </c>
      <c r="G957" s="29">
        <v>0</v>
      </c>
      <c r="H957" s="30">
        <f t="shared" si="51"/>
        <v>0</v>
      </c>
      <c r="I957" s="32" t="s">
        <v>1841</v>
      </c>
    </row>
    <row r="958" ht="63.75">
      <c r="A958" s="32">
        <v>4633</v>
      </c>
      <c r="B958" s="27" t="s">
        <v>1842</v>
      </c>
      <c r="D958" s="28" t="s">
        <v>943</v>
      </c>
      <c r="E958" s="32">
        <v>80730</v>
      </c>
      <c r="F958" s="29">
        <f t="shared" si="52"/>
        <v>0</v>
      </c>
      <c r="G958" s="29">
        <v>0</v>
      </c>
      <c r="H958" s="30">
        <f t="shared" si="51"/>
        <v>0</v>
      </c>
      <c r="I958" s="32" t="s">
        <v>1843</v>
      </c>
    </row>
    <row r="959" ht="204">
      <c r="A959" s="32">
        <v>4634</v>
      </c>
      <c r="B959" s="27" t="s">
        <v>1844</v>
      </c>
      <c r="D959" s="28" t="s">
        <v>943</v>
      </c>
      <c r="E959" s="32">
        <v>118752</v>
      </c>
      <c r="F959" s="29">
        <f t="shared" si="52"/>
        <v>0</v>
      </c>
      <c r="G959" s="29">
        <v>0</v>
      </c>
      <c r="H959" s="30">
        <f t="shared" si="51"/>
        <v>0</v>
      </c>
      <c r="I959" s="32" t="s">
        <v>1845</v>
      </c>
    </row>
    <row r="960" ht="25.5">
      <c r="A960" s="28"/>
      <c r="B960" s="41" t="s">
        <v>1846</v>
      </c>
      <c r="D960" s="28"/>
      <c r="E960" s="28"/>
      <c r="F960" s="29">
        <f t="shared" si="52"/>
        <v>0</v>
      </c>
      <c r="G960" s="29">
        <v>0</v>
      </c>
      <c r="H960" s="30">
        <f t="shared" si="51"/>
        <v>0</v>
      </c>
      <c r="I960" s="32" t="s">
        <v>1847</v>
      </c>
    </row>
    <row r="961" ht="25.5">
      <c r="A961" s="32">
        <v>4635</v>
      </c>
      <c r="B961" s="27" t="s">
        <v>1848</v>
      </c>
      <c r="D961" s="28" t="s">
        <v>30</v>
      </c>
      <c r="E961" s="32">
        <v>426</v>
      </c>
      <c r="F961" s="29">
        <f t="shared" si="52"/>
        <v>0</v>
      </c>
      <c r="G961" s="29">
        <v>0</v>
      </c>
      <c r="H961" s="30">
        <f t="shared" si="51"/>
        <v>0</v>
      </c>
      <c r="I961" s="32" t="s">
        <v>1849</v>
      </c>
    </row>
    <row r="962" ht="38.25">
      <c r="A962" s="32">
        <v>4636</v>
      </c>
      <c r="B962" s="27" t="s">
        <v>1850</v>
      </c>
      <c r="D962" s="28" t="s">
        <v>943</v>
      </c>
      <c r="E962" s="32">
        <v>3700</v>
      </c>
      <c r="F962" s="29">
        <f t="shared" si="52"/>
        <v>0</v>
      </c>
      <c r="G962" s="29">
        <v>0</v>
      </c>
      <c r="H962" s="30">
        <f t="shared" si="51"/>
        <v>0</v>
      </c>
      <c r="I962" s="32" t="s">
        <v>1851</v>
      </c>
    </row>
    <row r="963" ht="63.75">
      <c r="A963" s="32">
        <v>4637</v>
      </c>
      <c r="B963" s="27" t="s">
        <v>1852</v>
      </c>
      <c r="D963" s="28" t="s">
        <v>943</v>
      </c>
      <c r="E963" s="32">
        <v>1142</v>
      </c>
      <c r="F963" s="29">
        <f t="shared" si="52"/>
        <v>0</v>
      </c>
      <c r="G963" s="29">
        <v>0</v>
      </c>
      <c r="H963" s="30">
        <f t="shared" si="51"/>
        <v>0</v>
      </c>
      <c r="I963" s="32" t="s">
        <v>1853</v>
      </c>
    </row>
    <row r="964" ht="76.5">
      <c r="A964" s="32">
        <v>4638</v>
      </c>
      <c r="B964" s="27" t="s">
        <v>1854</v>
      </c>
      <c r="D964" s="28"/>
      <c r="E964" s="28"/>
      <c r="F964" s="29">
        <f t="shared" si="52"/>
        <v>0</v>
      </c>
      <c r="G964" s="29">
        <v>0</v>
      </c>
      <c r="H964" s="30">
        <f t="shared" si="51"/>
        <v>0</v>
      </c>
      <c r="I964" s="32" t="s">
        <v>1855</v>
      </c>
    </row>
    <row r="965" ht="51">
      <c r="A965" s="28" t="s">
        <v>20</v>
      </c>
      <c r="B965" s="27" t="s">
        <v>1856</v>
      </c>
      <c r="D965" s="28" t="s">
        <v>943</v>
      </c>
      <c r="E965" s="32">
        <v>249</v>
      </c>
      <c r="F965" s="29">
        <f t="shared" si="52"/>
        <v>0</v>
      </c>
      <c r="G965" s="29">
        <v>0</v>
      </c>
      <c r="H965" s="30">
        <f t="shared" si="51"/>
        <v>0</v>
      </c>
      <c r="I965" s="28" t="s">
        <v>1857</v>
      </c>
    </row>
    <row r="966" ht="51">
      <c r="A966" s="28" t="s">
        <v>24</v>
      </c>
      <c r="B966" s="27" t="s">
        <v>1858</v>
      </c>
      <c r="D966" s="28" t="s">
        <v>943</v>
      </c>
      <c r="E966" s="32">
        <v>870</v>
      </c>
      <c r="F966" s="29">
        <f t="shared" si="52"/>
        <v>0</v>
      </c>
      <c r="G966" s="29">
        <v>0</v>
      </c>
      <c r="H966" s="30">
        <f t="shared" si="51"/>
        <v>0</v>
      </c>
      <c r="I966" s="28" t="s">
        <v>1859</v>
      </c>
    </row>
    <row r="967" ht="76.5">
      <c r="A967" s="28" t="s">
        <v>42</v>
      </c>
      <c r="B967" s="27" t="s">
        <v>1860</v>
      </c>
      <c r="D967" s="28" t="s">
        <v>895</v>
      </c>
      <c r="E967" s="32">
        <v>7703</v>
      </c>
      <c r="F967" s="29">
        <f t="shared" si="52"/>
        <v>0</v>
      </c>
      <c r="G967" s="29">
        <v>0</v>
      </c>
      <c r="H967" s="30">
        <f t="shared" si="51"/>
        <v>0</v>
      </c>
      <c r="I967" s="28" t="s">
        <v>1861</v>
      </c>
    </row>
    <row r="968" ht="63.75">
      <c r="A968" s="28" t="s">
        <v>69</v>
      </c>
      <c r="B968" s="27" t="s">
        <v>1862</v>
      </c>
      <c r="D968" s="28" t="s">
        <v>895</v>
      </c>
      <c r="E968" s="32">
        <v>10041</v>
      </c>
      <c r="F968" s="29">
        <f t="shared" si="52"/>
        <v>0</v>
      </c>
      <c r="G968" s="29">
        <v>0</v>
      </c>
      <c r="H968" s="30">
        <f t="shared" si="51"/>
        <v>0</v>
      </c>
      <c r="I968" s="28" t="s">
        <v>1863</v>
      </c>
    </row>
    <row r="969" ht="51">
      <c r="A969" s="28" t="s">
        <v>72</v>
      </c>
      <c r="B969" s="27" t="s">
        <v>1864</v>
      </c>
      <c r="D969" s="28" t="s">
        <v>1865</v>
      </c>
      <c r="E969" s="32">
        <v>916</v>
      </c>
      <c r="F969" s="29">
        <f t="shared" si="52"/>
        <v>0</v>
      </c>
      <c r="G969" s="29">
        <v>0</v>
      </c>
      <c r="H969" s="30">
        <f t="shared" si="51"/>
        <v>0</v>
      </c>
      <c r="I969" s="28" t="s">
        <v>1866</v>
      </c>
    </row>
    <row r="970" ht="25.5">
      <c r="A970" s="32">
        <v>4639</v>
      </c>
      <c r="B970" s="27" t="s">
        <v>1867</v>
      </c>
      <c r="D970" s="28" t="s">
        <v>943</v>
      </c>
      <c r="E970" s="32">
        <v>1011</v>
      </c>
      <c r="F970" s="29">
        <f t="shared" si="52"/>
        <v>0</v>
      </c>
      <c r="G970" s="29">
        <v>0</v>
      </c>
      <c r="H970" s="30">
        <f t="shared" si="51"/>
        <v>0</v>
      </c>
      <c r="I970" s="32" t="s">
        <v>1868</v>
      </c>
    </row>
    <row r="971" ht="153">
      <c r="A971" s="32">
        <v>4640</v>
      </c>
      <c r="B971" s="27" t="s">
        <v>1869</v>
      </c>
      <c r="D971" s="28" t="s">
        <v>943</v>
      </c>
      <c r="E971" s="32">
        <v>41930</v>
      </c>
      <c r="F971" s="29">
        <f t="shared" si="52"/>
        <v>0</v>
      </c>
      <c r="G971" s="29">
        <v>0</v>
      </c>
      <c r="H971" s="30">
        <f t="shared" si="51"/>
        <v>0</v>
      </c>
      <c r="I971" s="32" t="s">
        <v>1870</v>
      </c>
    </row>
    <row r="972" ht="63.75">
      <c r="A972" s="32">
        <v>4641</v>
      </c>
      <c r="B972" s="27" t="s">
        <v>1871</v>
      </c>
      <c r="D972" s="28" t="s">
        <v>943</v>
      </c>
      <c r="E972" s="32">
        <v>19303</v>
      </c>
      <c r="F972" s="29">
        <f t="shared" si="52"/>
        <v>0</v>
      </c>
      <c r="G972" s="29">
        <v>0</v>
      </c>
      <c r="H972" s="30">
        <f t="shared" si="51"/>
        <v>0</v>
      </c>
      <c r="I972" s="32" t="s">
        <v>1872</v>
      </c>
    </row>
    <row r="973" ht="63.75">
      <c r="A973" s="32">
        <v>4642</v>
      </c>
      <c r="B973" s="27" t="s">
        <v>1873</v>
      </c>
      <c r="D973" s="28" t="s">
        <v>943</v>
      </c>
      <c r="E973" s="32">
        <v>30887</v>
      </c>
      <c r="F973" s="29">
        <f t="shared" si="52"/>
        <v>0</v>
      </c>
      <c r="G973" s="29">
        <v>0</v>
      </c>
      <c r="H973" s="30">
        <f t="shared" si="51"/>
        <v>0</v>
      </c>
      <c r="I973" s="32" t="s">
        <v>1874</v>
      </c>
    </row>
    <row r="974" ht="25.5">
      <c r="A974" s="32">
        <v>4643</v>
      </c>
      <c r="B974" s="27" t="s">
        <v>1875</v>
      </c>
      <c r="D974" s="28" t="s">
        <v>943</v>
      </c>
      <c r="E974" s="32">
        <v>3000</v>
      </c>
      <c r="F974" s="29">
        <f t="shared" si="52"/>
        <v>0</v>
      </c>
      <c r="G974" s="29">
        <v>0</v>
      </c>
      <c r="H974" s="30">
        <f t="shared" si="51"/>
        <v>0</v>
      </c>
      <c r="I974" s="32" t="s">
        <v>1876</v>
      </c>
    </row>
    <row r="975">
      <c r="A975" s="32"/>
      <c r="B975" s="32"/>
      <c r="C975" s="32"/>
      <c r="D975" s="32"/>
      <c r="E975" s="32"/>
      <c r="F975" s="32"/>
      <c r="G975" s="32"/>
      <c r="H975" s="32"/>
      <c r="I975" s="32"/>
    </row>
    <row r="976" ht="12.75" customHeight="1">
      <c r="A976" s="28" t="s">
        <v>1877</v>
      </c>
      <c r="B976" s="28"/>
      <c r="C976" s="28"/>
      <c r="D976" s="28"/>
      <c r="E976" s="28"/>
      <c r="F976" s="28"/>
      <c r="G976" s="28"/>
      <c r="H976" s="28"/>
      <c r="I976" s="28"/>
    </row>
    <row r="977" ht="178.5">
      <c r="A977" s="32">
        <v>4701</v>
      </c>
      <c r="B977" s="27" t="s">
        <v>1878</v>
      </c>
      <c r="D977" s="28" t="s">
        <v>30</v>
      </c>
      <c r="E977" s="32">
        <v>3813170</v>
      </c>
      <c r="F977" s="29">
        <f t="shared" ref="F977:F991" si="53">C977*E977</f>
        <v>0</v>
      </c>
      <c r="G977" s="29">
        <v>0</v>
      </c>
      <c r="H977" s="30">
        <f t="shared" ref="H977:H991" si="54">SUM(F977:G977)</f>
        <v>0</v>
      </c>
      <c r="I977" s="32" t="s">
        <v>1879</v>
      </c>
    </row>
    <row r="978" ht="76.5">
      <c r="A978" s="32">
        <v>4702</v>
      </c>
      <c r="B978" s="27" t="s">
        <v>1880</v>
      </c>
      <c r="D978" s="28" t="s">
        <v>30</v>
      </c>
      <c r="E978" s="32">
        <v>1025892</v>
      </c>
      <c r="F978" s="29">
        <f t="shared" si="53"/>
        <v>0</v>
      </c>
      <c r="G978" s="29">
        <v>0</v>
      </c>
      <c r="H978" s="30">
        <f t="shared" si="54"/>
        <v>0</v>
      </c>
      <c r="I978" s="32" t="s">
        <v>1881</v>
      </c>
    </row>
    <row r="979" s="6" customFormat="1" ht="165.75">
      <c r="A979" s="64">
        <v>4703</v>
      </c>
      <c r="B979" s="42" t="s">
        <v>1882</v>
      </c>
      <c r="C979" s="65"/>
      <c r="D979" s="66" t="s">
        <v>30</v>
      </c>
      <c r="E979" s="64">
        <v>2578300</v>
      </c>
      <c r="F979" s="29">
        <f t="shared" si="53"/>
        <v>0</v>
      </c>
      <c r="G979" s="29">
        <v>0</v>
      </c>
      <c r="H979" s="30">
        <f t="shared" si="54"/>
        <v>0</v>
      </c>
      <c r="I979" s="64" t="s">
        <v>1883</v>
      </c>
    </row>
    <row r="980" ht="114.75">
      <c r="A980" s="32">
        <v>4704</v>
      </c>
      <c r="B980" s="27" t="s">
        <v>1884</v>
      </c>
      <c r="D980" s="28" t="s">
        <v>30</v>
      </c>
      <c r="E980" s="32">
        <v>1017750</v>
      </c>
      <c r="F980" s="63">
        <f t="shared" si="53"/>
        <v>0</v>
      </c>
      <c r="G980" s="63">
        <v>0</v>
      </c>
      <c r="H980" s="91">
        <f t="shared" si="54"/>
        <v>0</v>
      </c>
      <c r="I980" s="32" t="s">
        <v>1885</v>
      </c>
    </row>
    <row r="981" ht="25.5">
      <c r="A981" s="32">
        <v>4705</v>
      </c>
      <c r="B981" s="27" t="s">
        <v>1886</v>
      </c>
      <c r="D981" s="28"/>
      <c r="E981" s="28"/>
      <c r="F981" s="29">
        <f t="shared" si="53"/>
        <v>0</v>
      </c>
      <c r="G981" s="29">
        <v>0</v>
      </c>
      <c r="H981" s="30">
        <f t="shared" si="54"/>
        <v>0</v>
      </c>
      <c r="I981" s="32" t="s">
        <v>1887</v>
      </c>
    </row>
    <row r="982" ht="127.5">
      <c r="A982" s="28" t="s">
        <v>20</v>
      </c>
      <c r="B982" s="27" t="s">
        <v>1888</v>
      </c>
      <c r="D982" s="28" t="s">
        <v>30</v>
      </c>
      <c r="E982" s="32">
        <v>3935300</v>
      </c>
      <c r="F982" s="29">
        <f t="shared" si="53"/>
        <v>0</v>
      </c>
      <c r="G982" s="29">
        <v>0</v>
      </c>
      <c r="H982" s="30">
        <f t="shared" si="54"/>
        <v>0</v>
      </c>
      <c r="I982" s="28" t="s">
        <v>1889</v>
      </c>
    </row>
    <row r="983" ht="38.25">
      <c r="A983" s="28" t="s">
        <v>24</v>
      </c>
      <c r="B983" s="27" t="s">
        <v>1890</v>
      </c>
      <c r="D983" s="28" t="s">
        <v>30</v>
      </c>
      <c r="E983" s="32">
        <v>1302720</v>
      </c>
      <c r="F983" s="29">
        <f t="shared" si="53"/>
        <v>0</v>
      </c>
      <c r="G983" s="29">
        <v>0</v>
      </c>
      <c r="H983" s="30">
        <f t="shared" si="54"/>
        <v>0</v>
      </c>
      <c r="I983" s="28" t="s">
        <v>1891</v>
      </c>
    </row>
    <row r="984" ht="51">
      <c r="A984" s="32">
        <v>4706</v>
      </c>
      <c r="B984" s="27" t="s">
        <v>1892</v>
      </c>
      <c r="D984" s="28" t="s">
        <v>30</v>
      </c>
      <c r="E984" s="32">
        <v>3830811</v>
      </c>
      <c r="F984" s="29">
        <f t="shared" si="53"/>
        <v>0</v>
      </c>
      <c r="G984" s="29">
        <v>0</v>
      </c>
      <c r="H984" s="30">
        <f t="shared" si="54"/>
        <v>0</v>
      </c>
      <c r="I984" s="32" t="s">
        <v>1893</v>
      </c>
    </row>
    <row r="985" ht="38.25">
      <c r="A985" s="32">
        <v>4707</v>
      </c>
      <c r="B985" s="27" t="s">
        <v>1894</v>
      </c>
      <c r="D985" s="28" t="s">
        <v>30</v>
      </c>
      <c r="E985" s="32">
        <v>882050</v>
      </c>
      <c r="F985" s="29">
        <f t="shared" si="53"/>
        <v>0</v>
      </c>
      <c r="G985" s="29">
        <v>0</v>
      </c>
      <c r="H985" s="30">
        <f t="shared" si="54"/>
        <v>0</v>
      </c>
      <c r="I985" s="32" t="s">
        <v>1895</v>
      </c>
    </row>
    <row r="986" ht="38.25">
      <c r="A986" s="32">
        <v>4708</v>
      </c>
      <c r="B986" s="27" t="s">
        <v>1896</v>
      </c>
      <c r="D986" s="28" t="s">
        <v>30</v>
      </c>
      <c r="E986" s="32">
        <v>1723390</v>
      </c>
      <c r="F986" s="29">
        <f t="shared" si="53"/>
        <v>0</v>
      </c>
      <c r="G986" s="29">
        <v>0</v>
      </c>
      <c r="H986" s="30">
        <f t="shared" si="54"/>
        <v>0</v>
      </c>
      <c r="I986" s="32" t="s">
        <v>1897</v>
      </c>
    </row>
    <row r="987" ht="51">
      <c r="A987" s="32">
        <v>4709</v>
      </c>
      <c r="B987" s="27" t="s">
        <v>1898</v>
      </c>
      <c r="D987" s="28" t="s">
        <v>30</v>
      </c>
      <c r="E987" s="32">
        <v>7192100</v>
      </c>
      <c r="F987" s="29">
        <f t="shared" si="53"/>
        <v>0</v>
      </c>
      <c r="G987" s="29">
        <v>0</v>
      </c>
      <c r="H987" s="30">
        <f t="shared" si="54"/>
        <v>0</v>
      </c>
      <c r="I987" s="32" t="s">
        <v>1899</v>
      </c>
    </row>
    <row r="988" ht="38.25">
      <c r="A988" s="32">
        <v>4710</v>
      </c>
      <c r="B988" s="27" t="s">
        <v>1900</v>
      </c>
      <c r="D988" s="28" t="s">
        <v>30</v>
      </c>
      <c r="E988" s="32">
        <v>240144</v>
      </c>
      <c r="F988" s="29">
        <f t="shared" si="53"/>
        <v>0</v>
      </c>
      <c r="G988" s="29">
        <v>0</v>
      </c>
      <c r="H988" s="30">
        <f t="shared" si="54"/>
        <v>0</v>
      </c>
      <c r="I988" s="32" t="s">
        <v>1901</v>
      </c>
    </row>
    <row r="989" ht="51">
      <c r="A989" s="32">
        <v>4711</v>
      </c>
      <c r="B989" s="27" t="s">
        <v>1902</v>
      </c>
      <c r="D989" s="28" t="s">
        <v>30</v>
      </c>
      <c r="E989" s="32">
        <v>240144</v>
      </c>
      <c r="F989" s="29">
        <f t="shared" si="53"/>
        <v>0</v>
      </c>
      <c r="G989" s="29">
        <v>0</v>
      </c>
      <c r="H989" s="30">
        <f t="shared" si="54"/>
        <v>0</v>
      </c>
      <c r="I989" s="32" t="s">
        <v>1903</v>
      </c>
    </row>
    <row r="990" ht="63.75">
      <c r="A990" s="32">
        <v>4712</v>
      </c>
      <c r="B990" s="27" t="s">
        <v>1904</v>
      </c>
      <c r="D990" s="28" t="s">
        <v>829</v>
      </c>
      <c r="E990" s="32">
        <v>33294</v>
      </c>
      <c r="F990" s="29">
        <f t="shared" si="53"/>
        <v>0</v>
      </c>
      <c r="G990" s="29">
        <v>0</v>
      </c>
      <c r="H990" s="30">
        <f t="shared" si="54"/>
        <v>0</v>
      </c>
      <c r="I990" s="32" t="s">
        <v>1905</v>
      </c>
    </row>
    <row r="991" ht="315.75" customHeight="1">
      <c r="A991" s="32">
        <v>4713</v>
      </c>
      <c r="B991" s="27" t="s">
        <v>1906</v>
      </c>
      <c r="D991" s="28" t="s">
        <v>943</v>
      </c>
      <c r="E991" s="32">
        <v>1709726</v>
      </c>
      <c r="F991" s="29">
        <f t="shared" si="53"/>
        <v>0</v>
      </c>
      <c r="G991" s="29">
        <v>0</v>
      </c>
      <c r="H991" s="30">
        <f t="shared" si="54"/>
        <v>0</v>
      </c>
      <c r="I991" s="32" t="s">
        <v>1907</v>
      </c>
    </row>
    <row r="992">
      <c r="A992" s="32"/>
      <c r="B992" s="27"/>
      <c r="D992" s="28"/>
      <c r="E992" s="32"/>
      <c r="F992" s="29"/>
      <c r="G992" s="29"/>
      <c r="H992" s="30"/>
      <c r="I992" s="32"/>
    </row>
    <row r="998" s="10" customFormat="1" ht="36" customHeight="1">
      <c r="A998" s="92"/>
      <c r="B998" s="93"/>
      <c r="C998" s="92"/>
      <c r="D998" s="92"/>
      <c r="E998" s="94"/>
      <c r="F998" s="95"/>
      <c r="G998" s="96"/>
      <c r="H998" s="96"/>
      <c r="I998" s="97"/>
      <c r="J998" s="92"/>
      <c r="K998" s="98"/>
      <c r="L998" s="95"/>
      <c r="M998" s="96"/>
      <c r="N998" s="96"/>
      <c r="O998" s="96"/>
      <c r="P998" s="91"/>
      <c r="Q998" s="96"/>
      <c r="R998" s="96"/>
      <c r="S998" s="14"/>
      <c r="U998" s="99"/>
      <c r="V998" s="99"/>
      <c r="W998" s="99"/>
      <c r="X998" s="100"/>
      <c r="Y998" s="101"/>
    </row>
    <row r="999" s="10" customFormat="1" ht="36" customHeight="1">
      <c r="A999" s="92"/>
      <c r="B999" s="102"/>
      <c r="C999" s="92"/>
      <c r="D999" s="92"/>
      <c r="E999" s="103"/>
      <c r="F999" s="95"/>
      <c r="G999" s="96"/>
      <c r="H999" s="96"/>
      <c r="I999" s="97"/>
      <c r="J999" s="92"/>
      <c r="K999" s="103"/>
      <c r="L999" s="95"/>
      <c r="M999" s="96"/>
      <c r="N999" s="96"/>
      <c r="O999" s="96"/>
      <c r="P999" s="91"/>
      <c r="Q999" s="96"/>
      <c r="R999" s="96"/>
      <c r="S999" s="14"/>
      <c r="U999" s="99"/>
      <c r="V999" s="104"/>
      <c r="W999" s="99"/>
      <c r="X999" s="105"/>
      <c r="Y999" s="101"/>
    </row>
    <row r="1000" s="10" customFormat="1" ht="36" customHeight="1">
      <c r="A1000" s="92"/>
      <c r="B1000" s="102"/>
      <c r="C1000" s="92"/>
      <c r="D1000" s="92"/>
      <c r="E1000" s="103"/>
      <c r="F1000" s="95"/>
      <c r="G1000" s="96"/>
      <c r="H1000" s="96"/>
      <c r="I1000" s="106"/>
      <c r="J1000" s="92"/>
      <c r="K1000" s="103"/>
      <c r="L1000" s="95"/>
      <c r="M1000" s="96"/>
      <c r="N1000" s="96"/>
      <c r="O1000" s="96"/>
      <c r="P1000" s="91"/>
      <c r="Q1000" s="96"/>
      <c r="R1000" s="96"/>
      <c r="S1000" s="14"/>
      <c r="U1000" s="107"/>
      <c r="V1000" s="107"/>
      <c r="W1000" s="99"/>
      <c r="X1000" s="108"/>
      <c r="Y1000" s="101"/>
      <c r="Z1000" s="101"/>
      <c r="AA1000" s="109"/>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c r="BA1000" s="101"/>
      <c r="BB1000" s="101"/>
      <c r="BC1000" s="101"/>
      <c r="BD1000" s="101"/>
      <c r="BE1000" s="101"/>
      <c r="BF1000" s="101"/>
      <c r="BG1000" s="101"/>
      <c r="BH1000" s="101"/>
      <c r="BI1000" s="101"/>
      <c r="BJ1000" s="101"/>
      <c r="BK1000" s="101"/>
      <c r="BL1000" s="101"/>
      <c r="BM1000" s="101"/>
      <c r="BN1000" s="101"/>
      <c r="BO1000" s="101"/>
      <c r="BP1000" s="101"/>
      <c r="BQ1000" s="101"/>
      <c r="BR1000" s="101"/>
      <c r="BS1000" s="101"/>
      <c r="BT1000" s="101"/>
      <c r="BU1000" s="101"/>
      <c r="BV1000" s="101"/>
      <c r="BW1000" s="101"/>
      <c r="BX1000" s="101"/>
      <c r="BY1000" s="101"/>
      <c r="BZ1000" s="101"/>
      <c r="CA1000" s="101"/>
      <c r="CB1000" s="101"/>
      <c r="CC1000" s="101"/>
      <c r="CD1000" s="101"/>
      <c r="CE1000" s="101"/>
      <c r="CF1000" s="101"/>
      <c r="CG1000" s="101"/>
      <c r="CH1000" s="101"/>
      <c r="CI1000" s="101"/>
      <c r="CJ1000" s="101"/>
      <c r="CK1000" s="101"/>
      <c r="CL1000" s="101"/>
      <c r="CM1000" s="101"/>
      <c r="CN1000" s="101"/>
      <c r="CO1000" s="101"/>
      <c r="CP1000" s="101"/>
      <c r="CQ1000" s="101"/>
      <c r="CR1000" s="101"/>
      <c r="CS1000" s="101"/>
      <c r="CT1000" s="101"/>
      <c r="CU1000" s="101"/>
      <c r="CV1000" s="101"/>
      <c r="CW1000" s="101"/>
      <c r="CX1000" s="101"/>
      <c r="CY1000" s="101"/>
      <c r="CZ1000" s="101"/>
      <c r="DA1000" s="101"/>
      <c r="DB1000" s="101"/>
      <c r="DC1000" s="101"/>
      <c r="DD1000" s="101"/>
      <c r="DE1000" s="101"/>
      <c r="DF1000" s="101"/>
      <c r="DG1000" s="101"/>
      <c r="DH1000" s="101"/>
      <c r="DI1000" s="101"/>
      <c r="DJ1000" s="101"/>
      <c r="DK1000" s="101"/>
      <c r="DL1000" s="101"/>
      <c r="DM1000" s="101"/>
      <c r="DN1000" s="101"/>
      <c r="DO1000" s="101"/>
      <c r="DP1000" s="101"/>
      <c r="DQ1000" s="101"/>
      <c r="DR1000" s="101"/>
      <c r="DS1000" s="101"/>
      <c r="DT1000" s="101"/>
      <c r="DU1000" s="101"/>
      <c r="DV1000" s="101"/>
      <c r="DW1000" s="101"/>
      <c r="DX1000" s="101"/>
      <c r="DY1000" s="101"/>
      <c r="DZ1000" s="101"/>
      <c r="EA1000" s="101"/>
      <c r="EB1000" s="101"/>
      <c r="EC1000" s="101"/>
      <c r="ED1000" s="101"/>
      <c r="EE1000" s="101"/>
      <c r="EF1000" s="101"/>
      <c r="EG1000" s="101"/>
      <c r="EH1000" s="101"/>
      <c r="EI1000" s="101"/>
      <c r="EJ1000" s="101"/>
      <c r="EK1000" s="101"/>
      <c r="EL1000" s="101"/>
      <c r="EM1000" s="101"/>
      <c r="EN1000" s="101"/>
      <c r="EO1000" s="101"/>
      <c r="EP1000" s="101"/>
      <c r="EQ1000" s="101"/>
      <c r="ER1000" s="101"/>
      <c r="ES1000" s="101"/>
      <c r="ET1000" s="101"/>
      <c r="EU1000" s="101"/>
      <c r="EV1000" s="101"/>
      <c r="EW1000" s="101"/>
      <c r="EX1000" s="101"/>
      <c r="EY1000" s="101"/>
      <c r="EZ1000" s="101"/>
      <c r="FA1000" s="101"/>
      <c r="FB1000" s="101"/>
      <c r="FC1000" s="101"/>
      <c r="FD1000" s="101"/>
      <c r="FE1000" s="101"/>
      <c r="FF1000" s="101"/>
      <c r="FG1000" s="101"/>
      <c r="FH1000" s="101"/>
      <c r="FI1000" s="101"/>
      <c r="FJ1000" s="101"/>
      <c r="FK1000" s="101"/>
      <c r="FL1000" s="101"/>
      <c r="FM1000" s="101"/>
      <c r="FN1000" s="101"/>
      <c r="FO1000" s="101"/>
      <c r="FP1000" s="101"/>
      <c r="FQ1000" s="101"/>
      <c r="FR1000" s="101"/>
      <c r="FS1000" s="101"/>
      <c r="FT1000" s="101"/>
      <c r="FU1000" s="101"/>
      <c r="FV1000" s="101"/>
      <c r="FW1000" s="101"/>
      <c r="FX1000" s="101"/>
      <c r="FY1000" s="101"/>
      <c r="FZ1000" s="101"/>
      <c r="GA1000" s="101"/>
      <c r="GB1000" s="101"/>
      <c r="GC1000" s="101"/>
      <c r="GD1000" s="101"/>
      <c r="GE1000" s="101"/>
      <c r="GF1000" s="101"/>
      <c r="GG1000" s="101"/>
      <c r="GH1000" s="101"/>
      <c r="GI1000" s="101"/>
      <c r="GJ1000" s="101"/>
      <c r="GK1000" s="101"/>
      <c r="GL1000" s="101"/>
      <c r="GM1000" s="101"/>
      <c r="GN1000" s="101"/>
      <c r="GO1000" s="101"/>
      <c r="GP1000" s="101"/>
      <c r="GQ1000" s="101"/>
      <c r="GR1000" s="101"/>
      <c r="GS1000" s="101"/>
      <c r="GT1000" s="101"/>
      <c r="GU1000" s="101"/>
      <c r="GV1000" s="101"/>
      <c r="GW1000" s="101"/>
      <c r="GX1000" s="101"/>
      <c r="GY1000" s="101"/>
      <c r="GZ1000" s="101"/>
      <c r="HA1000" s="101"/>
      <c r="HB1000" s="101"/>
      <c r="HC1000" s="101"/>
    </row>
    <row r="1001" s="10" customFormat="1" ht="36" customHeight="1">
      <c r="A1001" s="92"/>
      <c r="B1001" s="102"/>
      <c r="C1001" s="92"/>
      <c r="D1001" s="92"/>
      <c r="E1001" s="103"/>
      <c r="F1001" s="95"/>
      <c r="G1001" s="96"/>
      <c r="H1001" s="96"/>
      <c r="I1001" s="97"/>
      <c r="J1001" s="92"/>
      <c r="K1001" s="103"/>
      <c r="L1001" s="95"/>
      <c r="M1001" s="96"/>
      <c r="N1001" s="96"/>
      <c r="O1001" s="96"/>
      <c r="P1001" s="91"/>
      <c r="Q1001" s="96"/>
      <c r="R1001" s="96"/>
      <c r="S1001" s="14"/>
      <c r="U1001" s="99"/>
      <c r="V1001" s="99"/>
      <c r="W1001" s="99"/>
      <c r="X1001" s="105"/>
      <c r="Y1001" s="110"/>
    </row>
    <row r="1002" s="10" customFormat="1" ht="36" customHeight="1">
      <c r="A1002" s="92"/>
      <c r="B1002" s="93"/>
      <c r="C1002" s="92"/>
      <c r="D1002" s="92"/>
      <c r="E1002" s="111"/>
      <c r="F1002" s="95"/>
      <c r="G1002" s="96"/>
      <c r="H1002" s="96"/>
      <c r="I1002" s="97"/>
      <c r="J1002" s="92"/>
      <c r="K1002" s="111"/>
      <c r="L1002" s="95"/>
      <c r="M1002" s="96"/>
      <c r="N1002" s="96"/>
      <c r="O1002" s="96"/>
      <c r="P1002" s="91"/>
      <c r="Q1002" s="96"/>
      <c r="R1002" s="96"/>
      <c r="S1002" s="14"/>
      <c r="U1002" s="99"/>
      <c r="V1002" s="99"/>
      <c r="W1002" s="99"/>
      <c r="X1002" s="110"/>
      <c r="Y1002" s="110"/>
    </row>
    <row r="1003" s="11" customFormat="1">
      <c r="A1003" s="112"/>
      <c r="B1003" s="113"/>
      <c r="C1003" s="112"/>
      <c r="D1003" s="112"/>
      <c r="E1003" s="114"/>
      <c r="F1003" s="115"/>
      <c r="G1003" s="116"/>
      <c r="H1003" s="116"/>
      <c r="I1003" s="117"/>
      <c r="J1003" s="118"/>
      <c r="K1003" s="118"/>
      <c r="L1003" s="119"/>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c r="AI1003" s="120"/>
      <c r="AJ1003" s="120"/>
      <c r="AK1003" s="120"/>
      <c r="AL1003" s="120"/>
      <c r="AM1003" s="120"/>
      <c r="AN1003" s="120"/>
      <c r="AO1003" s="120"/>
      <c r="AP1003" s="120"/>
      <c r="AQ1003" s="120"/>
      <c r="AR1003" s="120"/>
      <c r="AS1003" s="120"/>
      <c r="AT1003" s="120"/>
      <c r="AU1003" s="120"/>
      <c r="AV1003" s="120"/>
      <c r="AW1003" s="120"/>
      <c r="AX1003" s="120"/>
      <c r="AY1003" s="120"/>
      <c r="AZ1003" s="120"/>
      <c r="BA1003" s="120"/>
      <c r="BB1003" s="120"/>
      <c r="BC1003" s="120"/>
      <c r="BD1003" s="120"/>
      <c r="BE1003" s="120"/>
      <c r="BF1003" s="120"/>
      <c r="BG1003" s="120"/>
      <c r="BH1003" s="120"/>
      <c r="BI1003" s="120"/>
      <c r="BJ1003" s="120"/>
      <c r="BK1003" s="120"/>
      <c r="BL1003" s="120"/>
      <c r="BM1003" s="120"/>
      <c r="BN1003" s="120"/>
      <c r="BO1003" s="120"/>
      <c r="BP1003" s="120"/>
      <c r="BQ1003" s="120"/>
      <c r="BR1003" s="120"/>
      <c r="BS1003" s="120"/>
      <c r="BT1003" s="120"/>
      <c r="BU1003" s="120"/>
      <c r="BV1003" s="120"/>
      <c r="BW1003" s="120"/>
      <c r="BX1003" s="120"/>
      <c r="BY1003" s="120"/>
      <c r="BZ1003" s="120"/>
      <c r="CA1003" s="120"/>
      <c r="CB1003" s="120"/>
      <c r="CC1003" s="120"/>
      <c r="CD1003" s="120"/>
      <c r="CE1003" s="120"/>
      <c r="CF1003" s="120"/>
      <c r="CG1003" s="120"/>
      <c r="CH1003" s="120"/>
      <c r="CI1003" s="120"/>
      <c r="CJ1003" s="120"/>
      <c r="CK1003" s="120"/>
      <c r="CL1003" s="120"/>
      <c r="CM1003" s="120"/>
      <c r="CN1003" s="120"/>
      <c r="CO1003" s="120"/>
      <c r="CP1003" s="120"/>
      <c r="CQ1003" s="120"/>
      <c r="CR1003" s="120"/>
      <c r="CS1003" s="120"/>
      <c r="CT1003" s="120"/>
      <c r="CU1003" s="120"/>
      <c r="CV1003" s="120"/>
      <c r="CW1003" s="120"/>
      <c r="CX1003" s="120"/>
      <c r="CY1003" s="120"/>
      <c r="CZ1003" s="120"/>
      <c r="DA1003" s="120"/>
      <c r="DB1003" s="120"/>
      <c r="DC1003" s="120"/>
      <c r="DD1003" s="120"/>
      <c r="DE1003" s="120"/>
      <c r="DF1003" s="120"/>
      <c r="DG1003" s="120"/>
      <c r="DH1003" s="120"/>
      <c r="DI1003" s="120"/>
      <c r="DJ1003" s="120"/>
      <c r="DK1003" s="120"/>
      <c r="DL1003" s="120"/>
      <c r="DM1003" s="120"/>
      <c r="DN1003" s="120"/>
      <c r="DO1003" s="120"/>
      <c r="DP1003" s="120"/>
      <c r="DQ1003" s="120"/>
      <c r="DR1003" s="120"/>
      <c r="DS1003" s="120"/>
      <c r="DT1003" s="120"/>
      <c r="DU1003" s="120"/>
      <c r="DV1003" s="120"/>
      <c r="DW1003" s="120"/>
      <c r="DX1003" s="120"/>
      <c r="DY1003" s="120"/>
      <c r="DZ1003" s="120"/>
      <c r="EA1003" s="120"/>
      <c r="EB1003" s="120"/>
      <c r="EC1003" s="120"/>
      <c r="ED1003" s="120"/>
      <c r="EE1003" s="120"/>
      <c r="EF1003" s="120"/>
      <c r="EG1003" s="120"/>
      <c r="EH1003" s="120"/>
      <c r="EI1003" s="120"/>
      <c r="EJ1003" s="120"/>
      <c r="EK1003" s="120"/>
      <c r="EL1003" s="120"/>
      <c r="EM1003" s="120"/>
      <c r="EN1003" s="120"/>
      <c r="EO1003" s="120"/>
      <c r="EP1003" s="120"/>
      <c r="EQ1003" s="120"/>
      <c r="ER1003" s="120"/>
      <c r="ES1003" s="120"/>
      <c r="ET1003" s="120"/>
      <c r="EU1003" s="120"/>
      <c r="EV1003" s="120"/>
      <c r="EW1003" s="120"/>
      <c r="EX1003" s="120"/>
      <c r="EY1003" s="120"/>
      <c r="EZ1003" s="120"/>
      <c r="FA1003" s="120"/>
      <c r="FB1003" s="120"/>
      <c r="FC1003" s="120"/>
      <c r="FD1003" s="120"/>
      <c r="FE1003" s="120"/>
      <c r="FF1003" s="120"/>
      <c r="FG1003" s="120"/>
      <c r="FH1003" s="120"/>
      <c r="FI1003" s="120"/>
      <c r="FJ1003" s="120"/>
      <c r="FK1003" s="120"/>
      <c r="FL1003" s="120"/>
      <c r="FM1003" s="120"/>
      <c r="FN1003" s="120"/>
      <c r="FO1003" s="120"/>
      <c r="FP1003" s="120"/>
      <c r="FQ1003" s="120"/>
      <c r="FR1003" s="120"/>
      <c r="FS1003" s="120"/>
      <c r="FT1003" s="120"/>
      <c r="FU1003" s="120"/>
      <c r="FV1003" s="120"/>
      <c r="FW1003" s="120"/>
      <c r="FX1003" s="120"/>
      <c r="FY1003" s="120"/>
      <c r="FZ1003" s="120"/>
      <c r="GA1003" s="120"/>
      <c r="GB1003" s="120"/>
      <c r="GC1003" s="120"/>
      <c r="GD1003" s="120"/>
      <c r="GE1003" s="120"/>
      <c r="GF1003" s="120"/>
      <c r="GG1003" s="120"/>
      <c r="GH1003" s="120"/>
      <c r="GI1003" s="120"/>
      <c r="GJ1003" s="120"/>
      <c r="GK1003" s="120"/>
      <c r="GL1003" s="120"/>
      <c r="GM1003" s="120"/>
      <c r="GN1003" s="120"/>
      <c r="GO1003" s="120"/>
      <c r="GP1003" s="120"/>
      <c r="GQ1003" s="120"/>
      <c r="GR1003" s="120"/>
      <c r="GS1003" s="120"/>
      <c r="GT1003" s="120"/>
      <c r="GU1003" s="120"/>
      <c r="GV1003" s="120"/>
      <c r="GW1003" s="120"/>
      <c r="GX1003" s="120"/>
      <c r="GY1003" s="120"/>
      <c r="GZ1003" s="120"/>
      <c r="HA1003" s="120"/>
      <c r="HB1003" s="120"/>
      <c r="HC1003" s="120"/>
      <c r="HD1003" s="120"/>
      <c r="HE1003" s="120"/>
      <c r="HF1003" s="120"/>
      <c r="HG1003" s="120"/>
      <c r="HH1003" s="120"/>
      <c r="HI1003" s="120"/>
      <c r="HJ1003" s="120"/>
      <c r="HK1003" s="120"/>
      <c r="HL1003" s="120"/>
      <c r="HM1003" s="120"/>
      <c r="HN1003" s="120"/>
      <c r="HO1003" s="120"/>
      <c r="HP1003" s="120"/>
      <c r="HQ1003" s="120"/>
      <c r="HR1003" s="120"/>
      <c r="HS1003" s="120"/>
      <c r="HT1003" s="120"/>
    </row>
    <row r="1004" s="12" customFormat="1" ht="12">
      <c r="A1004" s="63"/>
      <c r="B1004" s="15"/>
      <c r="C1004" s="63"/>
      <c r="D1004" s="63"/>
      <c r="E1004" s="63"/>
      <c r="F1004" s="121"/>
      <c r="G1004" s="122"/>
      <c r="H1004" s="122"/>
      <c r="I1004" s="63"/>
      <c r="J1004" s="15"/>
      <c r="K1004" s="15"/>
      <c r="L1004" s="123"/>
      <c r="M1004" s="123"/>
      <c r="N1004" s="123"/>
      <c r="O1004" s="123"/>
      <c r="P1004" s="123"/>
      <c r="Q1004" s="123"/>
      <c r="R1004" s="123"/>
      <c r="S1004" s="123"/>
      <c r="T1004" s="123"/>
      <c r="U1004" s="123"/>
      <c r="V1004" s="123"/>
      <c r="W1004" s="123"/>
      <c r="X1004" s="123"/>
      <c r="Y1004" s="123"/>
      <c r="Z1004" s="123"/>
      <c r="AA1004" s="123"/>
    </row>
    <row r="1005" s="10" customFormat="1" ht="12">
      <c r="A1005" s="92"/>
      <c r="B1005" s="93"/>
      <c r="C1005" s="92"/>
      <c r="D1005" s="92"/>
      <c r="E1005" s="111"/>
      <c r="F1005" s="95"/>
      <c r="G1005" s="96"/>
      <c r="H1005" s="96"/>
      <c r="I1005" s="124"/>
      <c r="J1005" s="92"/>
      <c r="K1005" s="111"/>
      <c r="L1005" s="95"/>
      <c r="M1005" s="96"/>
      <c r="N1005" s="96"/>
      <c r="O1005" s="96"/>
      <c r="P1005" s="91"/>
      <c r="Q1005" s="96"/>
      <c r="R1005" s="96"/>
      <c r="S1005" s="14"/>
      <c r="U1005" s="99"/>
      <c r="V1005" s="99"/>
      <c r="W1005" s="99"/>
      <c r="X1005" s="110"/>
      <c r="Y1005" s="110"/>
    </row>
    <row r="1006" s="10" customFormat="1" ht="36" customHeight="1">
      <c r="A1006" s="92"/>
      <c r="B1006" s="93"/>
      <c r="C1006" s="92"/>
      <c r="D1006" s="92"/>
      <c r="E1006" s="111"/>
      <c r="F1006" s="95"/>
      <c r="G1006" s="96"/>
      <c r="H1006" s="96"/>
      <c r="I1006" s="124"/>
      <c r="J1006" s="92"/>
      <c r="K1006" s="111"/>
      <c r="L1006" s="95"/>
      <c r="M1006" s="96"/>
      <c r="N1006" s="96"/>
      <c r="O1006" s="96"/>
      <c r="P1006" s="91"/>
      <c r="Q1006" s="96"/>
      <c r="R1006" s="96"/>
      <c r="S1006" s="14"/>
      <c r="U1006" s="99"/>
      <c r="V1006" s="99"/>
      <c r="W1006" s="99"/>
      <c r="X1006" s="110"/>
      <c r="Y1006" s="110"/>
    </row>
    <row r="1007" s="10" customFormat="1" ht="36" customHeight="1">
      <c r="A1007" s="92"/>
      <c r="B1007" s="93"/>
      <c r="C1007" s="92"/>
      <c r="D1007" s="92"/>
      <c r="E1007" s="111"/>
      <c r="F1007" s="95"/>
      <c r="G1007" s="96"/>
      <c r="H1007" s="96"/>
      <c r="I1007" s="124"/>
      <c r="J1007" s="92"/>
      <c r="K1007" s="111"/>
      <c r="L1007" s="95"/>
      <c r="M1007" s="96"/>
      <c r="N1007" s="96"/>
      <c r="O1007" s="96"/>
      <c r="P1007" s="91"/>
      <c r="Q1007" s="96"/>
      <c r="R1007" s="96"/>
      <c r="S1007" s="14"/>
      <c r="U1007" s="99"/>
      <c r="V1007" s="99"/>
      <c r="W1007" s="99"/>
      <c r="X1007" s="110"/>
      <c r="Y1007" s="110"/>
    </row>
    <row r="1008" s="10" customFormat="1" ht="36" customHeight="1">
      <c r="A1008" s="92"/>
      <c r="B1008" s="93"/>
      <c r="C1008" s="92"/>
      <c r="D1008" s="92"/>
      <c r="E1008" s="111"/>
      <c r="F1008" s="95"/>
      <c r="G1008" s="96"/>
      <c r="H1008" s="96"/>
      <c r="I1008" s="124"/>
      <c r="J1008" s="92"/>
      <c r="K1008" s="111"/>
      <c r="L1008" s="95"/>
      <c r="M1008" s="96"/>
      <c r="N1008" s="96"/>
      <c r="O1008" s="96"/>
      <c r="P1008" s="91"/>
      <c r="Q1008" s="96"/>
      <c r="R1008" s="96"/>
      <c r="S1008" s="14"/>
      <c r="U1008" s="99"/>
      <c r="V1008" s="99"/>
      <c r="W1008" s="99"/>
      <c r="X1008" s="110"/>
      <c r="Y1008" s="110"/>
    </row>
    <row r="1009" s="13" customFormat="1" ht="12">
      <c r="A1009" s="125"/>
      <c r="B1009" s="126"/>
      <c r="C1009" s="125"/>
      <c r="D1009" s="125"/>
      <c r="E1009" s="127"/>
      <c r="F1009" s="128"/>
      <c r="G1009" s="129"/>
      <c r="H1009" s="130"/>
      <c r="I1009" s="29"/>
      <c r="K1009" s="125"/>
      <c r="L1009" s="125"/>
    </row>
    <row r="1010" s="14" customFormat="1" ht="12">
      <c r="A1010" s="92"/>
      <c r="B1010" s="102"/>
      <c r="C1010" s="92"/>
      <c r="D1010" s="92"/>
      <c r="E1010" s="103"/>
      <c r="F1010" s="95"/>
      <c r="G1010" s="103"/>
      <c r="H1010" s="96"/>
      <c r="I1010" s="125"/>
      <c r="K1010" s="92"/>
      <c r="L1010" s="92"/>
    </row>
    <row r="1011" s="15" customFormat="1" ht="12">
      <c r="A1011" s="92"/>
      <c r="B1011" s="131"/>
      <c r="C1011" s="92"/>
      <c r="D1011" s="63"/>
      <c r="E1011" s="91"/>
      <c r="F1011" s="95"/>
      <c r="G1011" s="103"/>
      <c r="H1011" s="96"/>
      <c r="I1011" s="125"/>
      <c r="J1011" s="132"/>
      <c r="K1011" s="92"/>
      <c r="L1011" s="92"/>
    </row>
    <row r="1012" s="14" customFormat="1" ht="12">
      <c r="A1012" s="92"/>
      <c r="B1012" s="102"/>
      <c r="C1012" s="92"/>
      <c r="D1012" s="92"/>
      <c r="E1012" s="103"/>
      <c r="F1012" s="95"/>
      <c r="G1012" s="103"/>
      <c r="H1012" s="96"/>
      <c r="I1012" s="96"/>
      <c r="J1012" s="133"/>
      <c r="K1012" s="103"/>
      <c r="L1012" s="92"/>
      <c r="M1012" s="93"/>
      <c r="N1012" s="93"/>
      <c r="O1012" s="93"/>
      <c r="P1012" s="93"/>
      <c r="Q1012" s="93"/>
      <c r="R1012" s="93"/>
      <c r="S1012" s="93"/>
      <c r="T1012" s="93"/>
      <c r="U1012" s="93"/>
      <c r="V1012" s="93"/>
      <c r="W1012" s="93"/>
      <c r="X1012" s="93"/>
      <c r="Y1012" s="93"/>
      <c r="Z1012" s="93"/>
      <c r="AA1012" s="93"/>
      <c r="AB1012" s="93"/>
      <c r="AC1012" s="93"/>
      <c r="AD1012" s="93"/>
      <c r="AE1012" s="93"/>
      <c r="AF1012" s="93"/>
      <c r="AG1012" s="93"/>
      <c r="AH1012" s="93"/>
      <c r="AI1012" s="93"/>
      <c r="AJ1012" s="93"/>
      <c r="AK1012" s="93"/>
      <c r="AL1012" s="93"/>
      <c r="AM1012" s="93"/>
      <c r="AN1012" s="93"/>
      <c r="AO1012" s="93"/>
      <c r="AP1012" s="93"/>
      <c r="AQ1012" s="93"/>
      <c r="AR1012" s="93"/>
      <c r="AS1012" s="93"/>
      <c r="AT1012" s="93"/>
      <c r="AU1012" s="93"/>
      <c r="AV1012" s="93"/>
      <c r="AW1012" s="93"/>
      <c r="AX1012" s="93"/>
      <c r="AY1012" s="93"/>
      <c r="AZ1012" s="93"/>
      <c r="BA1012" s="93"/>
      <c r="BB1012" s="93"/>
      <c r="BC1012" s="93"/>
      <c r="BD1012" s="93"/>
      <c r="BE1012" s="93"/>
      <c r="BF1012" s="93"/>
      <c r="BG1012" s="93"/>
      <c r="BH1012" s="93"/>
      <c r="BI1012" s="93"/>
      <c r="BJ1012" s="93"/>
      <c r="BK1012" s="93"/>
      <c r="BL1012" s="93"/>
      <c r="BM1012" s="93"/>
      <c r="BN1012" s="93"/>
      <c r="BO1012" s="93"/>
      <c r="BP1012" s="93"/>
      <c r="BQ1012" s="93"/>
      <c r="BR1012" s="93"/>
      <c r="BS1012" s="93"/>
      <c r="BT1012" s="93"/>
      <c r="BU1012" s="93"/>
      <c r="BV1012" s="93"/>
      <c r="BW1012" s="93"/>
      <c r="BX1012" s="93"/>
      <c r="BY1012" s="93"/>
      <c r="BZ1012" s="93"/>
      <c r="CA1012" s="93"/>
      <c r="CB1012" s="93"/>
      <c r="CC1012" s="93"/>
      <c r="CD1012" s="93"/>
      <c r="CE1012" s="93"/>
      <c r="CF1012" s="93"/>
      <c r="CG1012" s="93"/>
      <c r="CH1012" s="93"/>
      <c r="CI1012" s="93"/>
      <c r="CJ1012" s="93"/>
      <c r="CK1012" s="93"/>
      <c r="CL1012" s="93"/>
      <c r="CM1012" s="93"/>
      <c r="CN1012" s="93"/>
      <c r="CO1012" s="93"/>
      <c r="CP1012" s="93"/>
      <c r="CQ1012" s="93"/>
      <c r="CR1012" s="93"/>
      <c r="CS1012" s="93"/>
      <c r="CT1012" s="93"/>
      <c r="CU1012" s="93"/>
      <c r="CV1012" s="93"/>
      <c r="CW1012" s="93"/>
      <c r="CX1012" s="93"/>
      <c r="CY1012" s="93"/>
      <c r="CZ1012" s="93"/>
      <c r="DA1012" s="93"/>
      <c r="DB1012" s="93"/>
      <c r="DC1012" s="93"/>
      <c r="DD1012" s="93"/>
      <c r="DE1012" s="93"/>
      <c r="DF1012" s="93"/>
      <c r="DG1012" s="93"/>
      <c r="DH1012" s="93"/>
      <c r="DI1012" s="93"/>
      <c r="DJ1012" s="93"/>
      <c r="DK1012" s="93"/>
      <c r="DL1012" s="93"/>
      <c r="DM1012" s="93"/>
      <c r="DN1012" s="93"/>
      <c r="DO1012" s="93"/>
      <c r="DP1012" s="93"/>
      <c r="DQ1012" s="93"/>
      <c r="DR1012" s="93"/>
      <c r="DS1012" s="93"/>
      <c r="DT1012" s="93"/>
      <c r="DU1012" s="93"/>
      <c r="DV1012" s="93"/>
      <c r="DW1012" s="93"/>
      <c r="DX1012" s="93"/>
      <c r="DY1012" s="93"/>
      <c r="DZ1012" s="93"/>
      <c r="EA1012" s="93"/>
      <c r="EB1012" s="93"/>
      <c r="EC1012" s="93"/>
      <c r="ED1012" s="93"/>
      <c r="EE1012" s="93"/>
      <c r="EF1012" s="93"/>
      <c r="EG1012" s="93"/>
      <c r="EH1012" s="93"/>
      <c r="EI1012" s="93"/>
      <c r="EJ1012" s="93"/>
      <c r="EK1012" s="93"/>
      <c r="EL1012" s="93"/>
      <c r="EM1012" s="93"/>
      <c r="EN1012" s="93"/>
      <c r="EO1012" s="93"/>
      <c r="EP1012" s="93"/>
      <c r="EQ1012" s="93"/>
      <c r="ER1012" s="93"/>
      <c r="ES1012" s="93"/>
      <c r="ET1012" s="93"/>
      <c r="EU1012" s="93"/>
      <c r="EV1012" s="93"/>
      <c r="EW1012" s="93"/>
      <c r="EX1012" s="93"/>
      <c r="EY1012" s="93"/>
      <c r="EZ1012" s="93"/>
      <c r="FA1012" s="93"/>
      <c r="FB1012" s="93"/>
      <c r="FC1012" s="93"/>
      <c r="FD1012" s="93"/>
      <c r="FE1012" s="93"/>
      <c r="FF1012" s="93"/>
      <c r="FG1012" s="93"/>
      <c r="FH1012" s="93"/>
      <c r="FI1012" s="93"/>
      <c r="FJ1012" s="93"/>
      <c r="FK1012" s="93"/>
      <c r="FL1012" s="93"/>
      <c r="FM1012" s="93"/>
      <c r="FN1012" s="93"/>
      <c r="FO1012" s="93"/>
      <c r="FP1012" s="93"/>
      <c r="FQ1012" s="93"/>
      <c r="FR1012" s="93"/>
      <c r="FS1012" s="93"/>
      <c r="FT1012" s="93"/>
      <c r="FU1012" s="93"/>
      <c r="FV1012" s="93"/>
      <c r="FW1012" s="93"/>
      <c r="FX1012" s="93"/>
      <c r="FY1012" s="93"/>
      <c r="FZ1012" s="93"/>
      <c r="GA1012" s="93"/>
      <c r="GB1012" s="93"/>
      <c r="GC1012" s="93"/>
      <c r="GD1012" s="93"/>
      <c r="GE1012" s="93"/>
      <c r="GF1012" s="93"/>
      <c r="GG1012" s="93"/>
      <c r="GH1012" s="93"/>
      <c r="GI1012" s="93"/>
      <c r="GJ1012" s="93"/>
      <c r="GK1012" s="93"/>
      <c r="GL1012" s="93"/>
      <c r="GM1012" s="93"/>
      <c r="GN1012" s="93"/>
      <c r="GO1012" s="93"/>
      <c r="GP1012" s="93"/>
      <c r="GQ1012" s="93"/>
      <c r="GR1012" s="93"/>
      <c r="GS1012" s="93"/>
      <c r="GT1012" s="93"/>
      <c r="GU1012" s="93"/>
      <c r="GV1012" s="93"/>
      <c r="GW1012" s="93"/>
      <c r="GX1012" s="93"/>
      <c r="GY1012" s="93"/>
      <c r="GZ1012" s="93"/>
      <c r="HA1012" s="93"/>
      <c r="HB1012" s="93"/>
      <c r="HC1012" s="93"/>
      <c r="HD1012" s="93"/>
      <c r="HE1012" s="93"/>
      <c r="HF1012" s="93"/>
      <c r="HG1012" s="93"/>
      <c r="HH1012" s="93"/>
      <c r="HI1012" s="93"/>
      <c r="HJ1012" s="93"/>
      <c r="HK1012" s="93"/>
      <c r="HL1012" s="93"/>
      <c r="HM1012" s="93"/>
      <c r="HN1012" s="93"/>
      <c r="HO1012" s="93"/>
      <c r="HP1012" s="93"/>
      <c r="HQ1012" s="93"/>
      <c r="HR1012" s="93"/>
      <c r="HS1012" s="93"/>
      <c r="HT1012" s="93"/>
    </row>
    <row r="1013" s="14" customFormat="1" ht="12">
      <c r="A1013" s="92"/>
      <c r="B1013" s="102"/>
      <c r="C1013" s="92"/>
      <c r="D1013" s="92"/>
      <c r="E1013" s="96"/>
      <c r="F1013" s="95"/>
      <c r="G1013" s="103"/>
      <c r="H1013" s="96"/>
      <c r="I1013" s="130"/>
      <c r="K1013" s="92"/>
      <c r="L1013" s="92"/>
    </row>
    <row r="1014" s="14" customFormat="1" ht="12">
      <c r="A1014" s="92"/>
      <c r="B1014" s="93"/>
      <c r="C1014" s="92"/>
      <c r="D1014" s="92"/>
      <c r="E1014" s="111"/>
      <c r="F1014" s="95"/>
      <c r="G1014" s="103"/>
      <c r="H1014" s="96"/>
      <c r="I1014" s="130"/>
      <c r="K1014" s="92"/>
      <c r="L1014" s="92"/>
    </row>
  </sheetData>
  <mergeCells count="100">
    <mergeCell ref="A704:I704"/>
    <mergeCell ref="A705:D705"/>
    <mergeCell ref="A711:I711"/>
    <mergeCell ref="A712:D712"/>
    <mergeCell ref="A715:I715"/>
    <mergeCell ref="A716:I716"/>
    <mergeCell ref="A830:I830"/>
    <mergeCell ref="A831:I831"/>
    <mergeCell ref="A835:I835"/>
    <mergeCell ref="A836:I836"/>
    <mergeCell ref="A852:I852"/>
    <mergeCell ref="A853:I853"/>
    <mergeCell ref="A857:I857"/>
    <mergeCell ref="A858:I858"/>
    <mergeCell ref="A875:I875"/>
    <mergeCell ref="A876:I876"/>
    <mergeCell ref="A893:I893"/>
    <mergeCell ref="A894:I894"/>
    <mergeCell ref="A920:I920"/>
    <mergeCell ref="A921:I921"/>
    <mergeCell ref="A975:I975"/>
    <mergeCell ref="A976:I976"/>
    <mergeCell ref="D991:D992"/>
    <mergeCell ref="A991:A992"/>
    <mergeCell ref="I991:I992"/>
    <mergeCell ref="I1:I2"/>
    <mergeCell ref="F1:G1"/>
    <mergeCell ref="A1:A2"/>
    <mergeCell ref="H1:H2"/>
    <mergeCell ref="B1:B2"/>
    <mergeCell ref="C1:C2"/>
    <mergeCell ref="D1:D2"/>
    <mergeCell ref="B5:H5"/>
    <mergeCell ref="B61:H61"/>
    <mergeCell ref="A73:I73"/>
    <mergeCell ref="A74:I74"/>
    <mergeCell ref="A91:I91"/>
    <mergeCell ref="A92:I92"/>
    <mergeCell ref="A130:D130"/>
    <mergeCell ref="B131:H131"/>
    <mergeCell ref="A155:I155"/>
    <mergeCell ref="A156:I156"/>
    <mergeCell ref="A171:D171"/>
    <mergeCell ref="A172:D172"/>
    <mergeCell ref="A203:D203"/>
    <mergeCell ref="A204:D204"/>
    <mergeCell ref="A268:D268"/>
    <mergeCell ref="A269:D269"/>
    <mergeCell ref="A276:D276"/>
    <mergeCell ref="A277:D277"/>
    <mergeCell ref="A282:D282"/>
    <mergeCell ref="A283:D283"/>
    <mergeCell ref="A308:D308"/>
    <mergeCell ref="A309:D309"/>
    <mergeCell ref="A315:D315"/>
    <mergeCell ref="A316:D316"/>
    <mergeCell ref="A329:D329"/>
    <mergeCell ref="A330:D330"/>
    <mergeCell ref="C371:C372"/>
    <mergeCell ref="D371:D372"/>
    <mergeCell ref="H371:H372"/>
    <mergeCell ref="E371:E372"/>
    <mergeCell ref="F371:F372"/>
    <mergeCell ref="B371:B372"/>
    <mergeCell ref="G371:G372"/>
    <mergeCell ref="I371:I372"/>
    <mergeCell ref="A371:A372"/>
    <mergeCell ref="H374:H375"/>
    <mergeCell ref="F374:F375"/>
    <mergeCell ref="E374:E375"/>
    <mergeCell ref="I374:I375"/>
    <mergeCell ref="D374:D375"/>
    <mergeCell ref="B374:B375"/>
    <mergeCell ref="G374:G375"/>
    <mergeCell ref="A406:D406"/>
    <mergeCell ref="A407:D407"/>
    <mergeCell ref="A424:D424"/>
    <mergeCell ref="A425:D425"/>
    <mergeCell ref="A479:D479"/>
    <mergeCell ref="A480:D480"/>
    <mergeCell ref="A519:D519"/>
    <mergeCell ref="A520:D520"/>
    <mergeCell ref="A535:D535"/>
    <mergeCell ref="A536:D536"/>
    <mergeCell ref="A562:D562"/>
    <mergeCell ref="A563:D563"/>
    <mergeCell ref="A568:D568"/>
    <mergeCell ref="A569:D569"/>
    <mergeCell ref="A576:D576"/>
    <mergeCell ref="A577:D577"/>
    <mergeCell ref="A582:D582"/>
    <mergeCell ref="A583:D583"/>
    <mergeCell ref="A630:D630"/>
    <mergeCell ref="A631:D631"/>
    <mergeCell ref="A638:D638"/>
    <mergeCell ref="A639:D639"/>
    <mergeCell ref="A655:D655"/>
    <mergeCell ref="A656:D656"/>
    <mergeCell ref="A665:D665"/>
    <mergeCell ref="A666:D666"/>
  </mergeCells>
  <printOptions gridLines="1"/>
  <pageMargins left="0.5118055" right="0.4722222" top="0.6298611" bottom="0.5118055" header="0.3152778" footer="0.3152778"/>
  <pageSetup r:id="rId1" paperSize="9" orientation="portrait" scale="35"/>
  <headerFooter>
    <oddFooter>&amp;Z&amp;F&amp;RPage &amp;P</oddFooter>
  </headerFooter>
  <rowBreaks count="2" manualBreakCount="2">
    <brk id="342" man="1" max="8"/>
    <brk id="375" man="1" max="8"/>
  </rowBreaks>
  <colBreaks count="1" manualBreakCount="1">
    <brk id="9" man="1"/>
  </colBreaks>
</worksheet>
</file>

<file path=xl/worksheets/sheet2.xml><?xml version="1.0" encoding="utf-8"?>
<worksheet xmlns:r="http://schemas.openxmlformats.org/officeDocument/2006/relationships" xmlns="http://schemas.openxmlformats.org/spreadsheetml/2006/main">
  <sheetViews>
    <sheetView workbookViewId="0">
      <selection activeCell="K22" sqref="K22"/>
    </sheetView>
  </sheetViews>
  <sheetFormatPr defaultRowHeight="12.75"/>
  <cols>
    <col min="1" max="1" width="9" bestFit="1" customWidth="1"/>
    <col min="2" max="2" width="22.16406" bestFit="1" customWidth="1"/>
    <col min="3" max="3" width="63.83203" bestFit="1" customWidth="1"/>
    <col min="4" max="4" width="12.33203" bestFit="1" customWidth="1"/>
  </cols>
  <sheetData>
    <row r="1" ht="20.25">
      <c r="A1" s="134" t="s">
        <v>1908</v>
      </c>
      <c r="B1" s="134"/>
      <c r="C1" s="134"/>
      <c r="D1" s="134"/>
    </row>
    <row r="2" ht="12.95" customHeight="1">
      <c r="A2" s="135" t="s">
        <v>1909</v>
      </c>
      <c r="B2" s="136"/>
      <c r="C2" s="136"/>
      <c r="D2" s="136"/>
    </row>
    <row r="3" ht="15.75" customHeight="1">
      <c r="A3" s="137" t="s">
        <v>1910</v>
      </c>
      <c r="B3" s="138" t="s">
        <v>1911</v>
      </c>
      <c r="C3" s="138" t="s">
        <v>1912</v>
      </c>
      <c r="D3" s="138" t="s">
        <v>1913</v>
      </c>
    </row>
    <row r="4" ht="15.95" customHeight="1">
      <c r="A4" s="139">
        <v>1</v>
      </c>
      <c r="B4" s="140" t="s">
        <v>1914</v>
      </c>
      <c r="C4" s="140" t="s">
        <v>1915</v>
      </c>
      <c r="D4" s="141">
        <v>4</v>
      </c>
    </row>
    <row r="5" ht="15.95" customHeight="1">
      <c r="A5" s="139">
        <v>2</v>
      </c>
      <c r="B5" s="140" t="s">
        <v>1916</v>
      </c>
      <c r="C5" s="140" t="s">
        <v>1917</v>
      </c>
      <c r="D5" s="141">
        <v>6</v>
      </c>
    </row>
    <row r="6" ht="15.95" customHeight="1">
      <c r="A6" s="139">
        <v>3</v>
      </c>
      <c r="B6" s="140" t="s">
        <v>1918</v>
      </c>
      <c r="C6" s="140" t="s">
        <v>1919</v>
      </c>
      <c r="D6" s="141">
        <v>7</v>
      </c>
    </row>
    <row r="7" ht="15.95" customHeight="1">
      <c r="A7" s="139">
        <v>4</v>
      </c>
      <c r="B7" s="140" t="s">
        <v>1920</v>
      </c>
      <c r="C7" s="140" t="s">
        <v>1921</v>
      </c>
      <c r="D7" s="141">
        <v>9</v>
      </c>
    </row>
    <row r="8" ht="15.95" customHeight="1">
      <c r="A8" s="139">
        <v>5</v>
      </c>
      <c r="B8" s="140" t="s">
        <v>1922</v>
      </c>
      <c r="C8" s="140" t="s">
        <v>1923</v>
      </c>
      <c r="D8" s="141">
        <v>10</v>
      </c>
    </row>
    <row r="9" ht="15" customHeight="1">
      <c r="A9" s="139">
        <v>6</v>
      </c>
      <c r="B9" s="140" t="s">
        <v>1924</v>
      </c>
      <c r="C9" s="142" t="s">
        <v>1925</v>
      </c>
      <c r="D9" s="141">
        <v>13</v>
      </c>
    </row>
    <row r="10" ht="15.95" customHeight="1">
      <c r="A10" s="139">
        <v>7</v>
      </c>
      <c r="B10" s="140" t="s">
        <v>1926</v>
      </c>
      <c r="C10" s="140" t="s">
        <v>1927</v>
      </c>
      <c r="D10" s="141">
        <v>15</v>
      </c>
    </row>
    <row r="11" ht="15" customHeight="1">
      <c r="A11" s="139">
        <v>8</v>
      </c>
      <c r="B11" s="140" t="s">
        <v>1928</v>
      </c>
      <c r="C11" s="142" t="s">
        <v>1929</v>
      </c>
      <c r="D11" s="141">
        <v>16</v>
      </c>
    </row>
    <row r="12" ht="15" customHeight="1">
      <c r="A12" s="139">
        <v>9</v>
      </c>
      <c r="B12" s="140" t="s">
        <v>1930</v>
      </c>
      <c r="C12" s="142" t="s">
        <v>1931</v>
      </c>
      <c r="D12" s="141">
        <v>17</v>
      </c>
    </row>
    <row r="13" ht="15.95" customHeight="1">
      <c r="A13" s="139">
        <v>10</v>
      </c>
      <c r="B13" s="140" t="s">
        <v>1932</v>
      </c>
      <c r="C13" s="140" t="s">
        <v>1933</v>
      </c>
      <c r="D13" s="141">
        <v>19</v>
      </c>
    </row>
    <row r="14" ht="15.95" customHeight="1">
      <c r="A14" s="139">
        <v>11</v>
      </c>
      <c r="B14" s="140" t="s">
        <v>1934</v>
      </c>
      <c r="C14" s="140" t="s">
        <v>1935</v>
      </c>
      <c r="D14" s="141">
        <v>23</v>
      </c>
    </row>
    <row r="15" ht="15.95" customHeight="1">
      <c r="A15" s="139">
        <v>12</v>
      </c>
      <c r="B15" s="140" t="s">
        <v>1936</v>
      </c>
      <c r="C15" s="140" t="s">
        <v>1937</v>
      </c>
      <c r="D15" s="143" t="s">
        <v>1938</v>
      </c>
    </row>
    <row r="16" ht="15.95" customHeight="1">
      <c r="A16" s="139">
        <v>13</v>
      </c>
      <c r="B16" s="140" t="s">
        <v>1939</v>
      </c>
      <c r="C16" s="140" t="s">
        <v>1940</v>
      </c>
      <c r="D16" s="141">
        <v>24</v>
      </c>
    </row>
    <row r="17" ht="15" customHeight="1">
      <c r="A17" s="139">
        <v>14</v>
      </c>
      <c r="B17" s="140" t="s">
        <v>1941</v>
      </c>
      <c r="C17" s="142" t="s">
        <v>1942</v>
      </c>
      <c r="D17" s="141">
        <v>25</v>
      </c>
    </row>
    <row r="18" ht="15.95" customHeight="1">
      <c r="A18" s="139">
        <v>15</v>
      </c>
      <c r="B18" s="140" t="s">
        <v>1943</v>
      </c>
      <c r="C18" s="140" t="s">
        <v>1944</v>
      </c>
      <c r="D18" s="141">
        <v>27</v>
      </c>
    </row>
    <row r="19" ht="15.95" customHeight="1">
      <c r="A19" s="139">
        <v>16</v>
      </c>
      <c r="B19" s="140" t="s">
        <v>1945</v>
      </c>
      <c r="C19" s="140" t="s">
        <v>1946</v>
      </c>
      <c r="D19" s="141">
        <v>28</v>
      </c>
    </row>
    <row r="20" ht="15" customHeight="1">
      <c r="A20" s="139">
        <v>17</v>
      </c>
      <c r="B20" s="140" t="s">
        <v>1947</v>
      </c>
      <c r="C20" s="142" t="s">
        <v>1948</v>
      </c>
      <c r="D20" s="141">
        <v>30</v>
      </c>
    </row>
    <row r="21" ht="15.95" customHeight="1">
      <c r="A21" s="139">
        <v>18</v>
      </c>
      <c r="B21" s="140" t="s">
        <v>1949</v>
      </c>
      <c r="C21" s="140" t="s">
        <v>1950</v>
      </c>
      <c r="D21" s="141">
        <v>36</v>
      </c>
    </row>
    <row r="22" ht="15">
      <c r="A22" s="139">
        <v>19</v>
      </c>
      <c r="B22" s="140" t="s">
        <v>1951</v>
      </c>
      <c r="C22" s="140" t="s">
        <v>1937</v>
      </c>
      <c r="D22" s="143" t="s">
        <v>1938</v>
      </c>
    </row>
    <row r="23" ht="12.95" customHeight="1">
      <c r="A23" s="135" t="s">
        <v>1952</v>
      </c>
      <c r="B23" s="136"/>
      <c r="C23" s="136"/>
      <c r="D23" s="136"/>
    </row>
    <row r="24" ht="15.95" customHeight="1">
      <c r="A24" s="144">
        <v>20</v>
      </c>
      <c r="B24" s="145" t="s">
        <v>1953</v>
      </c>
      <c r="C24" s="145" t="s">
        <v>1954</v>
      </c>
      <c r="D24" s="146">
        <v>37</v>
      </c>
    </row>
    <row r="25" ht="15.95" customHeight="1">
      <c r="A25" s="139">
        <v>21</v>
      </c>
      <c r="B25" s="140" t="s">
        <v>1955</v>
      </c>
      <c r="C25" s="140" t="s">
        <v>1917</v>
      </c>
      <c r="D25" s="141">
        <v>42</v>
      </c>
    </row>
    <row r="26" ht="15.95" customHeight="1">
      <c r="A26" s="139">
        <v>22</v>
      </c>
      <c r="B26" s="140" t="s">
        <v>1956</v>
      </c>
      <c r="C26" s="140" t="s">
        <v>1957</v>
      </c>
      <c r="D26" s="141">
        <v>46</v>
      </c>
    </row>
    <row r="27" ht="15.95" customHeight="1">
      <c r="A27" s="139">
        <v>23</v>
      </c>
      <c r="B27" s="140" t="s">
        <v>1958</v>
      </c>
      <c r="C27" s="140" t="s">
        <v>1959</v>
      </c>
      <c r="D27" s="141">
        <v>50</v>
      </c>
    </row>
    <row r="28" ht="15.95" customHeight="1">
      <c r="A28" s="139">
        <v>24</v>
      </c>
      <c r="B28" s="140" t="s">
        <v>1960</v>
      </c>
      <c r="C28" s="140" t="s">
        <v>1919</v>
      </c>
      <c r="D28" s="141">
        <v>54</v>
      </c>
    </row>
    <row r="29" ht="15.95" customHeight="1">
      <c r="A29" s="139">
        <v>25</v>
      </c>
      <c r="B29" s="140" t="s">
        <v>1961</v>
      </c>
      <c r="C29" s="140" t="s">
        <v>1921</v>
      </c>
      <c r="D29" s="141">
        <v>55</v>
      </c>
    </row>
    <row r="30" ht="15.75">
      <c r="A30" s="139">
        <v>26</v>
      </c>
      <c r="B30" s="140" t="s">
        <v>1962</v>
      </c>
      <c r="C30" s="142" t="s">
        <v>1963</v>
      </c>
      <c r="D30" s="141">
        <v>56</v>
      </c>
    </row>
    <row r="31" ht="15.95" customHeight="1">
      <c r="A31" s="139">
        <v>27</v>
      </c>
      <c r="B31" s="140" t="s">
        <v>1964</v>
      </c>
      <c r="C31" s="140" t="s">
        <v>1965</v>
      </c>
      <c r="D31" s="141">
        <v>57</v>
      </c>
    </row>
    <row r="32" ht="15.95" customHeight="1">
      <c r="A32" s="139">
        <v>28</v>
      </c>
      <c r="B32" s="140" t="s">
        <v>1966</v>
      </c>
      <c r="C32" s="140" t="s">
        <v>1967</v>
      </c>
      <c r="D32" s="141">
        <v>62</v>
      </c>
    </row>
    <row r="33" ht="15.95" customHeight="1">
      <c r="A33" s="139">
        <v>29</v>
      </c>
      <c r="B33" s="140" t="s">
        <v>1968</v>
      </c>
      <c r="C33" s="140" t="s">
        <v>1969</v>
      </c>
      <c r="D33" s="141">
        <v>63</v>
      </c>
    </row>
    <row r="34" ht="15.95" customHeight="1">
      <c r="A34" s="139">
        <v>30</v>
      </c>
      <c r="B34" s="140" t="s">
        <v>1970</v>
      </c>
      <c r="C34" s="140" t="s">
        <v>1971</v>
      </c>
      <c r="D34" s="141">
        <v>64</v>
      </c>
    </row>
    <row r="35" ht="15.95" customHeight="1">
      <c r="A35" s="139">
        <v>31</v>
      </c>
      <c r="B35" s="140" t="s">
        <v>1972</v>
      </c>
      <c r="C35" s="140" t="s">
        <v>1973</v>
      </c>
      <c r="D35" s="141">
        <v>65</v>
      </c>
    </row>
    <row r="36" ht="15.95" customHeight="1">
      <c r="A36" s="139">
        <v>32</v>
      </c>
      <c r="B36" s="140" t="s">
        <v>1974</v>
      </c>
      <c r="C36" s="140" t="s">
        <v>1975</v>
      </c>
      <c r="D36" s="141">
        <v>69</v>
      </c>
    </row>
    <row r="37" ht="15.95" customHeight="1">
      <c r="A37" s="139">
        <v>33</v>
      </c>
      <c r="B37" s="140" t="s">
        <v>1976</v>
      </c>
      <c r="C37" s="140" t="s">
        <v>1977</v>
      </c>
      <c r="D37" s="141">
        <v>70</v>
      </c>
    </row>
    <row r="38" ht="15.95" customHeight="1">
      <c r="A38" s="139">
        <v>34</v>
      </c>
      <c r="B38" s="140" t="s">
        <v>1978</v>
      </c>
      <c r="C38" s="140" t="s">
        <v>1979</v>
      </c>
      <c r="D38" s="141">
        <v>71</v>
      </c>
    </row>
    <row r="39" ht="15.95" customHeight="1">
      <c r="A39" s="139">
        <v>35</v>
      </c>
      <c r="B39" s="140" t="s">
        <v>1980</v>
      </c>
      <c r="C39" s="140" t="s">
        <v>1981</v>
      </c>
      <c r="D39" s="141">
        <v>77</v>
      </c>
    </row>
    <row r="40" ht="32.1" customHeight="1">
      <c r="A40" s="139">
        <v>36</v>
      </c>
      <c r="B40" s="140" t="s">
        <v>1982</v>
      </c>
      <c r="C40" s="142" t="s">
        <v>1983</v>
      </c>
      <c r="D40" s="141">
        <v>78</v>
      </c>
    </row>
    <row r="41" ht="15.95" customHeight="1">
      <c r="A41" s="139">
        <v>37</v>
      </c>
      <c r="B41" s="140" t="s">
        <v>1984</v>
      </c>
      <c r="C41" s="140" t="s">
        <v>1950</v>
      </c>
      <c r="D41" s="141">
        <v>80</v>
      </c>
    </row>
    <row r="42" ht="15.95" customHeight="1">
      <c r="A42" s="139">
        <v>38</v>
      </c>
      <c r="B42" s="140" t="s">
        <v>1985</v>
      </c>
      <c r="C42" s="140" t="s">
        <v>1986</v>
      </c>
      <c r="D42" s="141">
        <v>81</v>
      </c>
    </row>
    <row r="43" ht="15.95" customHeight="1">
      <c r="A43" s="139">
        <v>39</v>
      </c>
      <c r="B43" s="140" t="s">
        <v>1987</v>
      </c>
      <c r="C43" s="140" t="s">
        <v>1988</v>
      </c>
      <c r="D43" s="141">
        <v>83</v>
      </c>
    </row>
    <row r="44" ht="15.95" customHeight="1">
      <c r="A44" s="139">
        <v>40</v>
      </c>
      <c r="B44" s="140" t="s">
        <v>1989</v>
      </c>
      <c r="C44" s="140" t="s">
        <v>1990</v>
      </c>
      <c r="D44" s="141">
        <v>84</v>
      </c>
    </row>
    <row r="45" ht="15.95" customHeight="1">
      <c r="A45" s="139">
        <v>41</v>
      </c>
      <c r="B45" s="140" t="s">
        <v>1991</v>
      </c>
      <c r="C45" s="140" t="s">
        <v>1992</v>
      </c>
      <c r="D45" s="141">
        <v>87</v>
      </c>
    </row>
    <row r="46" ht="15.95" customHeight="1">
      <c r="A46" s="139">
        <v>42</v>
      </c>
      <c r="B46" s="140" t="s">
        <v>1993</v>
      </c>
      <c r="C46" s="140" t="s">
        <v>1994</v>
      </c>
      <c r="D46" s="141">
        <v>94</v>
      </c>
    </row>
    <row r="47" ht="15.95" customHeight="1">
      <c r="A47" s="139">
        <v>43</v>
      </c>
      <c r="B47" s="143" t="s">
        <v>1995</v>
      </c>
      <c r="C47" s="147"/>
      <c r="D47" s="141">
        <v>97</v>
      </c>
    </row>
  </sheetData>
  <mergeCells count="4">
    <mergeCell ref="B47:C47"/>
    <mergeCell ref="A1:D1"/>
    <mergeCell ref="A23:D23"/>
    <mergeCell ref="A2:D2"/>
  </mergeCells>
  <pageMargins left="0.5402778" right="0.4402778" top="0.7201389" bottom="0.3541667" header="0.3152778" footer="0.3152778"/>
  <pageSetup r:id="rId1" paperSize="9" orientation="portrait" scale="95"/>
</worksheet>
</file>

<file path=xl/worksheets/sheet3.xml><?xml version="1.0" encoding="utf-8"?>
<worksheet xmlns:r="http://schemas.openxmlformats.org/officeDocument/2006/relationships" xmlns="http://schemas.openxmlformats.org/spreadsheetml/2006/main">
  <sheetViews>
    <sheetView workbookViewId="0">
      <selection activeCell="D16" sqref="D16:E16"/>
    </sheetView>
  </sheetViews>
  <sheetFormatPr defaultRowHeight="12.75"/>
  <cols>
    <col min="1" max="3" width="9.332031" style="148"/>
    <col min="4" max="4" width="23.16406" style="148" customWidth="1"/>
    <col min="5" max="5" width="9.332031" style="148"/>
    <col min="6" max="6" width="17.83203" style="148" customWidth="1"/>
    <col min="7" max="16384" width="9.332031" style="148"/>
  </cols>
  <sheetData>
    <row r="1" ht="17.1" customHeight="1">
      <c r="A1" s="149" t="s">
        <v>1996</v>
      </c>
    </row>
    <row r="2" ht="15" customHeight="1">
      <c r="A2" s="150" t="s">
        <v>1997</v>
      </c>
    </row>
    <row r="3" ht="15" customHeight="1">
      <c r="A3" s="150" t="s">
        <v>1998</v>
      </c>
    </row>
    <row r="4" ht="20.1" customHeight="1">
      <c r="A4" s="151" t="s">
        <v>1999</v>
      </c>
      <c r="B4" s="152"/>
      <c r="C4" s="153"/>
      <c r="D4" s="151" t="s">
        <v>2000</v>
      </c>
      <c r="E4" s="153"/>
      <c r="F4" s="154" t="s">
        <v>2001</v>
      </c>
      <c r="G4" s="151" t="s">
        <v>2002</v>
      </c>
      <c r="H4" s="152"/>
      <c r="I4" s="152"/>
      <c r="J4" s="152"/>
      <c r="K4" s="152"/>
      <c r="L4" s="152"/>
      <c r="M4" s="152"/>
      <c r="N4" s="152"/>
    </row>
    <row r="5" ht="20.1" customHeight="1">
      <c r="A5" s="151" t="s">
        <v>2003</v>
      </c>
      <c r="B5" s="152"/>
      <c r="C5" s="153"/>
      <c r="D5" s="151" t="s">
        <v>2004</v>
      </c>
      <c r="E5" s="153"/>
      <c r="F5" s="154" t="s">
        <v>2005</v>
      </c>
      <c r="G5" s="151" t="s">
        <v>2006</v>
      </c>
      <c r="H5" s="152"/>
      <c r="I5" s="152"/>
      <c r="J5" s="152"/>
      <c r="K5" s="152"/>
      <c r="L5" s="152"/>
      <c r="M5" s="152"/>
      <c r="N5" s="152"/>
    </row>
    <row r="6" ht="20.1" customHeight="1">
      <c r="A6" s="151" t="s">
        <v>2007</v>
      </c>
      <c r="B6" s="152"/>
      <c r="C6" s="153"/>
      <c r="D6" s="151" t="s">
        <v>2008</v>
      </c>
      <c r="E6" s="153"/>
      <c r="F6" s="154" t="s">
        <v>2009</v>
      </c>
      <c r="G6" s="151" t="s">
        <v>2010</v>
      </c>
      <c r="H6" s="152"/>
      <c r="I6" s="152"/>
      <c r="J6" s="152"/>
      <c r="K6" s="152"/>
      <c r="L6" s="152"/>
      <c r="M6" s="152"/>
      <c r="N6" s="152"/>
    </row>
    <row r="7" ht="20.1" customHeight="1">
      <c r="A7" s="151" t="s">
        <v>2011</v>
      </c>
      <c r="B7" s="152"/>
      <c r="C7" s="153"/>
      <c r="D7" s="151" t="s">
        <v>2012</v>
      </c>
      <c r="E7" s="153"/>
      <c r="F7" s="155" t="s">
        <v>2013</v>
      </c>
      <c r="G7" s="151" t="s">
        <v>2014</v>
      </c>
      <c r="H7" s="152"/>
      <c r="I7" s="152"/>
      <c r="J7" s="152"/>
      <c r="K7" s="152"/>
      <c r="L7" s="152"/>
      <c r="M7" s="152"/>
      <c r="N7" s="152"/>
    </row>
    <row r="8" ht="27.95" customHeight="1">
      <c r="A8" s="151" t="s">
        <v>2015</v>
      </c>
      <c r="B8" s="152"/>
      <c r="C8" s="153"/>
      <c r="D8" s="156" t="s">
        <v>2016</v>
      </c>
      <c r="E8" s="157"/>
      <c r="F8" s="154" t="s">
        <v>2017</v>
      </c>
      <c r="G8" s="151" t="s">
        <v>2018</v>
      </c>
      <c r="H8" s="152"/>
      <c r="I8" s="152"/>
      <c r="J8" s="152"/>
      <c r="K8" s="152"/>
      <c r="L8" s="152"/>
      <c r="M8" s="152"/>
      <c r="N8" s="152"/>
    </row>
    <row r="9" ht="20.1" customHeight="1">
      <c r="A9" s="151" t="s">
        <v>2019</v>
      </c>
      <c r="B9" s="152"/>
      <c r="C9" s="153"/>
      <c r="D9" s="151" t="s">
        <v>2020</v>
      </c>
      <c r="E9" s="153"/>
      <c r="F9" s="154" t="s">
        <v>2021</v>
      </c>
      <c r="G9" s="151" t="s">
        <v>2022</v>
      </c>
      <c r="H9" s="152"/>
      <c r="I9" s="152"/>
      <c r="J9" s="152"/>
      <c r="K9" s="152"/>
      <c r="L9" s="152"/>
      <c r="M9" s="152"/>
      <c r="N9" s="152"/>
    </row>
    <row r="10" ht="27.95" customHeight="1">
      <c r="A10" s="151" t="s">
        <v>2023</v>
      </c>
      <c r="B10" s="152"/>
      <c r="C10" s="153"/>
      <c r="D10" s="156" t="s">
        <v>2024</v>
      </c>
      <c r="E10" s="157"/>
      <c r="F10" s="154" t="s">
        <v>2025</v>
      </c>
      <c r="G10" s="151" t="s">
        <v>2026</v>
      </c>
      <c r="H10" s="152"/>
      <c r="I10" s="152"/>
      <c r="J10" s="152"/>
      <c r="K10" s="152"/>
      <c r="L10" s="152"/>
      <c r="M10" s="152"/>
      <c r="N10" s="152"/>
    </row>
    <row r="11" ht="27.95" customHeight="1">
      <c r="A11" s="151" t="s">
        <v>2027</v>
      </c>
      <c r="B11" s="152"/>
      <c r="C11" s="153"/>
      <c r="D11" s="156" t="s">
        <v>2028</v>
      </c>
      <c r="E11" s="157"/>
      <c r="F11" s="154" t="s">
        <v>2029</v>
      </c>
      <c r="G11" s="151" t="s">
        <v>2030</v>
      </c>
      <c r="H11" s="152"/>
      <c r="I11" s="152"/>
      <c r="J11" s="152"/>
      <c r="K11" s="152"/>
      <c r="L11" s="152"/>
      <c r="M11" s="152"/>
      <c r="N11" s="152"/>
    </row>
    <row r="12" ht="20.1" customHeight="1">
      <c r="A12" s="151" t="s">
        <v>2031</v>
      </c>
      <c r="B12" s="152"/>
      <c r="C12" s="153"/>
      <c r="D12" s="151" t="s">
        <v>2032</v>
      </c>
      <c r="E12" s="153"/>
      <c r="F12" s="155" t="s">
        <v>2033</v>
      </c>
      <c r="G12" s="151" t="s">
        <v>2034</v>
      </c>
      <c r="H12" s="152"/>
      <c r="I12" s="152"/>
      <c r="J12" s="152"/>
      <c r="K12" s="152"/>
      <c r="L12" s="152"/>
      <c r="M12" s="152"/>
      <c r="N12" s="152"/>
    </row>
    <row r="13" ht="20.1" customHeight="1">
      <c r="A13" s="151" t="s">
        <v>2035</v>
      </c>
      <c r="B13" s="152"/>
      <c r="C13" s="153"/>
      <c r="D13" s="151" t="s">
        <v>2036</v>
      </c>
      <c r="E13" s="153"/>
      <c r="F13" s="155" t="s">
        <v>2037</v>
      </c>
      <c r="G13" s="151" t="s">
        <v>2038</v>
      </c>
      <c r="H13" s="152"/>
      <c r="I13" s="152"/>
      <c r="J13" s="152"/>
      <c r="K13" s="152"/>
      <c r="L13" s="152"/>
      <c r="M13" s="152"/>
      <c r="N13" s="152"/>
    </row>
    <row r="14" ht="20.1" customHeight="1">
      <c r="A14" s="151" t="s">
        <v>2039</v>
      </c>
      <c r="B14" s="152"/>
      <c r="C14" s="153"/>
      <c r="D14" s="151" t="s">
        <v>2040</v>
      </c>
      <c r="E14" s="153"/>
      <c r="F14" s="155" t="s">
        <v>2041</v>
      </c>
      <c r="G14" s="151" t="s">
        <v>2042</v>
      </c>
      <c r="H14" s="152"/>
      <c r="I14" s="152"/>
      <c r="J14" s="152"/>
      <c r="K14" s="152"/>
      <c r="L14" s="152"/>
      <c r="M14" s="152"/>
      <c r="N14" s="152"/>
    </row>
    <row r="15" ht="27.95" customHeight="1">
      <c r="A15" s="151" t="s">
        <v>2043</v>
      </c>
      <c r="B15" s="152"/>
      <c r="C15" s="153"/>
      <c r="D15" s="156" t="s">
        <v>2044</v>
      </c>
      <c r="E15" s="157"/>
      <c r="F15" s="154" t="s">
        <v>2045</v>
      </c>
      <c r="G15" s="151" t="s">
        <v>2046</v>
      </c>
      <c r="H15" s="152"/>
      <c r="I15" s="152"/>
      <c r="J15" s="152"/>
      <c r="K15" s="152"/>
      <c r="L15" s="152"/>
      <c r="M15" s="152"/>
      <c r="N15" s="152"/>
    </row>
    <row r="16" ht="20.1" customHeight="1">
      <c r="A16" s="151" t="s">
        <v>2047</v>
      </c>
      <c r="B16" s="152"/>
      <c r="C16" s="153"/>
      <c r="D16" s="151" t="s">
        <v>2048</v>
      </c>
      <c r="E16" s="153"/>
      <c r="F16" s="154" t="s">
        <v>2049</v>
      </c>
      <c r="G16" s="151" t="s">
        <v>2050</v>
      </c>
      <c r="H16" s="152"/>
      <c r="I16" s="152"/>
      <c r="J16" s="152"/>
      <c r="K16" s="152"/>
      <c r="L16" s="152"/>
      <c r="M16" s="152"/>
      <c r="N16" s="152"/>
    </row>
    <row r="17" ht="20.1" customHeight="1">
      <c r="A17" s="151" t="s">
        <v>2051</v>
      </c>
      <c r="B17" s="152"/>
      <c r="C17" s="153"/>
      <c r="D17" s="151" t="s">
        <v>2052</v>
      </c>
      <c r="E17" s="153"/>
      <c r="F17" s="154" t="s">
        <v>2053</v>
      </c>
      <c r="G17" s="151" t="s">
        <v>2054</v>
      </c>
      <c r="H17" s="152"/>
      <c r="I17" s="152"/>
      <c r="J17" s="152"/>
      <c r="K17" s="152"/>
      <c r="L17" s="152"/>
      <c r="M17" s="152"/>
      <c r="N17" s="152"/>
    </row>
    <row r="18" ht="20.1" customHeight="1">
      <c r="A18" s="151" t="s">
        <v>2055</v>
      </c>
      <c r="B18" s="152"/>
      <c r="C18" s="153"/>
      <c r="D18" s="151" t="s">
        <v>2056</v>
      </c>
      <c r="E18" s="153"/>
      <c r="F18" s="154" t="s">
        <v>2057</v>
      </c>
      <c r="G18" s="151" t="s">
        <v>2058</v>
      </c>
      <c r="H18" s="152"/>
      <c r="I18" s="152"/>
      <c r="J18" s="152"/>
      <c r="K18" s="152"/>
      <c r="L18" s="152"/>
      <c r="M18" s="152"/>
      <c r="N18" s="152"/>
    </row>
    <row r="19" ht="27.95" customHeight="1">
      <c r="A19" s="151" t="s">
        <v>2059</v>
      </c>
      <c r="B19" s="152"/>
      <c r="C19" s="153"/>
      <c r="D19" s="151" t="s">
        <v>2060</v>
      </c>
      <c r="E19" s="153"/>
      <c r="F19" s="154" t="s">
        <v>2061</v>
      </c>
      <c r="G19" s="156" t="s">
        <v>2062</v>
      </c>
      <c r="H19" s="158"/>
      <c r="I19" s="158"/>
      <c r="J19" s="158"/>
      <c r="K19" s="158"/>
      <c r="L19" s="158"/>
      <c r="M19" s="158"/>
      <c r="N19" s="158"/>
    </row>
    <row r="20" ht="20.1" customHeight="1">
      <c r="A20" s="151" t="s">
        <v>2063</v>
      </c>
      <c r="B20" s="152"/>
      <c r="C20" s="153"/>
      <c r="D20" s="151" t="s">
        <v>2064</v>
      </c>
      <c r="E20" s="153"/>
      <c r="F20" s="154" t="s">
        <v>2065</v>
      </c>
      <c r="G20" s="151" t="s">
        <v>2066</v>
      </c>
      <c r="H20" s="152"/>
      <c r="I20" s="152"/>
      <c r="J20" s="152"/>
      <c r="K20" s="152"/>
      <c r="L20" s="152"/>
      <c r="M20" s="152"/>
      <c r="N20" s="152"/>
    </row>
    <row r="21" ht="20.1" customHeight="1">
      <c r="A21" s="151" t="s">
        <v>2067</v>
      </c>
      <c r="B21" s="152"/>
      <c r="C21" s="153"/>
      <c r="D21" s="151" t="s">
        <v>2068</v>
      </c>
      <c r="E21" s="153"/>
      <c r="F21" s="154" t="s">
        <v>2069</v>
      </c>
      <c r="G21" s="151" t="s">
        <v>2070</v>
      </c>
      <c r="H21" s="152"/>
      <c r="I21" s="152"/>
      <c r="J21" s="152"/>
      <c r="K21" s="152"/>
      <c r="L21" s="152"/>
      <c r="M21" s="152"/>
      <c r="N21" s="152"/>
    </row>
    <row r="22" ht="27.95" customHeight="1">
      <c r="A22" s="151" t="s">
        <v>2071</v>
      </c>
      <c r="B22" s="152"/>
      <c r="C22" s="153"/>
      <c r="D22" s="156" t="s">
        <v>2072</v>
      </c>
      <c r="E22" s="157"/>
      <c r="F22" s="154" t="s">
        <v>2073</v>
      </c>
      <c r="G22" s="151" t="s">
        <v>2074</v>
      </c>
      <c r="H22" s="152"/>
      <c r="I22" s="152"/>
      <c r="J22" s="152"/>
      <c r="K22" s="152"/>
      <c r="L22" s="152"/>
      <c r="M22" s="152"/>
      <c r="N22" s="152"/>
    </row>
    <row r="23" ht="20.1" customHeight="1">
      <c r="A23" s="151" t="s">
        <v>2075</v>
      </c>
      <c r="B23" s="152"/>
      <c r="C23" s="153"/>
      <c r="D23" s="151" t="s">
        <v>2076</v>
      </c>
      <c r="E23" s="153"/>
      <c r="F23" s="154" t="s">
        <v>2077</v>
      </c>
      <c r="G23" s="151" t="s">
        <v>2078</v>
      </c>
      <c r="H23" s="152"/>
      <c r="I23" s="152"/>
      <c r="J23" s="152"/>
      <c r="K23" s="152"/>
      <c r="L23" s="152"/>
      <c r="M23" s="152"/>
      <c r="N23" s="152"/>
    </row>
    <row r="24" ht="27.95" customHeight="1">
      <c r="A24" s="151" t="s">
        <v>2079</v>
      </c>
      <c r="B24" s="152"/>
      <c r="C24" s="153"/>
      <c r="D24" s="151" t="s">
        <v>2080</v>
      </c>
      <c r="E24" s="153"/>
      <c r="F24" s="154" t="s">
        <v>2081</v>
      </c>
      <c r="G24" s="156" t="s">
        <v>2082</v>
      </c>
      <c r="H24" s="158"/>
      <c r="I24" s="158"/>
      <c r="J24" s="158"/>
      <c r="K24" s="158"/>
      <c r="L24" s="158"/>
      <c r="M24" s="158"/>
      <c r="N24" s="158"/>
    </row>
    <row r="25" ht="20.1" customHeight="1">
      <c r="A25" s="151" t="s">
        <v>2083</v>
      </c>
      <c r="B25" s="152"/>
      <c r="C25" s="153"/>
      <c r="D25" s="151" t="s">
        <v>2084</v>
      </c>
      <c r="E25" s="153"/>
      <c r="F25" s="155" t="s">
        <v>2085</v>
      </c>
      <c r="G25" s="151" t="s">
        <v>2086</v>
      </c>
      <c r="H25" s="152"/>
      <c r="I25" s="152"/>
      <c r="J25" s="152"/>
      <c r="K25" s="152"/>
      <c r="L25" s="152"/>
      <c r="M25" s="152"/>
      <c r="N25" s="152"/>
    </row>
    <row r="26" ht="20.1" customHeight="1">
      <c r="A26" s="159" t="s">
        <v>2087</v>
      </c>
      <c r="B26" s="160"/>
      <c r="C26" s="161"/>
      <c r="D26" s="151" t="s">
        <v>2088</v>
      </c>
      <c r="E26" s="153"/>
      <c r="F26" s="155" t="s">
        <v>2089</v>
      </c>
      <c r="G26" s="151" t="s">
        <v>2090</v>
      </c>
      <c r="H26" s="152"/>
      <c r="I26" s="152"/>
      <c r="J26" s="152"/>
      <c r="K26" s="152"/>
      <c r="L26" s="152"/>
      <c r="M26" s="152"/>
      <c r="N26" s="152"/>
    </row>
    <row r="27" ht="20.1" customHeight="1">
      <c r="A27" s="151" t="s">
        <v>2091</v>
      </c>
      <c r="B27" s="152"/>
      <c r="C27" s="153"/>
      <c r="D27" s="151" t="s">
        <v>2092</v>
      </c>
      <c r="E27" s="153"/>
      <c r="F27" s="155" t="s">
        <v>2093</v>
      </c>
      <c r="G27" s="151" t="s">
        <v>2094</v>
      </c>
      <c r="H27" s="152"/>
      <c r="I27" s="152"/>
      <c r="J27" s="152"/>
      <c r="K27" s="152"/>
      <c r="L27" s="152"/>
      <c r="M27" s="152"/>
      <c r="N27" s="152"/>
    </row>
    <row r="28" ht="27.95" customHeight="1">
      <c r="A28" s="151" t="s">
        <v>2095</v>
      </c>
      <c r="B28" s="152"/>
      <c r="C28" s="153"/>
      <c r="D28" s="156" t="s">
        <v>2096</v>
      </c>
      <c r="E28" s="157"/>
      <c r="F28" s="155" t="s">
        <v>2097</v>
      </c>
      <c r="G28" s="151" t="s">
        <v>2098</v>
      </c>
      <c r="H28" s="152"/>
      <c r="I28" s="152"/>
      <c r="J28" s="152"/>
      <c r="K28" s="152"/>
      <c r="L28" s="152"/>
      <c r="M28" s="152"/>
      <c r="N28" s="152"/>
    </row>
    <row r="29" ht="27.95" customHeight="1">
      <c r="A29" s="151" t="s">
        <v>2099</v>
      </c>
      <c r="B29" s="152"/>
      <c r="C29" s="153"/>
      <c r="D29" s="156" t="s">
        <v>2100</v>
      </c>
      <c r="E29" s="157"/>
      <c r="F29" s="155" t="s">
        <v>2101</v>
      </c>
      <c r="G29" s="151" t="s">
        <v>2102</v>
      </c>
      <c r="H29" s="152"/>
      <c r="I29" s="152"/>
      <c r="J29" s="152"/>
      <c r="K29" s="152"/>
      <c r="L29" s="152"/>
      <c r="M29" s="152"/>
      <c r="N29" s="152"/>
    </row>
    <row r="30" ht="20.1" customHeight="1">
      <c r="A30" s="151" t="s">
        <v>2103</v>
      </c>
      <c r="B30" s="152"/>
      <c r="C30" s="153"/>
      <c r="D30" s="151" t="s">
        <v>2104</v>
      </c>
      <c r="E30" s="153"/>
      <c r="F30" s="155" t="s">
        <v>2105</v>
      </c>
      <c r="G30" s="151" t="s">
        <v>2106</v>
      </c>
      <c r="H30" s="152"/>
      <c r="I30" s="152"/>
      <c r="J30" s="152"/>
      <c r="K30" s="152"/>
      <c r="L30" s="152"/>
      <c r="M30" s="152"/>
      <c r="N30" s="152"/>
    </row>
    <row r="31" ht="27.95" customHeight="1">
      <c r="A31" s="151" t="s">
        <v>2107</v>
      </c>
      <c r="B31" s="152"/>
      <c r="C31" s="153"/>
      <c r="D31" s="156" t="s">
        <v>2108</v>
      </c>
      <c r="E31" s="157"/>
      <c r="F31" s="154" t="s">
        <v>2109</v>
      </c>
      <c r="G31" s="151" t="s">
        <v>2110</v>
      </c>
      <c r="H31" s="152"/>
      <c r="I31" s="152"/>
      <c r="J31" s="152"/>
      <c r="K31" s="152"/>
      <c r="L31" s="152"/>
      <c r="M31" s="152"/>
      <c r="N31" s="152"/>
    </row>
    <row r="32" ht="20.1" customHeight="1">
      <c r="A32" s="151" t="s">
        <v>2111</v>
      </c>
      <c r="B32" s="152"/>
      <c r="C32" s="153"/>
      <c r="D32" s="151" t="s">
        <v>2112</v>
      </c>
      <c r="E32" s="153"/>
      <c r="F32" s="154" t="s">
        <v>2113</v>
      </c>
      <c r="G32" s="151" t="s">
        <v>2114</v>
      </c>
      <c r="H32" s="152"/>
      <c r="I32" s="152"/>
      <c r="J32" s="152"/>
      <c r="K32" s="152"/>
      <c r="L32" s="152"/>
      <c r="M32" s="152"/>
      <c r="N32" s="152"/>
    </row>
    <row r="33" ht="20.1" customHeight="1">
      <c r="A33" s="151" t="s">
        <v>2115</v>
      </c>
      <c r="B33" s="152"/>
      <c r="C33" s="153"/>
      <c r="D33" s="151" t="s">
        <v>2116</v>
      </c>
      <c r="E33" s="153"/>
      <c r="F33" s="154" t="s">
        <v>2117</v>
      </c>
      <c r="G33" s="151" t="s">
        <v>2118</v>
      </c>
      <c r="H33" s="152"/>
      <c r="I33" s="152"/>
      <c r="J33" s="152"/>
      <c r="K33" s="152"/>
      <c r="L33" s="152"/>
      <c r="M33" s="152"/>
      <c r="N33" s="152"/>
    </row>
    <row r="34" ht="20.1" customHeight="1">
      <c r="A34" s="151" t="s">
        <v>2119</v>
      </c>
      <c r="B34" s="152"/>
      <c r="C34" s="153"/>
      <c r="D34" s="151" t="s">
        <v>2120</v>
      </c>
      <c r="E34" s="153"/>
      <c r="F34" s="155" t="s">
        <v>2121</v>
      </c>
      <c r="G34" s="151" t="s">
        <v>2122</v>
      </c>
      <c r="H34" s="152"/>
      <c r="I34" s="152"/>
      <c r="J34" s="152"/>
      <c r="K34" s="152"/>
      <c r="L34" s="152"/>
      <c r="M34" s="152"/>
      <c r="N34" s="152"/>
    </row>
    <row r="35" ht="20.1" customHeight="1">
      <c r="A35" s="151" t="s">
        <v>2123</v>
      </c>
      <c r="B35" s="152"/>
      <c r="C35" s="153"/>
      <c r="D35" s="151" t="s">
        <v>2124</v>
      </c>
      <c r="E35" s="153"/>
      <c r="F35" s="154" t="s">
        <v>2125</v>
      </c>
      <c r="G35" s="151" t="s">
        <v>2126</v>
      </c>
      <c r="H35" s="152"/>
      <c r="I35" s="152"/>
      <c r="J35" s="152"/>
      <c r="K35" s="152"/>
      <c r="L35" s="152"/>
      <c r="M35" s="152"/>
      <c r="N35" s="152"/>
    </row>
    <row r="36" ht="27.95" customHeight="1">
      <c r="A36" s="151" t="s">
        <v>2127</v>
      </c>
      <c r="B36" s="152"/>
      <c r="C36" s="153"/>
      <c r="D36" s="156" t="s">
        <v>2128</v>
      </c>
      <c r="E36" s="157"/>
      <c r="F36" s="154" t="s">
        <v>2129</v>
      </c>
      <c r="G36" s="151" t="s">
        <v>2130</v>
      </c>
      <c r="H36" s="152"/>
      <c r="I36" s="152"/>
      <c r="J36" s="152"/>
      <c r="K36" s="152"/>
      <c r="L36" s="152"/>
      <c r="M36" s="152"/>
      <c r="N36" s="152"/>
    </row>
    <row r="37" ht="27.95" customHeight="1">
      <c r="A37" s="151" t="s">
        <v>2131</v>
      </c>
      <c r="B37" s="152"/>
      <c r="C37" s="153"/>
      <c r="D37" s="156" t="s">
        <v>2132</v>
      </c>
      <c r="E37" s="157"/>
      <c r="F37" s="154" t="s">
        <v>2133</v>
      </c>
      <c r="G37" s="151" t="s">
        <v>2134</v>
      </c>
      <c r="H37" s="152"/>
      <c r="I37" s="152"/>
      <c r="J37" s="152"/>
      <c r="K37" s="152"/>
      <c r="L37" s="152"/>
      <c r="M37" s="152"/>
      <c r="N37" s="152"/>
    </row>
    <row r="38" ht="27.95" customHeight="1">
      <c r="A38" s="151" t="s">
        <v>2135</v>
      </c>
      <c r="B38" s="152"/>
      <c r="C38" s="153"/>
      <c r="D38" s="156" t="s">
        <v>2136</v>
      </c>
      <c r="E38" s="157"/>
      <c r="F38" s="155" t="s">
        <v>2137</v>
      </c>
      <c r="G38" s="151" t="s">
        <v>2138</v>
      </c>
      <c r="H38" s="152"/>
      <c r="I38" s="152"/>
      <c r="J38" s="152"/>
      <c r="K38" s="152"/>
      <c r="L38" s="152"/>
      <c r="M38" s="152"/>
      <c r="N38" s="152"/>
    </row>
    <row r="39" ht="20.1" customHeight="1">
      <c r="A39" s="151" t="s">
        <v>2139</v>
      </c>
      <c r="B39" s="152"/>
      <c r="C39" s="153"/>
      <c r="D39" s="151" t="s">
        <v>2140</v>
      </c>
      <c r="E39" s="153"/>
      <c r="F39" s="154" t="s">
        <v>2141</v>
      </c>
      <c r="G39" s="151" t="s">
        <v>2142</v>
      </c>
      <c r="H39" s="152"/>
      <c r="I39" s="152"/>
      <c r="J39" s="152"/>
      <c r="K39" s="152"/>
      <c r="L39" s="152"/>
      <c r="M39" s="152"/>
      <c r="N39" s="152"/>
    </row>
    <row r="40" ht="20.1" customHeight="1">
      <c r="A40" s="151" t="s">
        <v>2143</v>
      </c>
      <c r="B40" s="152"/>
      <c r="C40" s="153"/>
      <c r="D40" s="151" t="s">
        <v>2144</v>
      </c>
      <c r="E40" s="153"/>
      <c r="F40" s="155" t="s">
        <v>2145</v>
      </c>
      <c r="G40" s="151" t="s">
        <v>2146</v>
      </c>
      <c r="H40" s="152"/>
      <c r="I40" s="152"/>
      <c r="J40" s="152"/>
      <c r="K40" s="152"/>
      <c r="L40" s="152"/>
      <c r="M40" s="152"/>
      <c r="N40" s="152"/>
    </row>
    <row r="41" ht="20.1" customHeight="1">
      <c r="A41" s="151" t="s">
        <v>2147</v>
      </c>
      <c r="B41" s="152"/>
      <c r="C41" s="153"/>
      <c r="D41" s="151" t="s">
        <v>2148</v>
      </c>
      <c r="E41" s="153"/>
      <c r="F41" s="154" t="s">
        <v>2149</v>
      </c>
      <c r="G41" s="151" t="s">
        <v>2150</v>
      </c>
      <c r="H41" s="152"/>
      <c r="I41" s="152"/>
      <c r="J41" s="152"/>
      <c r="K41" s="152"/>
      <c r="L41" s="152"/>
      <c r="M41" s="152"/>
      <c r="N41" s="152"/>
    </row>
    <row r="42" ht="20.1" customHeight="1">
      <c r="A42" s="151" t="s">
        <v>2151</v>
      </c>
      <c r="B42" s="152"/>
      <c r="C42" s="153"/>
      <c r="D42" s="151" t="s">
        <v>2152</v>
      </c>
      <c r="E42" s="153"/>
      <c r="F42" s="154" t="s">
        <v>2153</v>
      </c>
      <c r="G42" s="151" t="s">
        <v>2154</v>
      </c>
      <c r="H42" s="152"/>
      <c r="I42" s="152"/>
      <c r="J42" s="152"/>
      <c r="K42" s="152"/>
      <c r="L42" s="152"/>
      <c r="M42" s="152"/>
      <c r="N42" s="152"/>
    </row>
    <row r="43" ht="20.1" customHeight="1">
      <c r="A43" s="151" t="s">
        <v>2155</v>
      </c>
      <c r="B43" s="152"/>
      <c r="C43" s="153"/>
      <c r="D43" s="151" t="s">
        <v>2156</v>
      </c>
      <c r="E43" s="153"/>
      <c r="F43" s="154" t="s">
        <v>2157</v>
      </c>
      <c r="G43" s="151" t="s">
        <v>2158</v>
      </c>
      <c r="H43" s="152"/>
      <c r="I43" s="152"/>
      <c r="J43" s="152"/>
      <c r="K43" s="152"/>
      <c r="L43" s="152"/>
      <c r="M43" s="152"/>
      <c r="N43" s="152"/>
    </row>
    <row r="44" ht="20.1" customHeight="1">
      <c r="A44" s="151" t="s">
        <v>2159</v>
      </c>
      <c r="B44" s="152"/>
      <c r="C44" s="153"/>
      <c r="D44" s="151" t="s">
        <v>2160</v>
      </c>
      <c r="E44" s="153"/>
      <c r="F44" s="154" t="s">
        <v>2161</v>
      </c>
      <c r="G44" s="151" t="s">
        <v>2162</v>
      </c>
      <c r="H44" s="152"/>
      <c r="I44" s="152"/>
      <c r="J44" s="152"/>
      <c r="K44" s="152"/>
      <c r="L44" s="152"/>
      <c r="M44" s="152"/>
      <c r="N44" s="152"/>
    </row>
    <row r="45" ht="20.1" customHeight="1">
      <c r="A45" s="151" t="s">
        <v>2163</v>
      </c>
      <c r="B45" s="152"/>
      <c r="C45" s="153"/>
      <c r="D45" s="151" t="s">
        <v>2164</v>
      </c>
      <c r="E45" s="153"/>
      <c r="F45" s="154" t="s">
        <v>2165</v>
      </c>
      <c r="G45" s="151" t="s">
        <v>2166</v>
      </c>
      <c r="H45" s="152"/>
      <c r="I45" s="152"/>
      <c r="J45" s="152"/>
      <c r="K45" s="152"/>
      <c r="L45" s="152"/>
      <c r="M45" s="152"/>
      <c r="N45" s="152"/>
    </row>
    <row r="46" ht="27.95" customHeight="1">
      <c r="A46" s="151" t="s">
        <v>2167</v>
      </c>
      <c r="B46" s="152"/>
      <c r="C46" s="153"/>
      <c r="D46" s="151" t="s">
        <v>2168</v>
      </c>
      <c r="E46" s="153"/>
      <c r="F46" s="154" t="s">
        <v>2169</v>
      </c>
      <c r="G46" s="156" t="s">
        <v>2170</v>
      </c>
      <c r="H46" s="158"/>
      <c r="I46" s="158"/>
      <c r="J46" s="158"/>
      <c r="K46" s="158"/>
      <c r="L46" s="158"/>
      <c r="M46" s="158"/>
      <c r="N46" s="158"/>
    </row>
    <row r="47" ht="20.1" customHeight="1">
      <c r="A47" s="151" t="s">
        <v>2171</v>
      </c>
      <c r="B47" s="152"/>
      <c r="C47" s="153"/>
      <c r="D47" s="151" t="s">
        <v>2172</v>
      </c>
      <c r="E47" s="153"/>
      <c r="F47" s="154" t="s">
        <v>2173</v>
      </c>
      <c r="G47" s="151" t="s">
        <v>2174</v>
      </c>
      <c r="H47" s="152"/>
      <c r="I47" s="152"/>
      <c r="J47" s="152"/>
      <c r="K47" s="152"/>
      <c r="L47" s="152"/>
      <c r="M47" s="152"/>
      <c r="N47" s="152"/>
    </row>
    <row r="48" ht="27.95" customHeight="1">
      <c r="A48" s="159" t="s">
        <v>2175</v>
      </c>
      <c r="B48" s="160"/>
      <c r="C48" s="161"/>
      <c r="D48" s="151" t="s">
        <v>2176</v>
      </c>
      <c r="E48" s="153"/>
      <c r="F48" s="154" t="s">
        <v>2177</v>
      </c>
      <c r="G48" s="156" t="s">
        <v>2178</v>
      </c>
      <c r="H48" s="158"/>
      <c r="I48" s="158"/>
      <c r="J48" s="158"/>
      <c r="K48" s="158"/>
      <c r="L48" s="158"/>
      <c r="M48" s="158"/>
      <c r="N48" s="158"/>
    </row>
    <row r="49" ht="20.1" customHeight="1">
      <c r="A49" s="151" t="s">
        <v>2179</v>
      </c>
      <c r="B49" s="152"/>
      <c r="C49" s="153"/>
      <c r="D49" s="151" t="s">
        <v>2180</v>
      </c>
      <c r="E49" s="153"/>
      <c r="F49" s="154" t="s">
        <v>2181</v>
      </c>
      <c r="G49" s="151" t="s">
        <v>2182</v>
      </c>
      <c r="H49" s="152"/>
      <c r="I49" s="152"/>
      <c r="J49" s="152"/>
      <c r="K49" s="152"/>
      <c r="L49" s="152"/>
      <c r="M49" s="152"/>
      <c r="N49" s="152"/>
    </row>
    <row r="50" ht="27.95" customHeight="1">
      <c r="A50" s="151" t="s">
        <v>2183</v>
      </c>
      <c r="B50" s="152"/>
      <c r="C50" s="153"/>
      <c r="D50" s="151" t="s">
        <v>2184</v>
      </c>
      <c r="E50" s="153"/>
      <c r="F50" s="154" t="s">
        <v>2185</v>
      </c>
      <c r="G50" s="156" t="s">
        <v>2186</v>
      </c>
      <c r="H50" s="158"/>
      <c r="I50" s="158"/>
      <c r="J50" s="158"/>
      <c r="K50" s="158"/>
      <c r="L50" s="158"/>
      <c r="M50" s="158"/>
      <c r="N50" s="158"/>
    </row>
    <row r="51" ht="20.1" customHeight="1">
      <c r="A51" s="151" t="s">
        <v>2187</v>
      </c>
      <c r="B51" s="152"/>
      <c r="C51" s="153"/>
      <c r="D51" s="151" t="s">
        <v>2188</v>
      </c>
      <c r="E51" s="153"/>
      <c r="F51" s="154" t="s">
        <v>2189</v>
      </c>
      <c r="G51" s="151" t="s">
        <v>2190</v>
      </c>
      <c r="H51" s="152"/>
      <c r="I51" s="152"/>
      <c r="J51" s="152"/>
      <c r="K51" s="152"/>
      <c r="L51" s="152"/>
      <c r="M51" s="152"/>
      <c r="N51" s="152"/>
    </row>
    <row r="52" ht="20.1" customHeight="1">
      <c r="A52" s="151" t="s">
        <v>2191</v>
      </c>
      <c r="B52" s="152"/>
      <c r="C52" s="153"/>
      <c r="D52" s="151" t="s">
        <v>2192</v>
      </c>
      <c r="E52" s="153"/>
      <c r="F52" s="154" t="s">
        <v>2193</v>
      </c>
      <c r="G52" s="151" t="s">
        <v>2194</v>
      </c>
      <c r="H52" s="152"/>
      <c r="I52" s="152"/>
      <c r="J52" s="152"/>
      <c r="K52" s="152"/>
      <c r="L52" s="152"/>
      <c r="M52" s="152"/>
      <c r="N52" s="152"/>
    </row>
    <row r="53" ht="27.95" customHeight="1">
      <c r="A53" s="151" t="s">
        <v>2195</v>
      </c>
      <c r="B53" s="152"/>
      <c r="C53" s="153"/>
      <c r="D53" s="156" t="s">
        <v>2196</v>
      </c>
      <c r="E53" s="157"/>
      <c r="F53" s="154" t="s">
        <v>844</v>
      </c>
      <c r="G53" s="151" t="s">
        <v>2197</v>
      </c>
      <c r="H53" s="152"/>
      <c r="I53" s="152"/>
      <c r="J53" s="152"/>
      <c r="K53" s="152"/>
      <c r="L53" s="152"/>
      <c r="M53" s="152"/>
      <c r="N53" s="152"/>
    </row>
    <row r="54" ht="20.1" customHeight="1">
      <c r="A54" s="151" t="s">
        <v>2198</v>
      </c>
      <c r="B54" s="152"/>
      <c r="C54" s="153"/>
      <c r="D54" s="151" t="s">
        <v>2199</v>
      </c>
      <c r="E54" s="153"/>
      <c r="F54" s="154" t="s">
        <v>2200</v>
      </c>
      <c r="G54" s="151" t="s">
        <v>2201</v>
      </c>
      <c r="H54" s="152"/>
      <c r="I54" s="152"/>
      <c r="J54" s="152"/>
      <c r="K54" s="152"/>
      <c r="L54" s="152"/>
      <c r="M54" s="152"/>
      <c r="N54" s="152"/>
    </row>
    <row r="55" ht="20.1" customHeight="1">
      <c r="A55" s="151" t="s">
        <v>2202</v>
      </c>
      <c r="B55" s="152"/>
      <c r="C55" s="153"/>
      <c r="D55" s="151" t="s">
        <v>2203</v>
      </c>
      <c r="E55" s="153"/>
      <c r="F55" s="154" t="s">
        <v>2204</v>
      </c>
      <c r="G55" s="151" t="s">
        <v>2205</v>
      </c>
      <c r="H55" s="152"/>
      <c r="I55" s="152"/>
      <c r="J55" s="152"/>
      <c r="K55" s="152"/>
      <c r="L55" s="152"/>
      <c r="M55" s="152"/>
      <c r="N55" s="152"/>
    </row>
    <row r="56" ht="27.95" customHeight="1">
      <c r="A56" s="151" t="s">
        <v>2206</v>
      </c>
      <c r="B56" s="152"/>
      <c r="C56" s="153"/>
      <c r="D56" s="156" t="s">
        <v>2207</v>
      </c>
      <c r="E56" s="157"/>
      <c r="F56" s="154" t="s">
        <v>2208</v>
      </c>
      <c r="G56" s="156" t="s">
        <v>2209</v>
      </c>
      <c r="H56" s="158"/>
      <c r="I56" s="158"/>
      <c r="J56" s="158"/>
      <c r="K56" s="158"/>
      <c r="L56" s="158"/>
      <c r="M56" s="158"/>
      <c r="N56" s="158"/>
    </row>
    <row r="57" ht="20.1" customHeight="1">
      <c r="A57" s="151" t="s">
        <v>2210</v>
      </c>
      <c r="B57" s="152"/>
      <c r="C57" s="153"/>
      <c r="D57" s="151" t="s">
        <v>2211</v>
      </c>
      <c r="E57" s="153"/>
      <c r="F57" s="154" t="s">
        <v>2212</v>
      </c>
      <c r="G57" s="151" t="s">
        <v>2213</v>
      </c>
      <c r="H57" s="152"/>
      <c r="I57" s="152"/>
      <c r="J57" s="152"/>
      <c r="K57" s="152"/>
      <c r="L57" s="152"/>
      <c r="M57" s="152"/>
      <c r="N57" s="152"/>
    </row>
    <row r="58" ht="20.1" customHeight="1">
      <c r="A58" s="151" t="s">
        <v>2214</v>
      </c>
      <c r="B58" s="152"/>
      <c r="C58" s="153"/>
      <c r="D58" s="151" t="s">
        <v>2215</v>
      </c>
      <c r="E58" s="153"/>
      <c r="F58" s="154" t="s">
        <v>2216</v>
      </c>
      <c r="G58" s="151" t="s">
        <v>2217</v>
      </c>
      <c r="H58" s="152"/>
      <c r="I58" s="152"/>
      <c r="J58" s="152"/>
      <c r="K58" s="152"/>
      <c r="L58" s="152"/>
      <c r="M58" s="152"/>
      <c r="N58" s="152"/>
    </row>
    <row r="59" ht="27.95" customHeight="1">
      <c r="A59" s="151" t="s">
        <v>2218</v>
      </c>
      <c r="B59" s="152"/>
      <c r="C59" s="153"/>
      <c r="D59" s="151" t="s">
        <v>2219</v>
      </c>
      <c r="E59" s="153"/>
      <c r="F59" s="154" t="s">
        <v>2220</v>
      </c>
      <c r="G59" s="156" t="s">
        <v>2221</v>
      </c>
      <c r="H59" s="158"/>
      <c r="I59" s="158"/>
      <c r="J59" s="158"/>
      <c r="K59" s="158"/>
      <c r="L59" s="158"/>
      <c r="M59" s="158"/>
      <c r="N59" s="158"/>
    </row>
    <row r="60" ht="20.1" customHeight="1">
      <c r="A60" s="151" t="s">
        <v>2222</v>
      </c>
      <c r="B60" s="152"/>
      <c r="C60" s="153"/>
      <c r="D60" s="151" t="s">
        <v>2223</v>
      </c>
      <c r="E60" s="153"/>
      <c r="F60" s="154" t="s">
        <v>2224</v>
      </c>
      <c r="G60" s="151" t="s">
        <v>2225</v>
      </c>
      <c r="H60" s="152"/>
      <c r="I60" s="152"/>
      <c r="J60" s="152"/>
      <c r="K60" s="152"/>
      <c r="L60" s="152"/>
      <c r="M60" s="152"/>
      <c r="N60" s="152"/>
    </row>
    <row r="61" ht="20.1" customHeight="1">
      <c r="A61" s="151" t="s">
        <v>2226</v>
      </c>
      <c r="B61" s="152"/>
      <c r="C61" s="153"/>
      <c r="D61" s="151" t="s">
        <v>2227</v>
      </c>
      <c r="E61" s="153"/>
      <c r="F61" s="154" t="s">
        <v>2228</v>
      </c>
      <c r="G61" s="151" t="s">
        <v>2229</v>
      </c>
      <c r="H61" s="152"/>
      <c r="I61" s="152"/>
      <c r="J61" s="152"/>
      <c r="K61" s="152"/>
      <c r="L61" s="152"/>
      <c r="M61" s="152"/>
      <c r="N61" s="152"/>
    </row>
    <row r="62" ht="20.1" customHeight="1">
      <c r="A62" s="151" t="s">
        <v>2230</v>
      </c>
      <c r="B62" s="152"/>
      <c r="C62" s="153"/>
      <c r="D62" s="151" t="s">
        <v>2231</v>
      </c>
      <c r="E62" s="153"/>
      <c r="F62" s="154" t="s">
        <v>2232</v>
      </c>
      <c r="G62" s="151" t="s">
        <v>2233</v>
      </c>
      <c r="H62" s="152"/>
      <c r="I62" s="152"/>
      <c r="J62" s="152"/>
      <c r="K62" s="152"/>
      <c r="L62" s="152"/>
      <c r="M62" s="152"/>
      <c r="N62" s="152"/>
    </row>
    <row r="63" ht="20.1" customHeight="1">
      <c r="A63" s="151" t="s">
        <v>2234</v>
      </c>
      <c r="B63" s="152"/>
      <c r="C63" s="153"/>
      <c r="D63" s="151" t="s">
        <v>2235</v>
      </c>
      <c r="E63" s="153"/>
      <c r="F63" s="154" t="s">
        <v>2236</v>
      </c>
      <c r="G63" s="151" t="s">
        <v>2237</v>
      </c>
      <c r="H63" s="152"/>
      <c r="I63" s="152"/>
      <c r="J63" s="152"/>
      <c r="K63" s="152"/>
      <c r="L63" s="152"/>
      <c r="M63" s="152"/>
      <c r="N63" s="152"/>
    </row>
    <row r="64" ht="27.95" customHeight="1">
      <c r="A64" s="151" t="s">
        <v>2238</v>
      </c>
      <c r="B64" s="152"/>
      <c r="C64" s="153"/>
      <c r="D64" s="156" t="s">
        <v>2239</v>
      </c>
      <c r="E64" s="157"/>
      <c r="F64" s="155" t="s">
        <v>2240</v>
      </c>
      <c r="G64" s="151" t="s">
        <v>2241</v>
      </c>
      <c r="H64" s="152"/>
      <c r="I64" s="152"/>
      <c r="J64" s="152"/>
      <c r="K64" s="152"/>
      <c r="L64" s="152"/>
      <c r="M64" s="152"/>
      <c r="N64" s="152"/>
    </row>
    <row r="65" ht="20.1" customHeight="1">
      <c r="A65" s="151" t="s">
        <v>2242</v>
      </c>
      <c r="B65" s="152"/>
      <c r="C65" s="153"/>
      <c r="D65" s="151" t="s">
        <v>2243</v>
      </c>
      <c r="E65" s="153"/>
      <c r="F65" s="154" t="s">
        <v>2244</v>
      </c>
      <c r="G65" s="151" t="s">
        <v>2245</v>
      </c>
      <c r="H65" s="152"/>
      <c r="I65" s="152"/>
      <c r="J65" s="152"/>
      <c r="K65" s="152"/>
      <c r="L65" s="152"/>
      <c r="M65" s="152"/>
      <c r="N65" s="152"/>
    </row>
    <row r="66" ht="27.95" customHeight="1">
      <c r="A66" s="151" t="s">
        <v>2246</v>
      </c>
      <c r="B66" s="152"/>
      <c r="C66" s="153"/>
      <c r="D66" s="151" t="s">
        <v>2247</v>
      </c>
      <c r="E66" s="153"/>
      <c r="F66" s="154" t="s">
        <v>2248</v>
      </c>
      <c r="G66" s="156" t="s">
        <v>2249</v>
      </c>
      <c r="H66" s="158"/>
      <c r="I66" s="158"/>
      <c r="J66" s="158"/>
      <c r="K66" s="158"/>
      <c r="L66" s="158"/>
      <c r="M66" s="158"/>
      <c r="N66" s="158"/>
    </row>
    <row r="67" ht="20.1" customHeight="1">
      <c r="A67" s="151" t="s">
        <v>2250</v>
      </c>
      <c r="B67" s="152"/>
      <c r="C67" s="153"/>
      <c r="D67" s="151" t="s">
        <v>2251</v>
      </c>
      <c r="E67" s="153"/>
      <c r="F67" s="154" t="s">
        <v>2252</v>
      </c>
      <c r="G67" s="151" t="s">
        <v>2253</v>
      </c>
      <c r="H67" s="152"/>
      <c r="I67" s="152"/>
      <c r="J67" s="152"/>
      <c r="K67" s="152"/>
      <c r="L67" s="152"/>
      <c r="M67" s="152"/>
      <c r="N67" s="152"/>
    </row>
    <row r="68" ht="20.1" customHeight="1">
      <c r="A68" s="151" t="s">
        <v>2254</v>
      </c>
      <c r="B68" s="152"/>
      <c r="C68" s="153"/>
      <c r="D68" s="151" t="s">
        <v>2255</v>
      </c>
      <c r="E68" s="153"/>
      <c r="F68" s="154" t="s">
        <v>2256</v>
      </c>
      <c r="G68" s="151" t="s">
        <v>2257</v>
      </c>
      <c r="H68" s="152"/>
      <c r="I68" s="152"/>
      <c r="J68" s="152"/>
      <c r="K68" s="152"/>
      <c r="L68" s="152"/>
      <c r="M68" s="152"/>
      <c r="N68" s="152"/>
    </row>
    <row r="69" ht="27.95" customHeight="1">
      <c r="A69" s="151" t="s">
        <v>2258</v>
      </c>
      <c r="B69" s="152"/>
      <c r="C69" s="153"/>
      <c r="D69" s="156" t="s">
        <v>2259</v>
      </c>
      <c r="E69" s="157"/>
      <c r="F69" s="154" t="s">
        <v>2260</v>
      </c>
      <c r="G69" s="151" t="s">
        <v>2261</v>
      </c>
      <c r="H69" s="152"/>
      <c r="I69" s="152"/>
      <c r="J69" s="152"/>
      <c r="K69" s="152"/>
      <c r="L69" s="152"/>
      <c r="M69" s="152"/>
      <c r="N69" s="152"/>
    </row>
    <row r="70" ht="20.1" customHeight="1">
      <c r="A70" s="151" t="s">
        <v>2262</v>
      </c>
      <c r="B70" s="152"/>
      <c r="C70" s="153"/>
      <c r="D70" s="151" t="s">
        <v>2263</v>
      </c>
      <c r="E70" s="153"/>
      <c r="F70" s="154" t="s">
        <v>2264</v>
      </c>
      <c r="G70" s="151" t="s">
        <v>2265</v>
      </c>
      <c r="H70" s="152"/>
      <c r="I70" s="152"/>
      <c r="J70" s="152"/>
      <c r="K70" s="152"/>
      <c r="L70" s="152"/>
      <c r="M70" s="152"/>
      <c r="N70" s="152"/>
    </row>
    <row r="71" ht="20.1" customHeight="1">
      <c r="A71" s="151" t="s">
        <v>2266</v>
      </c>
      <c r="B71" s="152"/>
      <c r="C71" s="153"/>
      <c r="D71" s="151" t="s">
        <v>2267</v>
      </c>
      <c r="E71" s="153"/>
      <c r="F71" s="154" t="s">
        <v>2268</v>
      </c>
      <c r="G71" s="151" t="s">
        <v>2269</v>
      </c>
      <c r="H71" s="152"/>
      <c r="I71" s="152"/>
      <c r="J71" s="152"/>
      <c r="K71" s="152"/>
      <c r="L71" s="152"/>
      <c r="M71" s="152"/>
      <c r="N71" s="152"/>
    </row>
    <row r="72" ht="27.95" customHeight="1">
      <c r="A72" s="151" t="s">
        <v>2270</v>
      </c>
      <c r="B72" s="152"/>
      <c r="C72" s="153"/>
      <c r="D72" s="156" t="s">
        <v>2271</v>
      </c>
      <c r="E72" s="157"/>
      <c r="F72" s="154" t="s">
        <v>2272</v>
      </c>
      <c r="G72" s="151" t="s">
        <v>2273</v>
      </c>
      <c r="H72" s="152"/>
      <c r="I72" s="152"/>
      <c r="J72" s="152"/>
      <c r="K72" s="152"/>
      <c r="L72" s="152"/>
      <c r="M72" s="152"/>
      <c r="N72" s="152"/>
    </row>
    <row r="73" ht="20.1" customHeight="1">
      <c r="A73" s="151" t="s">
        <v>2274</v>
      </c>
      <c r="B73" s="152"/>
      <c r="C73" s="153"/>
      <c r="D73" s="151" t="s">
        <v>2275</v>
      </c>
      <c r="E73" s="153"/>
      <c r="F73" s="162"/>
      <c r="G73" s="156"/>
      <c r="H73" s="158"/>
      <c r="I73" s="158"/>
      <c r="J73" s="158"/>
      <c r="K73" s="158"/>
      <c r="L73" s="158"/>
      <c r="M73" s="158"/>
      <c r="N73" s="158"/>
    </row>
  </sheetData>
  <mergeCells count="210">
    <mergeCell ref="D6:E6"/>
    <mergeCell ref="G6:N6"/>
    <mergeCell ref="A6:C6"/>
    <mergeCell ref="G7:N7"/>
    <mergeCell ref="D7:E7"/>
    <mergeCell ref="A7:C7"/>
    <mergeCell ref="D9:E9"/>
    <mergeCell ref="G9:N9"/>
    <mergeCell ref="A9:C9"/>
    <mergeCell ref="D10:E10"/>
    <mergeCell ref="G10:N10"/>
    <mergeCell ref="A10:C10"/>
    <mergeCell ref="G11:N11"/>
    <mergeCell ref="A11:C11"/>
    <mergeCell ref="D11:E11"/>
    <mergeCell ref="A12:C12"/>
    <mergeCell ref="G12:N12"/>
    <mergeCell ref="D12:E12"/>
    <mergeCell ref="D13:E13"/>
    <mergeCell ref="A13:C13"/>
    <mergeCell ref="G13:N13"/>
    <mergeCell ref="A4:C4"/>
    <mergeCell ref="D4:E4"/>
    <mergeCell ref="G4:N4"/>
    <mergeCell ref="A5:C5"/>
    <mergeCell ref="D5:E5"/>
    <mergeCell ref="G5:N5"/>
    <mergeCell ref="A8:C8"/>
    <mergeCell ref="D8:E8"/>
    <mergeCell ref="G8:N8"/>
    <mergeCell ref="G14:N14"/>
    <mergeCell ref="D14:E14"/>
    <mergeCell ref="A14:C14"/>
    <mergeCell ref="D15:E15"/>
    <mergeCell ref="G15:N15"/>
    <mergeCell ref="A15:C15"/>
    <mergeCell ref="A16:C16"/>
    <mergeCell ref="G16:N16"/>
    <mergeCell ref="D16:E16"/>
    <mergeCell ref="G17:N17"/>
    <mergeCell ref="A17:C17"/>
    <mergeCell ref="D17:E17"/>
    <mergeCell ref="G18:N18"/>
    <mergeCell ref="A18:C18"/>
    <mergeCell ref="D18:E18"/>
    <mergeCell ref="D19:E19"/>
    <mergeCell ref="G19:N19"/>
    <mergeCell ref="A19:C19"/>
    <mergeCell ref="A20:C20"/>
    <mergeCell ref="G20:N20"/>
    <mergeCell ref="D20:E20"/>
    <mergeCell ref="A21:C21"/>
    <mergeCell ref="D21:E21"/>
    <mergeCell ref="G21:N21"/>
    <mergeCell ref="D22:E22"/>
    <mergeCell ref="A22:C22"/>
    <mergeCell ref="G22:N22"/>
    <mergeCell ref="G23:N23"/>
    <mergeCell ref="D23:E23"/>
    <mergeCell ref="A23:C23"/>
    <mergeCell ref="A24:C24"/>
    <mergeCell ref="D24:E24"/>
    <mergeCell ref="G24:N24"/>
    <mergeCell ref="G25:N25"/>
    <mergeCell ref="A25:C25"/>
    <mergeCell ref="D25:E25"/>
    <mergeCell ref="D26:E26"/>
    <mergeCell ref="G26:N26"/>
    <mergeCell ref="A26:C26"/>
    <mergeCell ref="A27:C27"/>
    <mergeCell ref="G27:N27"/>
    <mergeCell ref="D27:E27"/>
    <mergeCell ref="D28:E28"/>
    <mergeCell ref="A28:C28"/>
    <mergeCell ref="G28:N28"/>
    <mergeCell ref="D29:E29"/>
    <mergeCell ref="G29:N29"/>
    <mergeCell ref="A29:C29"/>
    <mergeCell ref="G30:N30"/>
    <mergeCell ref="A30:C30"/>
    <mergeCell ref="D30:E30"/>
    <mergeCell ref="D31:E31"/>
    <mergeCell ref="G31:N31"/>
    <mergeCell ref="A31:C31"/>
    <mergeCell ref="G32:N32"/>
    <mergeCell ref="A32:C32"/>
    <mergeCell ref="D32:E32"/>
    <mergeCell ref="D33:E33"/>
    <mergeCell ref="G33:N33"/>
    <mergeCell ref="A33:C33"/>
    <mergeCell ref="G34:N34"/>
    <mergeCell ref="D34:E34"/>
    <mergeCell ref="A34:C34"/>
    <mergeCell ref="D35:E35"/>
    <mergeCell ref="G35:N35"/>
    <mergeCell ref="A35:C35"/>
    <mergeCell ref="A36:C36"/>
    <mergeCell ref="D36:E36"/>
    <mergeCell ref="G36:N36"/>
    <mergeCell ref="G37:N37"/>
    <mergeCell ref="D37:E37"/>
    <mergeCell ref="A37:C37"/>
    <mergeCell ref="A38:C38"/>
    <mergeCell ref="D38:E38"/>
    <mergeCell ref="G38:N38"/>
    <mergeCell ref="A39:C39"/>
    <mergeCell ref="D39:E39"/>
    <mergeCell ref="G39:N39"/>
    <mergeCell ref="A40:C40"/>
    <mergeCell ref="G40:N40"/>
    <mergeCell ref="D40:E40"/>
    <mergeCell ref="D41:E41"/>
    <mergeCell ref="A41:C41"/>
    <mergeCell ref="G41:N41"/>
    <mergeCell ref="D42:E42"/>
    <mergeCell ref="A42:C42"/>
    <mergeCell ref="G42:N42"/>
    <mergeCell ref="G43:N43"/>
    <mergeCell ref="D43:E43"/>
    <mergeCell ref="A43:C43"/>
    <mergeCell ref="A44:C44"/>
    <mergeCell ref="G44:N44"/>
    <mergeCell ref="D44:E44"/>
    <mergeCell ref="A45:C45"/>
    <mergeCell ref="G45:N45"/>
    <mergeCell ref="D45:E45"/>
    <mergeCell ref="A46:C46"/>
    <mergeCell ref="G46:N46"/>
    <mergeCell ref="D46:E46"/>
    <mergeCell ref="G47:N47"/>
    <mergeCell ref="D47:E47"/>
    <mergeCell ref="A47:C47"/>
    <mergeCell ref="D48:E48"/>
    <mergeCell ref="A48:C48"/>
    <mergeCell ref="G48:N48"/>
    <mergeCell ref="G49:N49"/>
    <mergeCell ref="D49:E49"/>
    <mergeCell ref="A49:C49"/>
    <mergeCell ref="G50:N50"/>
    <mergeCell ref="A50:C50"/>
    <mergeCell ref="D50:E50"/>
    <mergeCell ref="D51:E51"/>
    <mergeCell ref="G51:N51"/>
    <mergeCell ref="A51:C51"/>
    <mergeCell ref="G52:N52"/>
    <mergeCell ref="A52:C52"/>
    <mergeCell ref="D52:E52"/>
    <mergeCell ref="G53:N53"/>
    <mergeCell ref="D53:E53"/>
    <mergeCell ref="A53:C53"/>
    <mergeCell ref="G54:N54"/>
    <mergeCell ref="D54:E54"/>
    <mergeCell ref="A54:C54"/>
    <mergeCell ref="D55:E55"/>
    <mergeCell ref="G55:N55"/>
    <mergeCell ref="A55:C55"/>
    <mergeCell ref="A56:C56"/>
    <mergeCell ref="G56:N56"/>
    <mergeCell ref="D56:E56"/>
    <mergeCell ref="G57:N57"/>
    <mergeCell ref="A57:C57"/>
    <mergeCell ref="D57:E57"/>
    <mergeCell ref="G58:N58"/>
    <mergeCell ref="A58:C58"/>
    <mergeCell ref="D58:E58"/>
    <mergeCell ref="D59:E59"/>
    <mergeCell ref="G59:N59"/>
    <mergeCell ref="A59:C59"/>
    <mergeCell ref="A60:C60"/>
    <mergeCell ref="G60:N60"/>
    <mergeCell ref="D60:E60"/>
    <mergeCell ref="A61:C61"/>
    <mergeCell ref="D61:E61"/>
    <mergeCell ref="G61:N61"/>
    <mergeCell ref="D62:E62"/>
    <mergeCell ref="A62:C62"/>
    <mergeCell ref="G62:N62"/>
    <mergeCell ref="G63:N63"/>
    <mergeCell ref="D63:E63"/>
    <mergeCell ref="A63:C63"/>
    <mergeCell ref="G64:N64"/>
    <mergeCell ref="D64:E64"/>
    <mergeCell ref="A64:C64"/>
    <mergeCell ref="D65:E65"/>
    <mergeCell ref="G65:N65"/>
    <mergeCell ref="A65:C65"/>
    <mergeCell ref="A66:C66"/>
    <mergeCell ref="G66:N66"/>
    <mergeCell ref="D66:E66"/>
    <mergeCell ref="G67:N67"/>
    <mergeCell ref="D67:E67"/>
    <mergeCell ref="A67:C67"/>
    <mergeCell ref="A68:C68"/>
    <mergeCell ref="G68:N68"/>
    <mergeCell ref="D68:E68"/>
    <mergeCell ref="D69:E69"/>
    <mergeCell ref="A69:C69"/>
    <mergeCell ref="G69:N69"/>
    <mergeCell ref="A70:C70"/>
    <mergeCell ref="D70:E70"/>
    <mergeCell ref="G70:N70"/>
    <mergeCell ref="A71:C71"/>
    <mergeCell ref="G71:N71"/>
    <mergeCell ref="D71:E71"/>
    <mergeCell ref="G72:N72"/>
    <mergeCell ref="D72:E72"/>
    <mergeCell ref="A72:C72"/>
    <mergeCell ref="A73:C73"/>
    <mergeCell ref="D73:E73"/>
    <mergeCell ref="G73:N73"/>
  </mergeCells>
  <pageSetup r:id="rId1" paperSize="9" orientation="portrait"/>
</worksheet>
</file>

<file path=xl/worksheets/sheet4.xml><?xml version="1.0" encoding="utf-8"?>
<worksheet xmlns:r="http://schemas.openxmlformats.org/officeDocument/2006/relationships" xmlns="http://schemas.openxmlformats.org/spreadsheetml/2006/main">
  <sheetPr>
    <tabColor rgb="FFC00000"/>
  </sheetPr>
  <sheetViews>
    <sheetView view="pageBreakPreview" tabSelected="1" zoomScale="110" zoomScaleNormal="110" zoomScaleSheetLayoutView="110" workbookViewId="0" topLeftCell="A1030"/>
  </sheetViews>
  <sheetFormatPr defaultRowHeight="12.75"/>
  <cols>
    <col min="1" max="1" width="21.5" style="16" customWidth="1"/>
    <col min="2" max="2" width="101.6641" style="16" customWidth="1"/>
    <col min="3" max="3" width="9.164063" style="17" customWidth="1"/>
    <col min="4" max="4" width="11.66406" style="17" bestFit="1" customWidth="1"/>
    <col min="5" max="5" width="64.83203" style="16" customWidth="1"/>
    <col min="6" max="6" width="15.5" style="16" customWidth="1"/>
    <col min="7" max="7" width="16.33203" style="16" customWidth="1"/>
    <col min="8" max="8" width="14.33203" style="16" customWidth="1"/>
    <col min="9" max="9" width="17.33203" style="16" customWidth="1"/>
    <col min="10" max="16384" width="9.332031" style="16"/>
  </cols>
  <sheetData>
    <row r="1" s="3" customFormat="1">
      <c r="A1" s="22" t="s">
        <v>2276</v>
      </c>
      <c r="B1" s="22" t="s">
        <v>2277</v>
      </c>
      <c r="C1" s="23" t="s">
        <v>2278</v>
      </c>
      <c r="D1" s="23" t="s">
        <v>15</v>
      </c>
      <c r="E1" s="23" t="s">
        <v>2279</v>
      </c>
    </row>
    <row r="2" ht="22.5" customHeight="1">
      <c r="B2" s="24" t="s">
        <v>17</v>
      </c>
      <c r="C2" s="24"/>
      <c r="D2" s="24"/>
      <c r="E2" s="25"/>
    </row>
    <row r="3">
      <c r="A3" s="26">
        <v>-101</v>
      </c>
      <c r="B3" s="27" t="s">
        <v>18</v>
      </c>
      <c r="C3" s="28"/>
      <c r="D3" s="28"/>
      <c r="E3" s="26" t="s">
        <v>19</v>
      </c>
    </row>
    <row r="4">
      <c r="A4" s="28" t="s">
        <v>20</v>
      </c>
      <c r="B4" s="27" t="s">
        <v>21</v>
      </c>
      <c r="C4" s="28" t="s">
        <v>22</v>
      </c>
      <c r="D4" s="26">
        <v>-4710</v>
      </c>
      <c r="E4" s="28" t="s">
        <v>23</v>
      </c>
    </row>
    <row r="5">
      <c r="A5" s="28" t="s">
        <v>24</v>
      </c>
      <c r="B5" s="27" t="s">
        <v>25</v>
      </c>
      <c r="C5" s="28" t="s">
        <v>22</v>
      </c>
      <c r="D5" s="26">
        <v>-4442</v>
      </c>
      <c r="E5" s="28" t="s">
        <v>26</v>
      </c>
    </row>
    <row r="6">
      <c r="A6" s="26">
        <v>-102</v>
      </c>
      <c r="B6" s="27" t="s">
        <v>27</v>
      </c>
      <c r="C6" s="28"/>
      <c r="D6" s="28"/>
      <c r="E6" s="26" t="s">
        <v>28</v>
      </c>
    </row>
    <row r="7">
      <c r="A7" s="28" t="s">
        <v>20</v>
      </c>
      <c r="B7" s="27" t="s">
        <v>29</v>
      </c>
      <c r="C7" s="28" t="s">
        <v>30</v>
      </c>
      <c r="D7" s="26">
        <v>-6432</v>
      </c>
      <c r="E7" s="28" t="s">
        <v>31</v>
      </c>
    </row>
    <row r="8">
      <c r="A8" s="28" t="s">
        <v>24</v>
      </c>
      <c r="B8" s="27" t="s">
        <v>32</v>
      </c>
      <c r="C8" s="28" t="s">
        <v>30</v>
      </c>
      <c r="D8" s="26">
        <v>-5226</v>
      </c>
      <c r="E8" s="28" t="s">
        <v>33</v>
      </c>
    </row>
    <row r="9">
      <c r="A9" s="26">
        <v>-103</v>
      </c>
      <c r="B9" s="27" t="s">
        <v>34</v>
      </c>
      <c r="C9" s="28" t="s">
        <v>22</v>
      </c>
      <c r="D9" s="26">
        <v>-3476</v>
      </c>
      <c r="E9" s="26" t="s">
        <v>35</v>
      </c>
    </row>
    <row r="10">
      <c r="A10" s="26">
        <v>-104</v>
      </c>
      <c r="B10" s="27" t="s">
        <v>36</v>
      </c>
      <c r="C10" s="28"/>
      <c r="D10" s="28"/>
      <c r="E10" s="26" t="s">
        <v>37</v>
      </c>
    </row>
    <row r="11" ht="25.5">
      <c r="A11" s="28" t="s">
        <v>20</v>
      </c>
      <c r="B11" s="27" t="s">
        <v>38</v>
      </c>
      <c r="C11" s="28" t="s">
        <v>22</v>
      </c>
      <c r="D11" s="26">
        <v>-12998</v>
      </c>
      <c r="E11" s="28" t="s">
        <v>39</v>
      </c>
    </row>
    <row r="12" ht="25.5">
      <c r="A12" s="28" t="s">
        <v>24</v>
      </c>
      <c r="B12" s="27" t="s">
        <v>40</v>
      </c>
      <c r="C12" s="28" t="s">
        <v>22</v>
      </c>
      <c r="D12" s="26">
        <v>-17623</v>
      </c>
      <c r="E12" s="28" t="s">
        <v>41</v>
      </c>
    </row>
    <row r="13" ht="25.5">
      <c r="A13" s="28" t="s">
        <v>42</v>
      </c>
      <c r="B13" s="27" t="s">
        <v>43</v>
      </c>
      <c r="C13" s="28" t="s">
        <v>22</v>
      </c>
      <c r="D13" s="26">
        <v>-18820</v>
      </c>
      <c r="E13" s="28" t="s">
        <v>44</v>
      </c>
    </row>
    <row r="14" ht="25.5">
      <c r="A14" s="26">
        <v>-105</v>
      </c>
      <c r="B14" s="27" t="s">
        <v>45</v>
      </c>
      <c r="C14" s="28"/>
      <c r="D14" s="28"/>
      <c r="E14" s="26" t="s">
        <v>46</v>
      </c>
    </row>
    <row r="15">
      <c r="A15" s="28" t="s">
        <v>20</v>
      </c>
      <c r="B15" s="27" t="s">
        <v>47</v>
      </c>
      <c r="C15" s="28" t="s">
        <v>22</v>
      </c>
      <c r="D15" s="26">
        <v>-32681</v>
      </c>
      <c r="E15" s="28" t="s">
        <v>48</v>
      </c>
    </row>
    <row r="16">
      <c r="A16" s="28" t="s">
        <v>24</v>
      </c>
      <c r="B16" s="27" t="s">
        <v>49</v>
      </c>
      <c r="C16" s="28" t="s">
        <v>22</v>
      </c>
      <c r="D16" s="26">
        <v>-35227</v>
      </c>
      <c r="E16" s="28" t="s">
        <v>50</v>
      </c>
    </row>
    <row r="17">
      <c r="A17" s="28" t="s">
        <v>42</v>
      </c>
      <c r="B17" s="27" t="s">
        <v>51</v>
      </c>
      <c r="C17" s="28" t="s">
        <v>22</v>
      </c>
      <c r="D17" s="26">
        <v>-39820</v>
      </c>
      <c r="E17" s="28" t="s">
        <v>52</v>
      </c>
    </row>
    <row r="18">
      <c r="A18" s="26">
        <v>-106</v>
      </c>
      <c r="B18" s="27" t="s">
        <v>53</v>
      </c>
      <c r="C18" s="28" t="s">
        <v>22</v>
      </c>
      <c r="D18" s="26">
        <v>-4938</v>
      </c>
      <c r="E18" s="26" t="s">
        <v>54</v>
      </c>
    </row>
    <row r="19" ht="25.5">
      <c r="A19" s="26">
        <v>-107</v>
      </c>
      <c r="B19" s="27" t="s">
        <v>55</v>
      </c>
      <c r="C19" s="28" t="s">
        <v>22</v>
      </c>
      <c r="D19" s="26">
        <v>-4740</v>
      </c>
      <c r="E19" s="26" t="s">
        <v>56</v>
      </c>
    </row>
    <row r="20" ht="25.5">
      <c r="A20" s="26">
        <v>-108</v>
      </c>
      <c r="B20" s="27" t="s">
        <v>57</v>
      </c>
      <c r="C20" s="28" t="s">
        <v>22</v>
      </c>
      <c r="D20" s="26">
        <v>-6083</v>
      </c>
      <c r="E20" s="26" t="s">
        <v>58</v>
      </c>
    </row>
    <row r="21" ht="38.25">
      <c r="A21" s="31">
        <v>-109</v>
      </c>
      <c r="B21" s="27" t="s">
        <v>59</v>
      </c>
      <c r="C21" s="28" t="s">
        <v>22</v>
      </c>
      <c r="D21" s="26">
        <v>-3502</v>
      </c>
      <c r="E21" s="26" t="s">
        <v>60</v>
      </c>
    </row>
    <row r="22" ht="25.5">
      <c r="A22" s="26">
        <v>-110</v>
      </c>
      <c r="B22" s="27" t="s">
        <v>61</v>
      </c>
      <c r="C22" s="28"/>
      <c r="D22" s="28"/>
      <c r="E22" s="26" t="s">
        <v>62</v>
      </c>
    </row>
    <row r="23">
      <c r="A23" s="28" t="s">
        <v>20</v>
      </c>
      <c r="B23" s="27" t="s">
        <v>63</v>
      </c>
      <c r="C23" s="28" t="s">
        <v>22</v>
      </c>
      <c r="D23" s="26">
        <v>-15187</v>
      </c>
      <c r="E23" s="28" t="s">
        <v>64</v>
      </c>
    </row>
    <row r="24">
      <c r="A24" s="28" t="s">
        <v>24</v>
      </c>
      <c r="B24" s="27" t="s">
        <v>65</v>
      </c>
      <c r="C24" s="28" t="s">
        <v>22</v>
      </c>
      <c r="D24" s="26">
        <v>-20490</v>
      </c>
      <c r="E24" s="28" t="s">
        <v>66</v>
      </c>
    </row>
    <row r="25">
      <c r="A25" s="28" t="s">
        <v>42</v>
      </c>
      <c r="B25" s="27" t="s">
        <v>67</v>
      </c>
      <c r="C25" s="28" t="s">
        <v>22</v>
      </c>
      <c r="D25" s="26">
        <v>-24051</v>
      </c>
      <c r="E25" s="28" t="s">
        <v>68</v>
      </c>
    </row>
    <row r="26">
      <c r="A26" s="28" t="s">
        <v>69</v>
      </c>
      <c r="B26" s="27" t="s">
        <v>70</v>
      </c>
      <c r="C26" s="28" t="s">
        <v>22</v>
      </c>
      <c r="D26" s="26">
        <v>-27612</v>
      </c>
      <c r="E26" s="28" t="s">
        <v>71</v>
      </c>
    </row>
    <row r="27">
      <c r="A27" s="28" t="s">
        <v>72</v>
      </c>
      <c r="B27" s="27" t="s">
        <v>73</v>
      </c>
      <c r="C27" s="28" t="s">
        <v>22</v>
      </c>
      <c r="D27" s="26">
        <v>-31174</v>
      </c>
      <c r="E27" s="28" t="s">
        <v>74</v>
      </c>
    </row>
    <row r="28">
      <c r="A28" s="28" t="s">
        <v>75</v>
      </c>
      <c r="B28" s="27" t="s">
        <v>76</v>
      </c>
      <c r="C28" s="28" t="s">
        <v>22</v>
      </c>
      <c r="D28" s="26">
        <v>-34735</v>
      </c>
      <c r="E28" s="28" t="s">
        <v>77</v>
      </c>
    </row>
    <row r="29">
      <c r="A29" s="32">
        <v>111</v>
      </c>
      <c r="B29" s="27" t="s">
        <v>78</v>
      </c>
      <c r="C29" s="28"/>
      <c r="D29" s="28"/>
      <c r="E29" s="32" t="s">
        <v>79</v>
      </c>
    </row>
    <row r="30">
      <c r="A30" s="28" t="s">
        <v>20</v>
      </c>
      <c r="B30" s="27" t="s">
        <v>80</v>
      </c>
      <c r="C30" s="28" t="s">
        <v>22</v>
      </c>
      <c r="D30" s="32">
        <v>39589</v>
      </c>
      <c r="E30" s="28" t="s">
        <v>81</v>
      </c>
    </row>
    <row r="31">
      <c r="A31" s="28" t="s">
        <v>24</v>
      </c>
      <c r="B31" s="27" t="s">
        <v>82</v>
      </c>
      <c r="C31" s="28" t="s">
        <v>22</v>
      </c>
      <c r="D31" s="32">
        <v>80476</v>
      </c>
      <c r="E31" s="28" t="s">
        <v>83</v>
      </c>
    </row>
    <row r="32">
      <c r="A32" s="28" t="s">
        <v>42</v>
      </c>
      <c r="B32" s="27" t="s">
        <v>84</v>
      </c>
      <c r="C32" s="28" t="s">
        <v>22</v>
      </c>
      <c r="D32" s="32">
        <v>153424</v>
      </c>
      <c r="E32" s="28" t="s">
        <v>85</v>
      </c>
    </row>
    <row r="33">
      <c r="A33" s="28" t="s">
        <v>69</v>
      </c>
      <c r="B33" s="27" t="s">
        <v>86</v>
      </c>
      <c r="C33" s="28" t="s">
        <v>22</v>
      </c>
      <c r="D33" s="32">
        <v>201190</v>
      </c>
      <c r="E33" s="28" t="s">
        <v>87</v>
      </c>
    </row>
    <row r="34">
      <c r="A34" s="32">
        <v>112</v>
      </c>
      <c r="B34" s="27" t="s">
        <v>88</v>
      </c>
      <c r="C34" s="28"/>
      <c r="D34" s="28"/>
      <c r="E34" s="32" t="s">
        <v>89</v>
      </c>
    </row>
    <row r="35" ht="25.5">
      <c r="A35" s="28" t="s">
        <v>20</v>
      </c>
      <c r="B35" s="27" t="s">
        <v>90</v>
      </c>
      <c r="C35" s="28" t="s">
        <v>22</v>
      </c>
      <c r="D35" s="32">
        <v>9086</v>
      </c>
      <c r="E35" s="28" t="s">
        <v>91</v>
      </c>
    </row>
    <row r="36" ht="25.5">
      <c r="A36" s="28" t="s">
        <v>24</v>
      </c>
      <c r="B36" s="27" t="s">
        <v>92</v>
      </c>
      <c r="C36" s="28" t="s">
        <v>22</v>
      </c>
      <c r="D36" s="32">
        <v>9263</v>
      </c>
      <c r="E36" s="28" t="s">
        <v>93</v>
      </c>
    </row>
    <row r="37" ht="25.5">
      <c r="A37" s="28" t="s">
        <v>42</v>
      </c>
      <c r="B37" s="27" t="s">
        <v>94</v>
      </c>
      <c r="C37" s="28" t="s">
        <v>22</v>
      </c>
      <c r="D37" s="32">
        <v>10443</v>
      </c>
      <c r="E37" s="28" t="s">
        <v>95</v>
      </c>
    </row>
    <row r="38" ht="25.5">
      <c r="A38" s="28" t="s">
        <v>69</v>
      </c>
      <c r="B38" s="27" t="s">
        <v>96</v>
      </c>
      <c r="C38" s="28" t="s">
        <v>22</v>
      </c>
      <c r="D38" s="32">
        <v>6844</v>
      </c>
      <c r="E38" s="28" t="s">
        <v>97</v>
      </c>
    </row>
    <row r="39" ht="25.5">
      <c r="A39" s="28" t="s">
        <v>72</v>
      </c>
      <c r="B39" s="27" t="s">
        <v>98</v>
      </c>
      <c r="C39" s="28" t="s">
        <v>22</v>
      </c>
      <c r="D39" s="32">
        <v>5575</v>
      </c>
      <c r="E39" s="28" t="s">
        <v>99</v>
      </c>
    </row>
    <row r="40" ht="25.5">
      <c r="A40" s="28" t="s">
        <v>75</v>
      </c>
      <c r="B40" s="27" t="s">
        <v>100</v>
      </c>
      <c r="C40" s="28" t="s">
        <v>22</v>
      </c>
      <c r="D40" s="32">
        <v>5575</v>
      </c>
      <c r="E40" s="28" t="s">
        <v>101</v>
      </c>
    </row>
    <row r="41" ht="25.5">
      <c r="A41" s="32">
        <v>113</v>
      </c>
      <c r="B41" s="27" t="s">
        <v>102</v>
      </c>
      <c r="C41" s="28" t="s">
        <v>22</v>
      </c>
      <c r="D41" s="32">
        <v>20309</v>
      </c>
      <c r="E41" s="32" t="s">
        <v>103</v>
      </c>
    </row>
    <row r="42" ht="38.25">
      <c r="A42" s="32">
        <v>114</v>
      </c>
      <c r="B42" s="27" t="s">
        <v>104</v>
      </c>
      <c r="C42" s="28" t="s">
        <v>22</v>
      </c>
      <c r="D42" s="32">
        <v>267</v>
      </c>
      <c r="E42" s="32" t="s">
        <v>105</v>
      </c>
    </row>
    <row r="43" ht="25.5">
      <c r="A43" s="32">
        <v>115</v>
      </c>
      <c r="B43" s="27" t="s">
        <v>106</v>
      </c>
      <c r="C43" s="28" t="s">
        <v>22</v>
      </c>
      <c r="D43" s="32">
        <v>370</v>
      </c>
      <c r="E43" s="32" t="s">
        <v>107</v>
      </c>
    </row>
    <row r="44">
      <c r="A44" s="33"/>
      <c r="B44" s="33"/>
      <c r="C44" s="32"/>
      <c r="D44" s="32"/>
      <c r="E44" s="33"/>
    </row>
    <row r="45" ht="12.75" customHeight="1">
      <c r="B45" s="25" t="s">
        <v>108</v>
      </c>
      <c r="C45" s="34"/>
      <c r="D45" s="34"/>
      <c r="E45" s="25"/>
    </row>
    <row r="46">
      <c r="A46" s="32">
        <v>201</v>
      </c>
      <c r="B46" s="27" t="s">
        <v>109</v>
      </c>
      <c r="C46" s="28"/>
      <c r="D46" s="28"/>
      <c r="E46" s="32" t="s">
        <v>110</v>
      </c>
    </row>
    <row r="47">
      <c r="A47" s="28" t="s">
        <v>20</v>
      </c>
      <c r="B47" s="27" t="s">
        <v>111</v>
      </c>
      <c r="C47" s="28" t="s">
        <v>22</v>
      </c>
      <c r="D47" s="32">
        <v>16216</v>
      </c>
      <c r="E47" s="28" t="s">
        <v>112</v>
      </c>
    </row>
    <row r="48">
      <c r="A48" s="28" t="s">
        <v>24</v>
      </c>
      <c r="B48" s="27" t="s">
        <v>113</v>
      </c>
      <c r="C48" s="28" t="s">
        <v>22</v>
      </c>
      <c r="D48" s="32">
        <v>8083</v>
      </c>
      <c r="E48" s="28" t="s">
        <v>114</v>
      </c>
    </row>
    <row r="49">
      <c r="A49" s="28" t="s">
        <v>42</v>
      </c>
      <c r="B49" s="27" t="s">
        <v>115</v>
      </c>
      <c r="C49" s="28" t="s">
        <v>22</v>
      </c>
      <c r="D49" s="32">
        <v>4330</v>
      </c>
      <c r="E49" s="28" t="s">
        <v>116</v>
      </c>
    </row>
    <row r="50" ht="25.5">
      <c r="A50" s="32">
        <v>202</v>
      </c>
      <c r="B50" s="27" t="s">
        <v>117</v>
      </c>
      <c r="C50" s="28" t="s">
        <v>22</v>
      </c>
      <c r="D50" s="32">
        <v>1051</v>
      </c>
      <c r="E50" s="32" t="s">
        <v>118</v>
      </c>
    </row>
    <row r="51" ht="70.5" customHeight="1">
      <c r="A51" s="32">
        <v>203</v>
      </c>
      <c r="B51" s="35" t="s">
        <v>119</v>
      </c>
      <c r="C51" s="28" t="s">
        <v>22</v>
      </c>
      <c r="D51" s="32">
        <v>853</v>
      </c>
      <c r="E51" s="32" t="s">
        <v>120</v>
      </c>
    </row>
    <row r="52" ht="38.25">
      <c r="A52" s="32">
        <v>204</v>
      </c>
      <c r="B52" s="27" t="s">
        <v>121</v>
      </c>
      <c r="C52" s="28" t="s">
        <v>22</v>
      </c>
      <c r="D52" s="32">
        <v>427</v>
      </c>
      <c r="E52" s="32" t="s">
        <v>122</v>
      </c>
    </row>
    <row r="53" ht="25.5">
      <c r="A53" s="32">
        <v>205</v>
      </c>
      <c r="B53" s="27" t="s">
        <v>123</v>
      </c>
      <c r="C53" s="28"/>
      <c r="D53" s="28"/>
      <c r="E53" s="32" t="s">
        <v>124</v>
      </c>
    </row>
    <row r="54">
      <c r="A54" s="28" t="s">
        <v>20</v>
      </c>
      <c r="B54" s="27" t="s">
        <v>125</v>
      </c>
      <c r="C54" s="28" t="s">
        <v>22</v>
      </c>
      <c r="D54" s="32">
        <v>7124</v>
      </c>
      <c r="E54" s="28" t="s">
        <v>126</v>
      </c>
    </row>
    <row r="55">
      <c r="A55" s="28" t="s">
        <v>24</v>
      </c>
      <c r="B55" s="27" t="s">
        <v>127</v>
      </c>
      <c r="C55" s="28" t="s">
        <v>22</v>
      </c>
      <c r="D55" s="32">
        <v>3430</v>
      </c>
      <c r="E55" s="28" t="s">
        <v>128</v>
      </c>
    </row>
    <row r="56">
      <c r="A56" s="28" t="s">
        <v>42</v>
      </c>
      <c r="B56" s="27" t="s">
        <v>129</v>
      </c>
      <c r="C56" s="28" t="s">
        <v>22</v>
      </c>
      <c r="D56" s="32">
        <v>1888</v>
      </c>
      <c r="E56" s="28" t="s">
        <v>130</v>
      </c>
    </row>
    <row r="57">
      <c r="A57" s="36"/>
      <c r="B57" s="36"/>
      <c r="C57" s="28"/>
      <c r="D57" s="28"/>
      <c r="E57" s="36"/>
    </row>
    <row r="58" ht="21.75" customHeight="1">
      <c r="B58" s="37" t="s">
        <v>131</v>
      </c>
      <c r="C58" s="37"/>
      <c r="D58" s="37"/>
      <c r="E58" s="36"/>
    </row>
    <row r="59" ht="51">
      <c r="A59" s="32">
        <v>301</v>
      </c>
      <c r="B59" s="27" t="s">
        <v>132</v>
      </c>
      <c r="C59" s="28" t="s">
        <v>22</v>
      </c>
      <c r="D59" s="32">
        <v>2902</v>
      </c>
      <c r="E59" s="32" t="s">
        <v>133</v>
      </c>
      <c r="J59" s="16">
        <f>12829*4</f>
        <v>51316</v>
      </c>
    </row>
    <row r="60">
      <c r="A60" s="32">
        <v>302</v>
      </c>
      <c r="B60" s="27" t="s">
        <v>134</v>
      </c>
      <c r="C60" s="28"/>
      <c r="D60" s="28"/>
      <c r="E60" s="32" t="s">
        <v>135</v>
      </c>
    </row>
    <row r="61" ht="25.5">
      <c r="A61" s="28" t="s">
        <v>20</v>
      </c>
      <c r="B61" s="27" t="s">
        <v>136</v>
      </c>
      <c r="C61" s="28" t="s">
        <v>30</v>
      </c>
      <c r="D61" s="32">
        <v>8670</v>
      </c>
      <c r="E61" s="28" t="s">
        <v>137</v>
      </c>
    </row>
    <row r="62" ht="25.5">
      <c r="A62" s="28" t="s">
        <v>24</v>
      </c>
      <c r="B62" s="27" t="s">
        <v>138</v>
      </c>
      <c r="C62" s="28" t="s">
        <v>30</v>
      </c>
      <c r="D62" s="32">
        <v>58410</v>
      </c>
      <c r="E62" s="28" t="s">
        <v>139</v>
      </c>
    </row>
    <row r="63" ht="76.5">
      <c r="A63" s="28" t="s">
        <v>42</v>
      </c>
      <c r="B63" s="27" t="s">
        <v>140</v>
      </c>
      <c r="C63" s="28" t="s">
        <v>30</v>
      </c>
      <c r="D63" s="32">
        <v>14160</v>
      </c>
      <c r="E63" s="28" t="s">
        <v>141</v>
      </c>
    </row>
    <row r="64">
      <c r="A64" s="32">
        <v>303</v>
      </c>
      <c r="B64" s="27" t="s">
        <v>142</v>
      </c>
      <c r="C64" s="28"/>
      <c r="D64" s="28"/>
      <c r="E64" s="32" t="s">
        <v>143</v>
      </c>
    </row>
    <row r="65" ht="38.25">
      <c r="A65" s="28" t="s">
        <v>20</v>
      </c>
      <c r="B65" s="27" t="s">
        <v>144</v>
      </c>
      <c r="C65" s="28" t="s">
        <v>30</v>
      </c>
      <c r="D65" s="32">
        <v>729</v>
      </c>
      <c r="E65" s="28" t="s">
        <v>145</v>
      </c>
    </row>
    <row r="66" ht="25.5">
      <c r="A66" s="28" t="s">
        <v>24</v>
      </c>
      <c r="B66" s="27" t="s">
        <v>146</v>
      </c>
      <c r="C66" s="28" t="s">
        <v>30</v>
      </c>
      <c r="D66" s="32">
        <v>160</v>
      </c>
      <c r="E66" s="28" t="s">
        <v>147</v>
      </c>
    </row>
    <row r="67" ht="114.75">
      <c r="A67" s="28" t="s">
        <v>42</v>
      </c>
      <c r="B67" s="27" t="s">
        <v>148</v>
      </c>
      <c r="C67" s="28" t="s">
        <v>30</v>
      </c>
      <c r="D67" s="32">
        <v>2203</v>
      </c>
      <c r="E67" s="28" t="s">
        <v>149</v>
      </c>
    </row>
    <row r="68" ht="25.5">
      <c r="A68" s="28"/>
      <c r="B68" s="27" t="s">
        <v>150</v>
      </c>
      <c r="C68" s="28"/>
      <c r="D68" s="28"/>
      <c r="E68" s="28"/>
    </row>
    <row r="69" ht="191.25">
      <c r="A69" s="28" t="s">
        <v>69</v>
      </c>
      <c r="B69" s="27" t="s">
        <v>151</v>
      </c>
      <c r="C69" s="28" t="s">
        <v>30</v>
      </c>
      <c r="D69" s="32">
        <v>1074</v>
      </c>
      <c r="E69" s="28" t="s">
        <v>152</v>
      </c>
    </row>
    <row r="70">
      <c r="A70" s="28"/>
      <c r="B70" s="28"/>
      <c r="C70" s="28"/>
      <c r="D70" s="28"/>
      <c r="E70" s="28"/>
    </row>
    <row r="71">
      <c r="A71" s="28" t="s">
        <v>153</v>
      </c>
      <c r="B71" s="28"/>
      <c r="C71" s="28"/>
      <c r="D71" s="28"/>
      <c r="E71" s="28"/>
    </row>
    <row r="72" ht="25.5">
      <c r="A72" s="32">
        <v>401</v>
      </c>
      <c r="B72" s="27" t="s">
        <v>154</v>
      </c>
      <c r="C72" s="28" t="s">
        <v>22</v>
      </c>
      <c r="D72" s="32">
        <v>8294</v>
      </c>
      <c r="E72" s="32" t="s">
        <v>155</v>
      </c>
    </row>
    <row r="73" ht="51">
      <c r="A73" s="32">
        <v>402</v>
      </c>
      <c r="B73" s="27" t="s">
        <v>156</v>
      </c>
      <c r="C73" s="28" t="s">
        <v>22</v>
      </c>
      <c r="D73" s="32">
        <v>1546</v>
      </c>
      <c r="E73" s="32" t="s">
        <v>157</v>
      </c>
    </row>
    <row r="74" ht="25.5">
      <c r="A74" s="32">
        <v>403</v>
      </c>
      <c r="B74" s="27" t="s">
        <v>158</v>
      </c>
      <c r="C74" s="28" t="s">
        <v>159</v>
      </c>
      <c r="D74" s="32">
        <v>80</v>
      </c>
      <c r="E74" s="32" t="s">
        <v>160</v>
      </c>
    </row>
    <row r="75" ht="25.5">
      <c r="A75" s="32">
        <v>404</v>
      </c>
      <c r="B75" s="27" t="s">
        <v>161</v>
      </c>
      <c r="C75" s="28" t="s">
        <v>159</v>
      </c>
      <c r="D75" s="32">
        <v>120</v>
      </c>
      <c r="E75" s="32" t="s">
        <v>162</v>
      </c>
    </row>
    <row r="76">
      <c r="A76" s="32">
        <v>405</v>
      </c>
      <c r="B76" s="27" t="s">
        <v>163</v>
      </c>
      <c r="C76" s="28" t="s">
        <v>22</v>
      </c>
      <c r="D76" s="32">
        <v>2313</v>
      </c>
      <c r="E76" s="32" t="s">
        <v>164</v>
      </c>
    </row>
    <row r="77" ht="38.25">
      <c r="A77" s="32">
        <v>406</v>
      </c>
      <c r="B77" s="27" t="s">
        <v>165</v>
      </c>
      <c r="C77" s="28"/>
      <c r="D77" s="28"/>
      <c r="E77" s="32" t="s">
        <v>166</v>
      </c>
    </row>
    <row r="78">
      <c r="A78" s="28" t="s">
        <v>20</v>
      </c>
      <c r="B78" s="27" t="s">
        <v>167</v>
      </c>
      <c r="C78" s="28" t="s">
        <v>22</v>
      </c>
      <c r="D78" s="32">
        <v>3315</v>
      </c>
      <c r="E78" s="28" t="s">
        <v>168</v>
      </c>
    </row>
    <row r="79">
      <c r="A79" s="28" t="s">
        <v>24</v>
      </c>
      <c r="B79" s="27" t="s">
        <v>169</v>
      </c>
      <c r="C79" s="28" t="s">
        <v>22</v>
      </c>
      <c r="D79" s="32">
        <v>4709</v>
      </c>
      <c r="E79" s="28" t="s">
        <v>170</v>
      </c>
    </row>
    <row r="80">
      <c r="A80" s="28" t="s">
        <v>42</v>
      </c>
      <c r="B80" s="27" t="s">
        <v>171</v>
      </c>
      <c r="C80" s="28" t="s">
        <v>22</v>
      </c>
      <c r="D80" s="32">
        <v>5665</v>
      </c>
      <c r="E80" s="28" t="s">
        <v>172</v>
      </c>
    </row>
    <row r="81">
      <c r="A81" s="28" t="s">
        <v>69</v>
      </c>
      <c r="B81" s="27" t="s">
        <v>173</v>
      </c>
      <c r="C81" s="28" t="s">
        <v>22</v>
      </c>
      <c r="D81" s="32">
        <v>7060</v>
      </c>
      <c r="E81" s="28" t="s">
        <v>174</v>
      </c>
    </row>
    <row r="82">
      <c r="A82" s="32">
        <v>407</v>
      </c>
      <c r="B82" s="27" t="s">
        <v>175</v>
      </c>
      <c r="C82" s="28" t="s">
        <v>22</v>
      </c>
      <c r="D82" s="32">
        <v>277</v>
      </c>
      <c r="E82" s="32" t="s">
        <v>176</v>
      </c>
    </row>
    <row r="83">
      <c r="A83" s="32">
        <v>408</v>
      </c>
      <c r="B83" s="27" t="s">
        <v>177</v>
      </c>
      <c r="C83" s="28" t="s">
        <v>178</v>
      </c>
      <c r="D83" s="32">
        <v>10</v>
      </c>
      <c r="E83" s="32" t="s">
        <v>179</v>
      </c>
    </row>
    <row r="84">
      <c r="A84" s="32">
        <v>409</v>
      </c>
      <c r="B84" s="27" t="s">
        <v>180</v>
      </c>
      <c r="C84" s="28" t="s">
        <v>22</v>
      </c>
      <c r="D84" s="32">
        <v>30</v>
      </c>
      <c r="E84" s="32" t="s">
        <v>181</v>
      </c>
    </row>
    <row r="85">
      <c r="A85" s="32">
        <v>410</v>
      </c>
      <c r="B85" s="27" t="s">
        <v>182</v>
      </c>
      <c r="C85" s="28" t="s">
        <v>22</v>
      </c>
      <c r="D85" s="32">
        <v>146</v>
      </c>
      <c r="E85" s="32" t="s">
        <v>183</v>
      </c>
    </row>
    <row r="86">
      <c r="A86" s="38">
        <v>411</v>
      </c>
      <c r="B86" s="27" t="s">
        <v>184</v>
      </c>
      <c r="C86" s="28" t="s">
        <v>22</v>
      </c>
      <c r="D86" s="32">
        <v>3</v>
      </c>
      <c r="E86" s="32" t="s">
        <v>185</v>
      </c>
    </row>
    <row r="87" ht="25.5">
      <c r="A87" s="32">
        <v>412</v>
      </c>
      <c r="B87" s="27" t="s">
        <v>186</v>
      </c>
      <c r="C87" s="28" t="s">
        <v>22</v>
      </c>
      <c r="D87" s="32">
        <v>358</v>
      </c>
      <c r="E87" s="32" t="s">
        <v>187</v>
      </c>
    </row>
    <row r="88">
      <c r="A88" s="32"/>
      <c r="B88" s="32"/>
      <c r="C88" s="32"/>
      <c r="D88" s="32"/>
      <c r="E88" s="32"/>
    </row>
    <row r="89" ht="18">
      <c r="A89" s="39" t="s">
        <v>188</v>
      </c>
      <c r="B89" s="39"/>
      <c r="C89" s="39"/>
      <c r="D89" s="39"/>
      <c r="E89" s="39"/>
    </row>
    <row r="90" ht="15.75">
      <c r="A90" s="28"/>
      <c r="B90" s="40" t="s">
        <v>189</v>
      </c>
      <c r="C90" s="28"/>
      <c r="D90" s="28"/>
      <c r="E90" s="28"/>
    </row>
    <row r="91" ht="38.25">
      <c r="A91" s="32">
        <v>501</v>
      </c>
      <c r="B91" s="27" t="s">
        <v>190</v>
      </c>
      <c r="C91" s="28"/>
      <c r="D91" s="28"/>
      <c r="E91" s="32" t="s">
        <v>191</v>
      </c>
    </row>
    <row r="92">
      <c r="A92" s="28" t="s">
        <v>20</v>
      </c>
      <c r="B92" s="27" t="s">
        <v>192</v>
      </c>
      <c r="C92" s="28" t="s">
        <v>22</v>
      </c>
      <c r="D92" s="32">
        <v>4400</v>
      </c>
      <c r="E92" s="28" t="s">
        <v>193</v>
      </c>
    </row>
    <row r="93">
      <c r="A93" s="28" t="s">
        <v>24</v>
      </c>
      <c r="B93" s="27" t="s">
        <v>194</v>
      </c>
      <c r="C93" s="28" t="s">
        <v>22</v>
      </c>
      <c r="D93" s="32">
        <v>4283</v>
      </c>
      <c r="E93" s="28" t="s">
        <v>195</v>
      </c>
    </row>
    <row r="94">
      <c r="A94" s="28" t="s">
        <v>42</v>
      </c>
      <c r="B94" s="27" t="s">
        <v>196</v>
      </c>
      <c r="C94" s="28" t="s">
        <v>22</v>
      </c>
      <c r="D94" s="32">
        <v>6753</v>
      </c>
      <c r="E94" s="28" t="s">
        <v>197</v>
      </c>
    </row>
    <row r="95">
      <c r="A95" s="28" t="s">
        <v>69</v>
      </c>
      <c r="B95" s="27" t="s">
        <v>198</v>
      </c>
      <c r="C95" s="28" t="s">
        <v>22</v>
      </c>
      <c r="D95" s="32">
        <v>6544</v>
      </c>
      <c r="E95" s="28" t="s">
        <v>199</v>
      </c>
    </row>
    <row r="96">
      <c r="A96" s="28" t="s">
        <v>72</v>
      </c>
      <c r="B96" s="27" t="s">
        <v>200</v>
      </c>
      <c r="C96" s="28" t="s">
        <v>22</v>
      </c>
      <c r="D96" s="32">
        <v>3962</v>
      </c>
      <c r="E96" s="28" t="s">
        <v>201</v>
      </c>
    </row>
    <row r="97">
      <c r="A97" s="28" t="s">
        <v>75</v>
      </c>
      <c r="B97" s="27" t="s">
        <v>202</v>
      </c>
      <c r="C97" s="28" t="s">
        <v>22</v>
      </c>
      <c r="D97" s="32">
        <v>4485</v>
      </c>
      <c r="E97" s="28" t="s">
        <v>203</v>
      </c>
    </row>
    <row r="98">
      <c r="A98" s="28" t="s">
        <v>204</v>
      </c>
      <c r="B98" s="27" t="s">
        <v>205</v>
      </c>
      <c r="C98" s="28" t="s">
        <v>22</v>
      </c>
      <c r="D98" s="32">
        <v>4944</v>
      </c>
      <c r="E98" s="28" t="s">
        <v>206</v>
      </c>
    </row>
    <row r="99" ht="38.25">
      <c r="A99" s="38">
        <v>502</v>
      </c>
      <c r="B99" s="27" t="s">
        <v>207</v>
      </c>
      <c r="C99" s="28"/>
      <c r="D99" s="28"/>
      <c r="E99" s="32" t="s">
        <v>208</v>
      </c>
    </row>
    <row r="100">
      <c r="A100" s="28" t="s">
        <v>20</v>
      </c>
      <c r="B100" s="27" t="s">
        <v>209</v>
      </c>
      <c r="C100" s="28" t="s">
        <v>22</v>
      </c>
      <c r="D100" s="32">
        <v>8307</v>
      </c>
      <c r="E100" s="28" t="s">
        <v>210</v>
      </c>
    </row>
    <row r="101">
      <c r="A101" s="28" t="s">
        <v>24</v>
      </c>
      <c r="B101" s="27" t="s">
        <v>211</v>
      </c>
      <c r="C101" s="28" t="s">
        <v>22</v>
      </c>
      <c r="D101" s="32">
        <v>4738</v>
      </c>
      <c r="E101" s="28" t="s">
        <v>212</v>
      </c>
    </row>
    <row r="102">
      <c r="A102" s="28" t="s">
        <v>42</v>
      </c>
      <c r="B102" s="27" t="s">
        <v>213</v>
      </c>
      <c r="C102" s="28" t="s">
        <v>22</v>
      </c>
      <c r="D102" s="32">
        <v>4413</v>
      </c>
      <c r="E102" s="28" t="s">
        <v>214</v>
      </c>
    </row>
    <row r="103" ht="25.5">
      <c r="A103" s="28" t="s">
        <v>69</v>
      </c>
      <c r="B103" s="27" t="s">
        <v>215</v>
      </c>
      <c r="C103" s="28" t="s">
        <v>22</v>
      </c>
      <c r="D103" s="32">
        <v>5062</v>
      </c>
      <c r="E103" s="28" t="s">
        <v>216</v>
      </c>
    </row>
    <row r="104">
      <c r="A104" s="28" t="s">
        <v>72</v>
      </c>
      <c r="B104" s="27" t="s">
        <v>217</v>
      </c>
      <c r="C104" s="28" t="s">
        <v>22</v>
      </c>
      <c r="D104" s="32">
        <v>6465</v>
      </c>
      <c r="E104" s="28" t="s">
        <v>218</v>
      </c>
    </row>
    <row r="105" ht="51">
      <c r="A105" s="32">
        <v>503</v>
      </c>
      <c r="B105" s="27" t="s">
        <v>219</v>
      </c>
      <c r="C105" s="28" t="s">
        <v>22</v>
      </c>
      <c r="D105" s="32">
        <v>4806</v>
      </c>
      <c r="E105" s="32" t="s">
        <v>220</v>
      </c>
    </row>
    <row r="106" ht="51">
      <c r="A106" s="32">
        <v>504</v>
      </c>
      <c r="B106" s="27" t="s">
        <v>221</v>
      </c>
      <c r="C106" s="28" t="s">
        <v>22</v>
      </c>
      <c r="D106" s="32">
        <v>5841</v>
      </c>
      <c r="E106" s="32" t="s">
        <v>222</v>
      </c>
    </row>
    <row r="107" ht="25.5">
      <c r="A107" s="32">
        <v>505</v>
      </c>
      <c r="B107" s="27" t="s">
        <v>223</v>
      </c>
      <c r="C107" s="28" t="s">
        <v>22</v>
      </c>
      <c r="D107" s="32">
        <v>4349</v>
      </c>
      <c r="E107" s="32" t="s">
        <v>224</v>
      </c>
    </row>
    <row r="108" ht="25.5">
      <c r="A108" s="32">
        <v>506</v>
      </c>
      <c r="B108" s="27" t="s">
        <v>225</v>
      </c>
      <c r="C108" s="28"/>
      <c r="D108" s="28"/>
      <c r="E108" s="32" t="s">
        <v>226</v>
      </c>
    </row>
    <row r="109">
      <c r="A109" s="28" t="s">
        <v>20</v>
      </c>
      <c r="B109" s="27" t="s">
        <v>227</v>
      </c>
      <c r="C109" s="28" t="s">
        <v>22</v>
      </c>
      <c r="D109" s="32">
        <v>5701</v>
      </c>
      <c r="E109" s="28" t="s">
        <v>228</v>
      </c>
    </row>
    <row r="110">
      <c r="A110" s="28" t="s">
        <v>24</v>
      </c>
      <c r="B110" s="27" t="s">
        <v>229</v>
      </c>
      <c r="C110" s="28" t="s">
        <v>22</v>
      </c>
      <c r="D110" s="32">
        <v>5427</v>
      </c>
      <c r="E110" s="28" t="s">
        <v>230</v>
      </c>
    </row>
    <row r="111" ht="63.75">
      <c r="A111" s="32">
        <v>507</v>
      </c>
      <c r="B111" s="27" t="s">
        <v>231</v>
      </c>
      <c r="C111" s="28"/>
      <c r="D111" s="28"/>
      <c r="E111" s="32" t="s">
        <v>232</v>
      </c>
    </row>
    <row r="112">
      <c r="A112" s="28" t="s">
        <v>20</v>
      </c>
      <c r="B112" s="27" t="s">
        <v>233</v>
      </c>
      <c r="C112" s="28" t="s">
        <v>22</v>
      </c>
      <c r="D112" s="32">
        <v>2161</v>
      </c>
      <c r="E112" s="28" t="s">
        <v>234</v>
      </c>
    </row>
    <row r="113">
      <c r="A113" s="28" t="s">
        <v>24</v>
      </c>
      <c r="B113" s="27" t="s">
        <v>235</v>
      </c>
      <c r="C113" s="28" t="s">
        <v>22</v>
      </c>
      <c r="D113" s="32">
        <v>2544</v>
      </c>
      <c r="E113" s="28" t="s">
        <v>236</v>
      </c>
    </row>
    <row r="114">
      <c r="A114" s="28" t="s">
        <v>42</v>
      </c>
      <c r="B114" s="27" t="s">
        <v>237</v>
      </c>
      <c r="C114" s="28" t="s">
        <v>22</v>
      </c>
      <c r="D114" s="32">
        <v>2544</v>
      </c>
      <c r="E114" s="28" t="s">
        <v>238</v>
      </c>
    </row>
    <row r="115">
      <c r="A115" s="28" t="s">
        <v>69</v>
      </c>
      <c r="B115" s="27" t="s">
        <v>239</v>
      </c>
      <c r="C115" s="28" t="s">
        <v>22</v>
      </c>
      <c r="D115" s="32">
        <v>2332</v>
      </c>
      <c r="E115" s="28" t="s">
        <v>240</v>
      </c>
    </row>
    <row r="116">
      <c r="A116" s="28"/>
      <c r="B116" s="41" t="s">
        <v>241</v>
      </c>
      <c r="C116" s="28"/>
      <c r="D116" s="28"/>
      <c r="E116" s="28"/>
    </row>
    <row r="117" ht="25.5">
      <c r="A117" s="32">
        <v>508</v>
      </c>
      <c r="B117" s="27" t="s">
        <v>242</v>
      </c>
      <c r="C117" s="28" t="s">
        <v>22</v>
      </c>
      <c r="D117" s="32">
        <v>38790</v>
      </c>
      <c r="E117" s="32" t="s">
        <v>243</v>
      </c>
    </row>
    <row r="118" ht="25.5">
      <c r="A118" s="32">
        <v>509</v>
      </c>
      <c r="B118" s="27" t="s">
        <v>244</v>
      </c>
      <c r="C118" s="28" t="s">
        <v>22</v>
      </c>
      <c r="D118" s="32">
        <v>81472</v>
      </c>
      <c r="E118" s="32" t="s">
        <v>245</v>
      </c>
    </row>
    <row r="119" ht="25.5">
      <c r="A119" s="32">
        <v>510</v>
      </c>
      <c r="B119" s="27" t="s">
        <v>246</v>
      </c>
      <c r="C119" s="28" t="s">
        <v>22</v>
      </c>
      <c r="D119" s="32">
        <v>51162</v>
      </c>
      <c r="E119" s="32" t="s">
        <v>247</v>
      </c>
    </row>
    <row r="120" ht="25.5">
      <c r="A120" s="32">
        <v>511</v>
      </c>
      <c r="B120" s="27" t="s">
        <v>248</v>
      </c>
      <c r="C120" s="28" t="s">
        <v>22</v>
      </c>
      <c r="D120" s="32">
        <v>47501</v>
      </c>
      <c r="E120" s="32" t="s">
        <v>249</v>
      </c>
    </row>
    <row r="121" ht="25.5">
      <c r="A121" s="32">
        <v>512</v>
      </c>
      <c r="B121" s="27" t="s">
        <v>250</v>
      </c>
      <c r="C121" s="28" t="s">
        <v>22</v>
      </c>
      <c r="D121" s="32">
        <v>44093</v>
      </c>
      <c r="E121" s="32" t="s">
        <v>251</v>
      </c>
    </row>
    <row r="122" ht="25.5">
      <c r="A122" s="32">
        <v>513</v>
      </c>
      <c r="B122" s="27" t="s">
        <v>252</v>
      </c>
      <c r="C122" s="28" t="s">
        <v>22</v>
      </c>
      <c r="D122" s="32">
        <v>53569</v>
      </c>
      <c r="E122" s="32" t="s">
        <v>253</v>
      </c>
    </row>
    <row r="123" ht="25.5">
      <c r="A123" s="32">
        <v>514</v>
      </c>
      <c r="B123" s="27" t="s">
        <v>254</v>
      </c>
      <c r="C123" s="28" t="s">
        <v>22</v>
      </c>
      <c r="D123" s="32">
        <v>53228</v>
      </c>
      <c r="E123" s="32" t="s">
        <v>255</v>
      </c>
    </row>
    <row r="124" ht="51">
      <c r="A124" s="32">
        <v>515</v>
      </c>
      <c r="B124" s="27" t="s">
        <v>256</v>
      </c>
      <c r="C124" s="28" t="s">
        <v>22</v>
      </c>
      <c r="D124" s="32">
        <v>5022</v>
      </c>
      <c r="E124" s="32" t="s">
        <v>257</v>
      </c>
    </row>
    <row r="125" ht="38.25">
      <c r="A125" s="32">
        <v>516</v>
      </c>
      <c r="B125" s="27" t="s">
        <v>258</v>
      </c>
      <c r="C125" s="28" t="s">
        <v>22</v>
      </c>
      <c r="D125" s="32">
        <v>5697</v>
      </c>
      <c r="E125" s="32" t="s">
        <v>259</v>
      </c>
    </row>
    <row r="126" ht="51">
      <c r="A126" s="32">
        <v>517</v>
      </c>
      <c r="B126" s="27" t="s">
        <v>260</v>
      </c>
      <c r="C126" s="28" t="s">
        <v>22</v>
      </c>
      <c r="D126" s="32">
        <v>5697</v>
      </c>
      <c r="E126" s="32" t="s">
        <v>261</v>
      </c>
    </row>
    <row r="127">
      <c r="A127" s="32"/>
      <c r="B127" s="32"/>
      <c r="C127" s="32"/>
      <c r="D127" s="32"/>
    </row>
    <row r="128" ht="24.75" customHeight="1">
      <c r="B128" s="24" t="s">
        <v>262</v>
      </c>
      <c r="C128" s="24"/>
      <c r="D128" s="24"/>
    </row>
    <row r="129" ht="51">
      <c r="A129" s="32">
        <v>601</v>
      </c>
      <c r="B129" s="27" t="s">
        <v>263</v>
      </c>
      <c r="C129" s="28"/>
      <c r="D129" s="28"/>
      <c r="E129" s="32" t="s">
        <v>264</v>
      </c>
    </row>
    <row r="130">
      <c r="A130" s="28" t="s">
        <v>20</v>
      </c>
      <c r="B130" s="27" t="s">
        <v>265</v>
      </c>
      <c r="C130" s="28" t="s">
        <v>22</v>
      </c>
      <c r="D130" s="32">
        <v>7474</v>
      </c>
      <c r="E130" s="28" t="s">
        <v>266</v>
      </c>
    </row>
    <row r="131">
      <c r="A131" s="28" t="s">
        <v>24</v>
      </c>
      <c r="B131" s="27" t="s">
        <v>267</v>
      </c>
      <c r="C131" s="28" t="s">
        <v>22</v>
      </c>
      <c r="D131" s="32">
        <v>14847</v>
      </c>
      <c r="E131" s="28" t="s">
        <v>268</v>
      </c>
    </row>
    <row r="132">
      <c r="A132" s="28" t="s">
        <v>42</v>
      </c>
      <c r="B132" s="27" t="s">
        <v>269</v>
      </c>
      <c r="C132" s="28" t="s">
        <v>22</v>
      </c>
      <c r="D132" s="32">
        <v>27712</v>
      </c>
      <c r="E132" s="28" t="s">
        <v>270</v>
      </c>
    </row>
    <row r="133" ht="76.5">
      <c r="A133" s="32">
        <v>602</v>
      </c>
      <c r="B133" s="27" t="s">
        <v>271</v>
      </c>
      <c r="C133" s="28" t="s">
        <v>22</v>
      </c>
      <c r="D133" s="32">
        <v>7585</v>
      </c>
      <c r="E133" s="32" t="s">
        <v>272</v>
      </c>
    </row>
    <row r="134">
      <c r="A134" s="32">
        <v>603</v>
      </c>
      <c r="B134" s="27" t="s">
        <v>273</v>
      </c>
      <c r="C134" s="28"/>
      <c r="D134" s="28"/>
      <c r="E134" s="32" t="s">
        <v>274</v>
      </c>
    </row>
    <row r="135" ht="38.25">
      <c r="A135" s="28" t="s">
        <v>20</v>
      </c>
      <c r="B135" s="27" t="s">
        <v>275</v>
      </c>
      <c r="C135" s="28" t="s">
        <v>22</v>
      </c>
      <c r="D135" s="32">
        <v>97</v>
      </c>
      <c r="E135" s="28" t="s">
        <v>276</v>
      </c>
    </row>
    <row r="136" ht="38.25">
      <c r="A136" s="28" t="s">
        <v>24</v>
      </c>
      <c r="B136" s="27" t="s">
        <v>277</v>
      </c>
      <c r="C136" s="28" t="s">
        <v>22</v>
      </c>
      <c r="D136" s="32">
        <v>406</v>
      </c>
      <c r="E136" s="28" t="s">
        <v>278</v>
      </c>
    </row>
    <row r="137" ht="186" customHeight="1">
      <c r="A137" s="28" t="s">
        <v>42</v>
      </c>
      <c r="B137" s="27" t="s">
        <v>279</v>
      </c>
      <c r="C137" s="28" t="s">
        <v>30</v>
      </c>
      <c r="D137" s="32">
        <v>703</v>
      </c>
      <c r="E137" s="28" t="s">
        <v>280</v>
      </c>
    </row>
    <row r="138">
      <c r="A138" s="32">
        <v>604</v>
      </c>
      <c r="B138" s="27" t="s">
        <v>281</v>
      </c>
      <c r="C138" s="28" t="s">
        <v>30</v>
      </c>
      <c r="D138" s="32">
        <v>64</v>
      </c>
      <c r="E138" s="28" t="s">
        <v>282</v>
      </c>
    </row>
    <row r="139" ht="25.5">
      <c r="A139" s="32">
        <v>605</v>
      </c>
      <c r="B139" s="27" t="s">
        <v>283</v>
      </c>
      <c r="C139" s="28"/>
      <c r="D139" s="28"/>
      <c r="E139" s="28" t="s">
        <v>284</v>
      </c>
    </row>
    <row r="140">
      <c r="A140" s="28" t="s">
        <v>20</v>
      </c>
      <c r="B140" s="27" t="s">
        <v>285</v>
      </c>
      <c r="C140" s="28" t="s">
        <v>22</v>
      </c>
      <c r="D140" s="32">
        <v>220</v>
      </c>
      <c r="E140" s="28" t="s">
        <v>286</v>
      </c>
    </row>
    <row r="141">
      <c r="A141" s="28" t="s">
        <v>24</v>
      </c>
      <c r="B141" s="27" t="s">
        <v>287</v>
      </c>
      <c r="C141" s="28" t="s">
        <v>22</v>
      </c>
      <c r="D141" s="32">
        <v>31</v>
      </c>
      <c r="E141" s="28" t="s">
        <v>288</v>
      </c>
    </row>
    <row r="142" ht="38.25">
      <c r="A142" s="32">
        <v>606</v>
      </c>
      <c r="B142" s="27" t="s">
        <v>289</v>
      </c>
      <c r="C142" s="28" t="s">
        <v>30</v>
      </c>
      <c r="D142" s="32">
        <v>46656</v>
      </c>
      <c r="E142" s="32" t="s">
        <v>290</v>
      </c>
    </row>
    <row r="143">
      <c r="A143" s="33"/>
      <c r="B143" s="33"/>
      <c r="C143" s="32"/>
      <c r="D143" s="32"/>
      <c r="E143" s="33"/>
    </row>
    <row r="144" ht="12.75" customHeight="1">
      <c r="B144" s="36" t="s">
        <v>291</v>
      </c>
      <c r="C144" s="28"/>
      <c r="D144" s="28"/>
      <c r="E144" s="36"/>
    </row>
    <row r="145" ht="25.5">
      <c r="A145" s="32">
        <v>701</v>
      </c>
      <c r="B145" s="27" t="s">
        <v>292</v>
      </c>
      <c r="C145" s="28" t="s">
        <v>293</v>
      </c>
      <c r="D145" s="32">
        <v>191009</v>
      </c>
      <c r="E145" s="32" t="s">
        <v>294</v>
      </c>
    </row>
    <row r="146">
      <c r="A146" s="32">
        <v>702</v>
      </c>
      <c r="B146" s="27" t="s">
        <v>295</v>
      </c>
      <c r="C146" s="28"/>
      <c r="D146" s="28"/>
      <c r="E146" s="32" t="s">
        <v>296</v>
      </c>
    </row>
    <row r="147" ht="38.25">
      <c r="A147" s="28" t="s">
        <v>20</v>
      </c>
      <c r="B147" s="27" t="s">
        <v>297</v>
      </c>
      <c r="C147" s="28" t="s">
        <v>298</v>
      </c>
      <c r="D147" s="32">
        <v>1153</v>
      </c>
      <c r="E147" s="28" t="s">
        <v>299</v>
      </c>
    </row>
    <row r="148" ht="38.25">
      <c r="A148" s="28" t="s">
        <v>24</v>
      </c>
      <c r="B148" s="27" t="s">
        <v>300</v>
      </c>
      <c r="C148" s="28" t="s">
        <v>298</v>
      </c>
      <c r="D148" s="32">
        <v>2908</v>
      </c>
      <c r="E148" s="28" t="s">
        <v>301</v>
      </c>
    </row>
    <row r="149" ht="38.25">
      <c r="A149" s="28" t="s">
        <v>42</v>
      </c>
      <c r="B149" s="27" t="s">
        <v>302</v>
      </c>
      <c r="C149" s="28" t="s">
        <v>159</v>
      </c>
      <c r="D149" s="32">
        <v>391</v>
      </c>
      <c r="E149" s="28" t="s">
        <v>303</v>
      </c>
    </row>
    <row r="150" ht="38.25">
      <c r="A150" s="28" t="s">
        <v>69</v>
      </c>
      <c r="B150" s="27" t="s">
        <v>304</v>
      </c>
      <c r="C150" s="28" t="s">
        <v>159</v>
      </c>
      <c r="D150" s="32">
        <v>178</v>
      </c>
      <c r="E150" s="28" t="s">
        <v>305</v>
      </c>
    </row>
    <row r="151" ht="38.25">
      <c r="A151" s="28" t="s">
        <v>72</v>
      </c>
      <c r="B151" s="27" t="s">
        <v>306</v>
      </c>
      <c r="C151" s="28" t="s">
        <v>159</v>
      </c>
      <c r="D151" s="32">
        <v>124</v>
      </c>
      <c r="E151" s="28" t="s">
        <v>307</v>
      </c>
    </row>
    <row r="152">
      <c r="A152" s="28"/>
      <c r="B152" s="28"/>
      <c r="C152" s="28"/>
      <c r="D152" s="28"/>
      <c r="E152" s="28"/>
    </row>
    <row r="153">
      <c r="A153" s="34" t="s">
        <v>308</v>
      </c>
      <c r="B153" s="28"/>
      <c r="C153" s="28"/>
      <c r="D153" s="28"/>
      <c r="E153" s="28"/>
    </row>
    <row r="154">
      <c r="A154" s="32">
        <v>801</v>
      </c>
      <c r="B154" s="27" t="s">
        <v>309</v>
      </c>
      <c r="C154" s="28"/>
      <c r="D154" s="28"/>
      <c r="E154" s="28" t="s">
        <v>310</v>
      </c>
    </row>
    <row r="155" ht="25.5">
      <c r="A155" s="28" t="s">
        <v>20</v>
      </c>
      <c r="B155" s="27" t="s">
        <v>311</v>
      </c>
      <c r="C155" s="28" t="s">
        <v>22</v>
      </c>
      <c r="D155" s="32">
        <v>110464</v>
      </c>
      <c r="E155" s="28" t="s">
        <v>312</v>
      </c>
    </row>
    <row r="156">
      <c r="A156" s="28" t="s">
        <v>24</v>
      </c>
      <c r="B156" s="27" t="s">
        <v>313</v>
      </c>
      <c r="C156" s="28" t="s">
        <v>22</v>
      </c>
      <c r="D156" s="32">
        <v>55373</v>
      </c>
      <c r="E156" s="28" t="s">
        <v>314</v>
      </c>
    </row>
    <row r="157">
      <c r="A157" s="28" t="s">
        <v>42</v>
      </c>
      <c r="B157" s="27" t="s">
        <v>315</v>
      </c>
      <c r="C157" s="28" t="s">
        <v>22</v>
      </c>
      <c r="D157" s="32">
        <v>34433</v>
      </c>
      <c r="E157" s="28" t="s">
        <v>316</v>
      </c>
    </row>
    <row r="158">
      <c r="A158" s="32">
        <v>802</v>
      </c>
      <c r="B158" s="27" t="s">
        <v>317</v>
      </c>
      <c r="C158" s="28"/>
      <c r="D158" s="28"/>
      <c r="E158" s="28" t="s">
        <v>318</v>
      </c>
    </row>
    <row r="159">
      <c r="A159" s="28" t="s">
        <v>20</v>
      </c>
      <c r="B159" s="27" t="s">
        <v>319</v>
      </c>
      <c r="C159" s="28" t="s">
        <v>22</v>
      </c>
      <c r="D159" s="32">
        <v>19470</v>
      </c>
      <c r="E159" s="28" t="s">
        <v>320</v>
      </c>
    </row>
    <row r="160">
      <c r="A160" s="28" t="s">
        <v>24</v>
      </c>
      <c r="B160" s="27" t="s">
        <v>321</v>
      </c>
      <c r="C160" s="28" t="s">
        <v>22</v>
      </c>
      <c r="D160" s="32">
        <v>25960</v>
      </c>
      <c r="E160" s="28" t="s">
        <v>322</v>
      </c>
    </row>
    <row r="161">
      <c r="A161" s="32">
        <v>803</v>
      </c>
      <c r="B161" s="27" t="s">
        <v>323</v>
      </c>
      <c r="C161" s="28" t="s">
        <v>22</v>
      </c>
      <c r="D161" s="32">
        <v>500</v>
      </c>
      <c r="E161" s="28" t="s">
        <v>324</v>
      </c>
    </row>
    <row r="162" ht="38.25">
      <c r="A162" s="32">
        <v>804</v>
      </c>
      <c r="B162" s="27" t="s">
        <v>325</v>
      </c>
      <c r="C162" s="28"/>
      <c r="D162" s="28"/>
      <c r="E162" s="28" t="s">
        <v>326</v>
      </c>
    </row>
    <row r="163">
      <c r="A163" s="28" t="s">
        <v>20</v>
      </c>
      <c r="B163" s="27" t="s">
        <v>327</v>
      </c>
      <c r="C163" s="28" t="s">
        <v>22</v>
      </c>
      <c r="D163" s="32">
        <v>78179</v>
      </c>
      <c r="E163" s="28" t="s">
        <v>328</v>
      </c>
    </row>
    <row r="164">
      <c r="A164" s="28" t="s">
        <v>24</v>
      </c>
      <c r="B164" s="27" t="s">
        <v>329</v>
      </c>
      <c r="C164" s="28" t="s">
        <v>22</v>
      </c>
      <c r="D164" s="32">
        <v>88000</v>
      </c>
      <c r="E164" s="28" t="s">
        <v>330</v>
      </c>
    </row>
    <row r="165">
      <c r="A165" s="28" t="s">
        <v>42</v>
      </c>
      <c r="B165" s="27" t="s">
        <v>331</v>
      </c>
      <c r="C165" s="28" t="s">
        <v>22</v>
      </c>
      <c r="D165" s="32">
        <v>190261</v>
      </c>
      <c r="E165" s="28" t="s">
        <v>332</v>
      </c>
    </row>
    <row r="166" ht="63.75">
      <c r="A166" s="32">
        <v>805</v>
      </c>
      <c r="B166" s="27" t="s">
        <v>333</v>
      </c>
      <c r="C166" s="28" t="s">
        <v>22</v>
      </c>
      <c r="D166" s="32">
        <v>61666</v>
      </c>
      <c r="E166" s="28" t="s">
        <v>334</v>
      </c>
    </row>
    <row r="167" ht="76.5">
      <c r="A167" s="32">
        <v>806</v>
      </c>
      <c r="B167" s="27" t="s">
        <v>335</v>
      </c>
      <c r="C167" s="28" t="s">
        <v>22</v>
      </c>
      <c r="D167" s="32">
        <v>227480</v>
      </c>
      <c r="E167" s="28" t="s">
        <v>336</v>
      </c>
    </row>
    <row r="168">
      <c r="A168" s="32"/>
      <c r="B168" s="32"/>
      <c r="C168" s="32"/>
      <c r="D168" s="32"/>
    </row>
    <row r="169">
      <c r="A169" s="28" t="s">
        <v>337</v>
      </c>
      <c r="B169" s="28"/>
      <c r="C169" s="28"/>
      <c r="D169" s="28"/>
    </row>
    <row r="170" ht="153">
      <c r="A170" s="32">
        <v>901</v>
      </c>
      <c r="B170" s="27" t="s">
        <v>338</v>
      </c>
      <c r="C170" s="17" t="s">
        <v>22</v>
      </c>
      <c r="D170" s="32">
        <v>173461</v>
      </c>
      <c r="E170" s="32" t="s">
        <v>339</v>
      </c>
    </row>
    <row r="171" ht="153">
      <c r="A171" s="38">
        <v>902</v>
      </c>
      <c r="B171" s="27" t="s">
        <v>340</v>
      </c>
      <c r="C171" s="17" t="s">
        <v>22</v>
      </c>
      <c r="D171" s="32">
        <v>197146</v>
      </c>
      <c r="E171" s="32" t="s">
        <v>341</v>
      </c>
    </row>
    <row r="172">
      <c r="A172" s="32">
        <v>903</v>
      </c>
      <c r="B172" s="27" t="s">
        <v>342</v>
      </c>
      <c r="C172" s="17" t="s">
        <v>22</v>
      </c>
      <c r="D172" s="32">
        <v>694</v>
      </c>
      <c r="E172" s="32" t="s">
        <v>343</v>
      </c>
    </row>
    <row r="173">
      <c r="A173" s="32">
        <v>904</v>
      </c>
      <c r="B173" s="27" t="s">
        <v>344</v>
      </c>
      <c r="C173" s="17" t="s">
        <v>22</v>
      </c>
      <c r="D173" s="32">
        <v>2333</v>
      </c>
      <c r="E173" s="32" t="s">
        <v>345</v>
      </c>
    </row>
    <row r="174" ht="51">
      <c r="A174" s="32">
        <v>905</v>
      </c>
      <c r="B174" s="27" t="s">
        <v>346</v>
      </c>
      <c r="D174" s="28"/>
      <c r="E174" s="32" t="s">
        <v>347</v>
      </c>
    </row>
    <row r="175">
      <c r="A175" s="28" t="s">
        <v>20</v>
      </c>
      <c r="B175" s="27" t="s">
        <v>348</v>
      </c>
      <c r="C175" s="17" t="s">
        <v>30</v>
      </c>
      <c r="D175" s="32">
        <v>497388</v>
      </c>
      <c r="E175" s="28" t="s">
        <v>349</v>
      </c>
    </row>
    <row r="176">
      <c r="A176" s="28" t="s">
        <v>24</v>
      </c>
      <c r="B176" s="27" t="s">
        <v>350</v>
      </c>
      <c r="C176" s="17" t="s">
        <v>30</v>
      </c>
      <c r="D176" s="32">
        <v>623709</v>
      </c>
      <c r="E176" s="28" t="s">
        <v>351</v>
      </c>
    </row>
    <row r="177">
      <c r="A177" s="28" t="s">
        <v>42</v>
      </c>
      <c r="B177" s="27" t="s">
        <v>352</v>
      </c>
      <c r="C177" s="17" t="s">
        <v>30</v>
      </c>
      <c r="D177" s="32">
        <v>856680</v>
      </c>
      <c r="E177" s="28" t="s">
        <v>353</v>
      </c>
    </row>
    <row r="178" ht="24.75" customHeight="1">
      <c r="A178" s="28" t="s">
        <v>69</v>
      </c>
      <c r="B178" s="27" t="s">
        <v>354</v>
      </c>
      <c r="C178" s="17" t="s">
        <v>30</v>
      </c>
      <c r="D178" s="32">
        <v>1200650</v>
      </c>
      <c r="E178" s="28" t="s">
        <v>355</v>
      </c>
    </row>
    <row r="179" ht="25.5">
      <c r="A179" s="32">
        <v>906</v>
      </c>
      <c r="B179" s="27" t="s">
        <v>356</v>
      </c>
      <c r="C179" s="17" t="s">
        <v>22</v>
      </c>
      <c r="D179" s="32">
        <v>132521</v>
      </c>
      <c r="E179" s="32" t="s">
        <v>357</v>
      </c>
    </row>
    <row r="180">
      <c r="A180" s="32">
        <v>907</v>
      </c>
      <c r="B180" s="27" t="s">
        <v>358</v>
      </c>
      <c r="D180" s="28"/>
      <c r="E180" s="32" t="s">
        <v>359</v>
      </c>
    </row>
    <row r="181">
      <c r="A181" s="28" t="s">
        <v>20</v>
      </c>
      <c r="B181" s="42" t="s">
        <v>360</v>
      </c>
      <c r="C181" s="17" t="s">
        <v>22</v>
      </c>
      <c r="D181" s="32">
        <v>146008</v>
      </c>
      <c r="E181" s="28" t="s">
        <v>361</v>
      </c>
    </row>
    <row r="182">
      <c r="A182" s="28" t="s">
        <v>24</v>
      </c>
      <c r="B182" s="42" t="s">
        <v>362</v>
      </c>
      <c r="C182" s="17" t="s">
        <v>22</v>
      </c>
      <c r="D182" s="32">
        <v>217980</v>
      </c>
      <c r="E182" s="28" t="s">
        <v>363</v>
      </c>
    </row>
    <row r="183">
      <c r="A183" s="28" t="s">
        <v>42</v>
      </c>
      <c r="B183" s="42" t="s">
        <v>364</v>
      </c>
      <c r="C183" s="17" t="s">
        <v>22</v>
      </c>
      <c r="D183" s="32">
        <v>382594</v>
      </c>
      <c r="E183" s="28" t="s">
        <v>365</v>
      </c>
    </row>
    <row r="184">
      <c r="A184" s="32">
        <v>908</v>
      </c>
      <c r="B184" s="27" t="s">
        <v>366</v>
      </c>
      <c r="D184" s="28"/>
      <c r="E184" s="32" t="s">
        <v>367</v>
      </c>
    </row>
    <row r="185" ht="38.25">
      <c r="A185" s="28" t="s">
        <v>20</v>
      </c>
      <c r="B185" s="27" t="s">
        <v>368</v>
      </c>
      <c r="C185" s="17" t="s">
        <v>22</v>
      </c>
      <c r="D185" s="32">
        <v>39150</v>
      </c>
      <c r="E185" s="28" t="s">
        <v>369</v>
      </c>
    </row>
    <row r="186">
      <c r="A186" s="28" t="s">
        <v>24</v>
      </c>
      <c r="B186" s="27" t="s">
        <v>370</v>
      </c>
      <c r="C186" s="17" t="s">
        <v>22</v>
      </c>
      <c r="D186" s="32">
        <v>32673</v>
      </c>
      <c r="E186" s="28" t="s">
        <v>371</v>
      </c>
    </row>
    <row r="187">
      <c r="A187" s="28" t="s">
        <v>42</v>
      </c>
      <c r="B187" s="27" t="s">
        <v>372</v>
      </c>
      <c r="C187" s="17" t="s">
        <v>22</v>
      </c>
      <c r="D187" s="32">
        <v>50365</v>
      </c>
      <c r="E187" s="28" t="s">
        <v>373</v>
      </c>
    </row>
    <row r="188">
      <c r="A188" s="28" t="s">
        <v>69</v>
      </c>
      <c r="B188" s="27" t="s">
        <v>374</v>
      </c>
      <c r="C188" s="17" t="s">
        <v>375</v>
      </c>
      <c r="D188" s="32">
        <v>53172</v>
      </c>
      <c r="E188" s="28" t="s">
        <v>376</v>
      </c>
    </row>
    <row r="189">
      <c r="A189" s="32">
        <v>909</v>
      </c>
      <c r="B189" s="27" t="s">
        <v>377</v>
      </c>
      <c r="D189" s="28"/>
      <c r="E189" s="32" t="s">
        <v>378</v>
      </c>
    </row>
    <row r="190">
      <c r="A190" s="28" t="s">
        <v>20</v>
      </c>
      <c r="B190" s="27" t="s">
        <v>379</v>
      </c>
      <c r="C190" s="17" t="s">
        <v>22</v>
      </c>
      <c r="D190" s="32">
        <v>34121</v>
      </c>
      <c r="E190" s="28" t="s">
        <v>380</v>
      </c>
    </row>
    <row r="191">
      <c r="A191" s="28" t="s">
        <v>24</v>
      </c>
      <c r="B191" s="27" t="s">
        <v>381</v>
      </c>
      <c r="C191" s="17" t="s">
        <v>22</v>
      </c>
      <c r="D191" s="32">
        <v>65280</v>
      </c>
      <c r="E191" s="28" t="s">
        <v>382</v>
      </c>
    </row>
    <row r="192">
      <c r="A192" s="28" t="s">
        <v>42</v>
      </c>
      <c r="B192" s="27" t="s">
        <v>383</v>
      </c>
      <c r="C192" s="17" t="s">
        <v>22</v>
      </c>
      <c r="D192" s="32">
        <v>7268</v>
      </c>
      <c r="E192" s="28" t="s">
        <v>384</v>
      </c>
    </row>
    <row r="193" ht="25.5">
      <c r="A193" s="43" t="s">
        <v>69</v>
      </c>
      <c r="B193" s="27" t="s">
        <v>385</v>
      </c>
      <c r="C193" s="17" t="s">
        <v>22</v>
      </c>
      <c r="D193" s="32">
        <v>1439</v>
      </c>
      <c r="E193" s="28" t="s">
        <v>386</v>
      </c>
    </row>
    <row r="194">
      <c r="A194" s="28" t="s">
        <v>72</v>
      </c>
      <c r="B194" s="27" t="s">
        <v>387</v>
      </c>
      <c r="D194" s="44">
        <v>80183</v>
      </c>
      <c r="E194" s="28" t="s">
        <v>388</v>
      </c>
    </row>
    <row r="195">
      <c r="A195" s="28" t="s">
        <v>75</v>
      </c>
      <c r="B195" s="27" t="s">
        <v>389</v>
      </c>
      <c r="C195" s="17" t="s">
        <v>22</v>
      </c>
      <c r="D195" s="32">
        <v>17199</v>
      </c>
      <c r="E195" s="28" t="s">
        <v>390</v>
      </c>
    </row>
    <row r="196">
      <c r="A196" s="28" t="s">
        <v>204</v>
      </c>
      <c r="B196" s="27" t="s">
        <v>391</v>
      </c>
      <c r="C196" s="17" t="s">
        <v>22</v>
      </c>
      <c r="D196" s="32">
        <v>49373</v>
      </c>
      <c r="E196" s="28" t="s">
        <v>392</v>
      </c>
    </row>
    <row r="197">
      <c r="A197" s="32">
        <v>910</v>
      </c>
      <c r="B197" s="27" t="s">
        <v>393</v>
      </c>
      <c r="C197" s="17" t="s">
        <v>22</v>
      </c>
      <c r="D197" s="32">
        <v>13177</v>
      </c>
      <c r="E197" s="32" t="s">
        <v>394</v>
      </c>
    </row>
    <row r="198" ht="38.25">
      <c r="A198" s="32">
        <v>911</v>
      </c>
      <c r="B198" s="27" t="s">
        <v>395</v>
      </c>
      <c r="C198" s="17" t="s">
        <v>22</v>
      </c>
      <c r="D198" s="32">
        <v>66716</v>
      </c>
      <c r="E198" s="32" t="s">
        <v>396</v>
      </c>
    </row>
    <row r="199" ht="25.5">
      <c r="A199" s="32">
        <v>912</v>
      </c>
      <c r="B199" s="27" t="s">
        <v>397</v>
      </c>
      <c r="C199" s="28" t="s">
        <v>398</v>
      </c>
      <c r="D199" s="32">
        <v>69582</v>
      </c>
      <c r="E199" s="32" t="s">
        <v>399</v>
      </c>
    </row>
    <row r="200">
      <c r="A200" s="32"/>
      <c r="B200" s="32"/>
      <c r="C200" s="32"/>
      <c r="D200" s="32"/>
    </row>
    <row r="201">
      <c r="A201" s="34" t="s">
        <v>400</v>
      </c>
      <c r="B201" s="34"/>
      <c r="C201" s="34"/>
      <c r="D201" s="34"/>
    </row>
    <row r="202" ht="25.5">
      <c r="A202" s="32">
        <v>1001</v>
      </c>
      <c r="B202" s="27" t="s">
        <v>401</v>
      </c>
      <c r="C202" s="28" t="s">
        <v>22</v>
      </c>
      <c r="D202" s="32">
        <v>3715</v>
      </c>
      <c r="E202" s="32" t="s">
        <v>402</v>
      </c>
    </row>
    <row r="203">
      <c r="A203" s="32">
        <v>1002</v>
      </c>
      <c r="B203" s="27" t="s">
        <v>403</v>
      </c>
      <c r="C203" s="28"/>
      <c r="D203" s="28"/>
      <c r="E203" s="32" t="s">
        <v>404</v>
      </c>
    </row>
    <row r="204" ht="25.5">
      <c r="A204" s="28" t="s">
        <v>20</v>
      </c>
      <c r="B204" s="27" t="s">
        <v>405</v>
      </c>
      <c r="C204" s="28" t="s">
        <v>22</v>
      </c>
      <c r="D204" s="32">
        <v>4416</v>
      </c>
      <c r="E204" s="28" t="s">
        <v>406</v>
      </c>
    </row>
    <row r="205" ht="25.5">
      <c r="A205" s="28" t="s">
        <v>24</v>
      </c>
      <c r="B205" s="27" t="s">
        <v>407</v>
      </c>
      <c r="C205" s="28" t="s">
        <v>22</v>
      </c>
      <c r="D205" s="32">
        <v>5617</v>
      </c>
      <c r="E205" s="28" t="s">
        <v>408</v>
      </c>
    </row>
    <row r="206" ht="25.5">
      <c r="A206" s="28" t="s">
        <v>42</v>
      </c>
      <c r="B206" s="27" t="s">
        <v>409</v>
      </c>
      <c r="C206" s="28" t="s">
        <v>22</v>
      </c>
      <c r="D206" s="32">
        <v>6282</v>
      </c>
      <c r="E206" s="28" t="s">
        <v>410</v>
      </c>
    </row>
    <row r="207">
      <c r="A207" s="28" t="s">
        <v>69</v>
      </c>
      <c r="B207" s="27" t="s">
        <v>411</v>
      </c>
      <c r="C207" s="28" t="s">
        <v>22</v>
      </c>
      <c r="D207" s="32">
        <v>1495</v>
      </c>
      <c r="E207" s="28" t="s">
        <v>412</v>
      </c>
    </row>
    <row r="208" ht="114.75">
      <c r="A208" s="43" t="s">
        <v>72</v>
      </c>
      <c r="B208" s="27" t="s">
        <v>413</v>
      </c>
      <c r="C208" s="28" t="s">
        <v>30</v>
      </c>
      <c r="D208" s="32">
        <v>10108</v>
      </c>
      <c r="E208" s="28" t="s">
        <v>414</v>
      </c>
    </row>
    <row r="209" ht="25.5">
      <c r="A209" s="28" t="s">
        <v>75</v>
      </c>
      <c r="B209" s="27" t="s">
        <v>415</v>
      </c>
      <c r="C209" s="28" t="s">
        <v>22</v>
      </c>
      <c r="D209" s="32">
        <v>6222</v>
      </c>
      <c r="E209" s="28" t="s">
        <v>416</v>
      </c>
    </row>
    <row r="210" ht="25.5">
      <c r="A210" s="28" t="s">
        <v>204</v>
      </c>
      <c r="B210" s="27" t="s">
        <v>417</v>
      </c>
      <c r="C210" s="28" t="s">
        <v>22</v>
      </c>
      <c r="D210" s="32">
        <v>5113</v>
      </c>
      <c r="E210" s="28" t="s">
        <v>418</v>
      </c>
    </row>
    <row r="211">
      <c r="A211" s="28" t="s">
        <v>419</v>
      </c>
      <c r="B211" s="27" t="s">
        <v>420</v>
      </c>
      <c r="C211" s="28" t="s">
        <v>22</v>
      </c>
      <c r="D211" s="32">
        <v>5992</v>
      </c>
      <c r="E211" s="28" t="s">
        <v>421</v>
      </c>
    </row>
    <row r="212" ht="25.5">
      <c r="A212" s="28" t="s">
        <v>422</v>
      </c>
      <c r="B212" s="27" t="s">
        <v>423</v>
      </c>
      <c r="C212" s="28" t="s">
        <v>22</v>
      </c>
      <c r="D212" s="32">
        <v>4265</v>
      </c>
      <c r="E212" s="28" t="s">
        <v>424</v>
      </c>
    </row>
    <row r="213">
      <c r="A213" s="32">
        <v>1003</v>
      </c>
      <c r="B213" s="27" t="s">
        <v>425</v>
      </c>
      <c r="C213" s="28"/>
      <c r="D213" s="28"/>
      <c r="E213" s="32" t="s">
        <v>426</v>
      </c>
    </row>
    <row r="214">
      <c r="A214" s="28" t="s">
        <v>20</v>
      </c>
      <c r="B214" s="27" t="s">
        <v>427</v>
      </c>
      <c r="C214" s="28" t="s">
        <v>428</v>
      </c>
      <c r="D214" s="32">
        <v>17649</v>
      </c>
      <c r="E214" s="28" t="s">
        <v>429</v>
      </c>
    </row>
    <row r="215">
      <c r="A215" s="28" t="s">
        <v>24</v>
      </c>
      <c r="B215" s="27" t="s">
        <v>430</v>
      </c>
      <c r="C215" s="28" t="s">
        <v>159</v>
      </c>
      <c r="D215" s="32">
        <v>35</v>
      </c>
      <c r="E215" s="28" t="s">
        <v>431</v>
      </c>
    </row>
    <row r="216" ht="25.5">
      <c r="A216" s="28" t="s">
        <v>42</v>
      </c>
      <c r="B216" s="27" t="s">
        <v>432</v>
      </c>
      <c r="C216" s="28" t="s">
        <v>159</v>
      </c>
      <c r="D216" s="32">
        <v>88</v>
      </c>
      <c r="E216" s="28" t="s">
        <v>433</v>
      </c>
    </row>
    <row r="217" ht="38.25">
      <c r="A217" s="28" t="s">
        <v>69</v>
      </c>
      <c r="B217" s="27" t="s">
        <v>434</v>
      </c>
      <c r="C217" s="28" t="s">
        <v>159</v>
      </c>
      <c r="D217" s="32">
        <v>304</v>
      </c>
      <c r="E217" s="28" t="s">
        <v>435</v>
      </c>
    </row>
    <row r="218" ht="38.25">
      <c r="A218" s="28" t="s">
        <v>72</v>
      </c>
      <c r="B218" s="27" t="s">
        <v>436</v>
      </c>
      <c r="C218" s="28" t="s">
        <v>428</v>
      </c>
      <c r="D218" s="32">
        <v>413592</v>
      </c>
      <c r="E218" s="28" t="s">
        <v>437</v>
      </c>
    </row>
    <row r="219">
      <c r="A219" s="43" t="s">
        <v>75</v>
      </c>
      <c r="B219" s="27" t="s">
        <v>438</v>
      </c>
      <c r="C219" s="28" t="s">
        <v>428</v>
      </c>
      <c r="D219" s="32">
        <v>9623</v>
      </c>
      <c r="E219" s="28" t="s">
        <v>439</v>
      </c>
    </row>
    <row r="220">
      <c r="A220" s="28" t="s">
        <v>204</v>
      </c>
      <c r="B220" s="27" t="s">
        <v>440</v>
      </c>
      <c r="C220" s="28" t="s">
        <v>159</v>
      </c>
      <c r="D220" s="32">
        <v>37</v>
      </c>
      <c r="E220" s="28" t="s">
        <v>441</v>
      </c>
    </row>
    <row r="221">
      <c r="A221" s="32" t="s">
        <v>442</v>
      </c>
      <c r="B221" s="27" t="s">
        <v>443</v>
      </c>
      <c r="C221" s="28"/>
      <c r="D221" s="28"/>
      <c r="E221" s="32" t="s">
        <v>444</v>
      </c>
    </row>
    <row r="222">
      <c r="A222" s="28" t="s">
        <v>20</v>
      </c>
      <c r="B222" s="27" t="s">
        <v>445</v>
      </c>
      <c r="C222" s="28" t="s">
        <v>22</v>
      </c>
      <c r="D222" s="32">
        <v>1492</v>
      </c>
      <c r="E222" s="28" t="s">
        <v>446</v>
      </c>
    </row>
    <row r="223">
      <c r="A223" s="28" t="s">
        <v>24</v>
      </c>
      <c r="B223" s="27" t="s">
        <v>447</v>
      </c>
      <c r="C223" s="28" t="s">
        <v>22</v>
      </c>
      <c r="D223" s="32">
        <v>2469</v>
      </c>
      <c r="E223" s="28" t="s">
        <v>448</v>
      </c>
    </row>
    <row r="224">
      <c r="A224" s="28" t="s">
        <v>42</v>
      </c>
      <c r="B224" s="27" t="s">
        <v>449</v>
      </c>
      <c r="C224" s="28" t="s">
        <v>22</v>
      </c>
      <c r="D224" s="32">
        <v>3740</v>
      </c>
      <c r="E224" s="28" t="s">
        <v>450</v>
      </c>
    </row>
    <row r="225">
      <c r="A225" s="28" t="s">
        <v>69</v>
      </c>
      <c r="B225" s="27" t="s">
        <v>451</v>
      </c>
      <c r="C225" s="28" t="s">
        <v>22</v>
      </c>
      <c r="D225" s="32">
        <v>2157</v>
      </c>
      <c r="E225" s="28" t="s">
        <v>452</v>
      </c>
    </row>
    <row r="226" ht="38.25">
      <c r="A226" s="32">
        <v>1005</v>
      </c>
      <c r="B226" s="27" t="s">
        <v>453</v>
      </c>
      <c r="C226" s="28"/>
      <c r="D226" s="28"/>
      <c r="E226" s="32" t="s">
        <v>454</v>
      </c>
    </row>
    <row r="227">
      <c r="A227" s="28" t="s">
        <v>20</v>
      </c>
      <c r="B227" s="27" t="s">
        <v>455</v>
      </c>
      <c r="C227" s="28" t="s">
        <v>22</v>
      </c>
      <c r="D227" s="32">
        <v>1817</v>
      </c>
      <c r="E227" s="28" t="s">
        <v>456</v>
      </c>
    </row>
    <row r="228">
      <c r="A228" s="28" t="s">
        <v>24</v>
      </c>
      <c r="B228" s="27" t="s">
        <v>457</v>
      </c>
      <c r="C228" s="28" t="s">
        <v>22</v>
      </c>
      <c r="D228" s="32">
        <v>3240</v>
      </c>
      <c r="E228" s="28" t="s">
        <v>458</v>
      </c>
    </row>
    <row r="229">
      <c r="A229" s="32">
        <v>1006</v>
      </c>
      <c r="B229" s="27" t="s">
        <v>459</v>
      </c>
      <c r="C229" s="28"/>
      <c r="D229" s="28"/>
      <c r="E229" s="32" t="s">
        <v>460</v>
      </c>
    </row>
    <row r="230" ht="25.5">
      <c r="A230" s="28" t="s">
        <v>20</v>
      </c>
      <c r="B230" s="27" t="s">
        <v>461</v>
      </c>
      <c r="C230" s="28" t="s">
        <v>22</v>
      </c>
      <c r="D230" s="32">
        <v>909</v>
      </c>
      <c r="E230" s="28" t="s">
        <v>462</v>
      </c>
    </row>
    <row r="231" ht="25.5">
      <c r="A231" s="28" t="s">
        <v>24</v>
      </c>
      <c r="B231" s="27" t="s">
        <v>463</v>
      </c>
      <c r="C231" s="28" t="s">
        <v>22</v>
      </c>
      <c r="D231" s="32">
        <v>999</v>
      </c>
      <c r="E231" s="28" t="s">
        <v>464</v>
      </c>
    </row>
    <row r="232">
      <c r="A232" s="32">
        <v>1007</v>
      </c>
      <c r="B232" s="27" t="s">
        <v>465</v>
      </c>
      <c r="C232" s="28"/>
      <c r="D232" s="28"/>
      <c r="E232" s="32" t="s">
        <v>466</v>
      </c>
    </row>
    <row r="233" ht="38.25">
      <c r="A233" s="28" t="s">
        <v>20</v>
      </c>
      <c r="B233" s="27" t="s">
        <v>467</v>
      </c>
      <c r="C233" s="28" t="s">
        <v>30</v>
      </c>
      <c r="D233" s="32">
        <v>5195</v>
      </c>
      <c r="E233" s="28" t="s">
        <v>468</v>
      </c>
    </row>
    <row r="234" ht="25.5">
      <c r="A234" s="43" t="s">
        <v>24</v>
      </c>
      <c r="B234" s="27" t="s">
        <v>469</v>
      </c>
      <c r="C234" s="28" t="s">
        <v>30</v>
      </c>
      <c r="D234" s="32">
        <v>389</v>
      </c>
      <c r="E234" s="28" t="s">
        <v>470</v>
      </c>
    </row>
    <row r="235" ht="25.5">
      <c r="A235" s="32">
        <v>1008</v>
      </c>
      <c r="B235" s="27" t="s">
        <v>471</v>
      </c>
      <c r="C235" s="28"/>
      <c r="D235" s="28"/>
      <c r="E235" s="32" t="s">
        <v>472</v>
      </c>
    </row>
    <row r="236">
      <c r="A236" s="28" t="s">
        <v>20</v>
      </c>
      <c r="B236" s="27" t="s">
        <v>473</v>
      </c>
      <c r="C236" s="28" t="s">
        <v>22</v>
      </c>
      <c r="D236" s="32">
        <v>7674</v>
      </c>
      <c r="E236" s="28" t="s">
        <v>474</v>
      </c>
    </row>
    <row r="237">
      <c r="A237" s="28" t="s">
        <v>24</v>
      </c>
      <c r="B237" s="27" t="s">
        <v>475</v>
      </c>
      <c r="C237" s="28" t="s">
        <v>22</v>
      </c>
      <c r="D237" s="32">
        <v>9278</v>
      </c>
      <c r="E237" s="28" t="s">
        <v>476</v>
      </c>
    </row>
    <row r="238">
      <c r="A238" s="28" t="s">
        <v>42</v>
      </c>
      <c r="B238" s="27" t="s">
        <v>477</v>
      </c>
      <c r="C238" s="28" t="s">
        <v>22</v>
      </c>
      <c r="D238" s="32">
        <v>11167</v>
      </c>
      <c r="E238" s="28" t="s">
        <v>478</v>
      </c>
    </row>
    <row r="239">
      <c r="A239" s="32">
        <v>1009</v>
      </c>
      <c r="B239" s="27" t="s">
        <v>479</v>
      </c>
      <c r="C239" s="28"/>
      <c r="D239" s="28"/>
      <c r="E239" s="32" t="s">
        <v>480</v>
      </c>
    </row>
    <row r="240" ht="38.25">
      <c r="A240" s="28" t="s">
        <v>20</v>
      </c>
      <c r="B240" s="27" t="s">
        <v>481</v>
      </c>
      <c r="C240" s="28" t="s">
        <v>428</v>
      </c>
      <c r="D240" s="32">
        <v>66223</v>
      </c>
      <c r="E240" s="28" t="s">
        <v>482</v>
      </c>
    </row>
    <row r="241">
      <c r="A241" s="28" t="s">
        <v>24</v>
      </c>
      <c r="B241" s="27" t="s">
        <v>483</v>
      </c>
      <c r="C241" s="28" t="s">
        <v>22</v>
      </c>
      <c r="D241" s="32">
        <v>85</v>
      </c>
      <c r="E241" s="28" t="s">
        <v>484</v>
      </c>
    </row>
    <row r="242">
      <c r="A242" s="28" t="s">
        <v>42</v>
      </c>
      <c r="B242" s="27" t="s">
        <v>485</v>
      </c>
      <c r="C242" s="28" t="s">
        <v>22</v>
      </c>
      <c r="D242" s="32">
        <v>34</v>
      </c>
      <c r="E242" s="28" t="s">
        <v>486</v>
      </c>
    </row>
    <row r="243">
      <c r="A243" s="28" t="s">
        <v>69</v>
      </c>
      <c r="B243" s="27" t="s">
        <v>487</v>
      </c>
      <c r="C243" s="28" t="s">
        <v>22</v>
      </c>
      <c r="D243" s="32">
        <v>43</v>
      </c>
      <c r="E243" s="28" t="s">
        <v>488</v>
      </c>
    </row>
    <row r="244" ht="25.5">
      <c r="A244" s="28" t="s">
        <v>72</v>
      </c>
      <c r="B244" s="27" t="s">
        <v>489</v>
      </c>
      <c r="C244" s="28" t="s">
        <v>22</v>
      </c>
      <c r="D244" s="32">
        <v>1046</v>
      </c>
      <c r="E244" s="28" t="s">
        <v>490</v>
      </c>
    </row>
    <row r="245" ht="38.25">
      <c r="A245" s="28" t="s">
        <v>75</v>
      </c>
      <c r="B245" s="27" t="s">
        <v>491</v>
      </c>
      <c r="C245" s="28" t="s">
        <v>22</v>
      </c>
      <c r="D245" s="32">
        <v>1770</v>
      </c>
      <c r="E245" s="28" t="s">
        <v>492</v>
      </c>
    </row>
    <row r="246" ht="315.75" customHeight="1">
      <c r="A246" s="28" t="s">
        <v>204</v>
      </c>
      <c r="B246" s="27" t="s">
        <v>493</v>
      </c>
      <c r="C246" s="28" t="s">
        <v>22</v>
      </c>
      <c r="D246" s="32">
        <v>240421</v>
      </c>
      <c r="E246" s="28" t="s">
        <v>494</v>
      </c>
    </row>
    <row r="247" ht="25.5">
      <c r="A247" s="28" t="s">
        <v>419</v>
      </c>
      <c r="B247" s="27" t="s">
        <v>495</v>
      </c>
      <c r="C247" s="28" t="s">
        <v>22</v>
      </c>
      <c r="D247" s="32">
        <v>259600</v>
      </c>
      <c r="E247" s="28" t="s">
        <v>496</v>
      </c>
    </row>
    <row r="248" ht="25.5">
      <c r="A248" s="28" t="s">
        <v>422</v>
      </c>
      <c r="B248" s="27" t="s">
        <v>497</v>
      </c>
      <c r="C248" s="28" t="s">
        <v>22</v>
      </c>
      <c r="D248" s="32">
        <v>175230</v>
      </c>
      <c r="E248" s="28" t="s">
        <v>498</v>
      </c>
    </row>
    <row r="249" ht="25.5">
      <c r="A249" s="28" t="s">
        <v>499</v>
      </c>
      <c r="B249" s="27" t="s">
        <v>500</v>
      </c>
      <c r="C249" s="28" t="s">
        <v>22</v>
      </c>
      <c r="D249" s="32">
        <v>88783</v>
      </c>
      <c r="E249" s="28" t="s">
        <v>501</v>
      </c>
    </row>
    <row r="250" ht="25.5">
      <c r="A250" s="28" t="s">
        <v>502</v>
      </c>
      <c r="B250" s="27" t="s">
        <v>503</v>
      </c>
      <c r="C250" s="28" t="s">
        <v>22</v>
      </c>
      <c r="D250" s="32">
        <v>32645</v>
      </c>
      <c r="E250" s="28" t="s">
        <v>504</v>
      </c>
    </row>
    <row r="251">
      <c r="A251" s="32">
        <v>1010</v>
      </c>
      <c r="B251" s="27" t="s">
        <v>505</v>
      </c>
      <c r="C251" s="28"/>
      <c r="D251" s="28"/>
      <c r="E251" s="32" t="s">
        <v>506</v>
      </c>
    </row>
    <row r="252" ht="25.5">
      <c r="A252" s="28" t="s">
        <v>20</v>
      </c>
      <c r="B252" s="27" t="s">
        <v>507</v>
      </c>
      <c r="C252" s="28" t="s">
        <v>22</v>
      </c>
      <c r="D252" s="32">
        <v>27500</v>
      </c>
      <c r="E252" s="28" t="s">
        <v>508</v>
      </c>
    </row>
    <row r="253">
      <c r="A253" s="28" t="s">
        <v>24</v>
      </c>
      <c r="B253" s="27" t="s">
        <v>509</v>
      </c>
      <c r="C253" s="28" t="s">
        <v>22</v>
      </c>
      <c r="D253" s="32">
        <v>28500</v>
      </c>
      <c r="E253" s="28" t="s">
        <v>510</v>
      </c>
    </row>
    <row r="254" ht="25.5">
      <c r="A254" s="28" t="s">
        <v>42</v>
      </c>
      <c r="B254" s="27" t="s">
        <v>511</v>
      </c>
      <c r="C254" s="28" t="s">
        <v>22</v>
      </c>
      <c r="D254" s="32">
        <v>2300</v>
      </c>
      <c r="E254" s="28" t="s">
        <v>512</v>
      </c>
    </row>
    <row r="255">
      <c r="A255" s="28" t="s">
        <v>69</v>
      </c>
      <c r="B255" s="27" t="s">
        <v>513</v>
      </c>
      <c r="C255" s="28" t="s">
        <v>22</v>
      </c>
      <c r="D255" s="32">
        <v>6700</v>
      </c>
      <c r="E255" s="28" t="s">
        <v>514</v>
      </c>
    </row>
    <row r="256">
      <c r="A256" s="28" t="s">
        <v>72</v>
      </c>
      <c r="B256" s="27" t="s">
        <v>515</v>
      </c>
      <c r="C256" s="28" t="s">
        <v>22</v>
      </c>
      <c r="D256" s="32">
        <v>15727</v>
      </c>
      <c r="E256" s="28" t="s">
        <v>516</v>
      </c>
    </row>
    <row r="257">
      <c r="A257" s="28" t="s">
        <v>75</v>
      </c>
      <c r="B257" s="27" t="s">
        <v>517</v>
      </c>
      <c r="C257" s="28" t="s">
        <v>22</v>
      </c>
      <c r="D257" s="32">
        <v>29349</v>
      </c>
      <c r="E257" s="28" t="s">
        <v>518</v>
      </c>
    </row>
    <row r="258">
      <c r="A258" s="28" t="s">
        <v>204</v>
      </c>
      <c r="B258" s="27" t="s">
        <v>519</v>
      </c>
      <c r="C258" s="28" t="s">
        <v>22</v>
      </c>
      <c r="D258" s="32">
        <v>8411</v>
      </c>
      <c r="E258" s="28" t="s">
        <v>520</v>
      </c>
    </row>
    <row r="259">
      <c r="A259" s="32">
        <v>1011</v>
      </c>
      <c r="B259" s="27" t="s">
        <v>521</v>
      </c>
      <c r="C259" s="28"/>
      <c r="D259" s="28"/>
      <c r="E259" s="32" t="s">
        <v>522</v>
      </c>
    </row>
    <row r="260" ht="38.25">
      <c r="A260" s="28" t="s">
        <v>20</v>
      </c>
      <c r="B260" s="27" t="s">
        <v>523</v>
      </c>
      <c r="C260" s="28" t="s">
        <v>22</v>
      </c>
      <c r="D260" s="32">
        <v>52</v>
      </c>
      <c r="E260" s="28" t="s">
        <v>524</v>
      </c>
    </row>
    <row r="261" ht="25.5">
      <c r="A261" s="28" t="s">
        <v>24</v>
      </c>
      <c r="B261" s="27" t="s">
        <v>525</v>
      </c>
      <c r="C261" s="28" t="s">
        <v>22</v>
      </c>
      <c r="D261" s="32">
        <v>574</v>
      </c>
      <c r="E261" s="28" t="s">
        <v>526</v>
      </c>
    </row>
    <row r="262">
      <c r="A262" s="28" t="s">
        <v>42</v>
      </c>
      <c r="B262" s="27" t="s">
        <v>527</v>
      </c>
      <c r="C262" s="28" t="s">
        <v>22</v>
      </c>
      <c r="D262" s="32">
        <v>32</v>
      </c>
      <c r="E262" s="28" t="s">
        <v>528</v>
      </c>
    </row>
    <row r="263" ht="25.5">
      <c r="A263" s="28" t="s">
        <v>69</v>
      </c>
      <c r="B263" s="27" t="s">
        <v>529</v>
      </c>
      <c r="C263" s="28" t="s">
        <v>22</v>
      </c>
      <c r="D263" s="32">
        <v>35761</v>
      </c>
      <c r="E263" s="28" t="s">
        <v>530</v>
      </c>
    </row>
    <row r="264" ht="25.5">
      <c r="A264" s="28" t="s">
        <v>72</v>
      </c>
      <c r="B264" s="27" t="s">
        <v>531</v>
      </c>
      <c r="C264" s="28" t="s">
        <v>22</v>
      </c>
      <c r="D264" s="32">
        <v>47074</v>
      </c>
      <c r="E264" s="28" t="s">
        <v>532</v>
      </c>
    </row>
    <row r="265">
      <c r="A265" s="28"/>
      <c r="B265" s="28"/>
      <c r="C265" s="28"/>
      <c r="D265" s="28"/>
    </row>
    <row r="266">
      <c r="A266" s="34" t="s">
        <v>533</v>
      </c>
      <c r="B266" s="34"/>
      <c r="C266" s="34"/>
      <c r="D266" s="34"/>
    </row>
    <row r="267" ht="38.25">
      <c r="A267" s="32">
        <v>1101</v>
      </c>
      <c r="B267" s="27" t="s">
        <v>534</v>
      </c>
      <c r="C267" s="28" t="s">
        <v>22</v>
      </c>
      <c r="D267" s="32">
        <v>7027</v>
      </c>
      <c r="E267" s="32" t="s">
        <v>535</v>
      </c>
    </row>
    <row r="268" ht="25.5">
      <c r="A268" s="32">
        <v>1102</v>
      </c>
      <c r="B268" s="27" t="s">
        <v>536</v>
      </c>
      <c r="C268" s="28" t="s">
        <v>22</v>
      </c>
      <c r="D268" s="32">
        <v>23724</v>
      </c>
      <c r="E268" s="32" t="s">
        <v>537</v>
      </c>
    </row>
    <row r="269" ht="25.5">
      <c r="A269" s="32">
        <v>1103</v>
      </c>
      <c r="B269" s="27" t="s">
        <v>538</v>
      </c>
      <c r="C269" s="28" t="s">
        <v>30</v>
      </c>
      <c r="D269" s="32">
        <v>3836</v>
      </c>
      <c r="E269" s="32" t="s">
        <v>539</v>
      </c>
    </row>
    <row r="270">
      <c r="A270" s="32">
        <v>1104</v>
      </c>
      <c r="B270" s="27" t="s">
        <v>540</v>
      </c>
      <c r="C270" s="28" t="s">
        <v>30</v>
      </c>
      <c r="D270" s="32">
        <v>3821</v>
      </c>
      <c r="E270" s="32" t="s">
        <v>541</v>
      </c>
    </row>
    <row r="271">
      <c r="A271" s="32">
        <v>1105</v>
      </c>
      <c r="B271" s="27" t="s">
        <v>542</v>
      </c>
      <c r="C271" s="28" t="s">
        <v>22</v>
      </c>
      <c r="D271" s="32">
        <v>4634</v>
      </c>
      <c r="E271" s="32" t="s">
        <v>543</v>
      </c>
    </row>
    <row r="272" ht="25.5">
      <c r="A272" s="32">
        <v>1106</v>
      </c>
      <c r="B272" s="27" t="s">
        <v>544</v>
      </c>
      <c r="C272" s="28" t="s">
        <v>22</v>
      </c>
      <c r="D272" s="32">
        <v>4803</v>
      </c>
      <c r="E272" s="32" t="s">
        <v>545</v>
      </c>
    </row>
    <row r="273">
      <c r="A273" s="32"/>
      <c r="B273" s="32"/>
      <c r="C273" s="32"/>
      <c r="D273" s="32"/>
    </row>
    <row r="274">
      <c r="A274" s="34" t="s">
        <v>546</v>
      </c>
      <c r="B274" s="34"/>
      <c r="C274" s="34"/>
      <c r="D274" s="34"/>
    </row>
    <row r="275" ht="25.5">
      <c r="A275" s="32">
        <v>1301</v>
      </c>
      <c r="B275" s="27" t="s">
        <v>547</v>
      </c>
      <c r="C275" s="28" t="s">
        <v>22</v>
      </c>
      <c r="D275" s="32">
        <v>9297</v>
      </c>
      <c r="E275" s="32" t="s">
        <v>548</v>
      </c>
    </row>
    <row r="276" ht="25.5">
      <c r="A276" s="32">
        <v>1302</v>
      </c>
      <c r="B276" s="27" t="s">
        <v>549</v>
      </c>
      <c r="C276" s="28" t="s">
        <v>22</v>
      </c>
      <c r="D276" s="32">
        <v>15500</v>
      </c>
      <c r="E276" s="32" t="s">
        <v>550</v>
      </c>
    </row>
    <row r="277">
      <c r="A277" s="32">
        <v>1303</v>
      </c>
      <c r="B277" s="27" t="s">
        <v>551</v>
      </c>
      <c r="C277" s="28" t="s">
        <v>22</v>
      </c>
      <c r="D277" s="32">
        <v>2604</v>
      </c>
      <c r="E277" s="32" t="s">
        <v>552</v>
      </c>
    </row>
    <row r="278" ht="25.5">
      <c r="A278" s="32">
        <v>1304</v>
      </c>
      <c r="B278" s="27" t="s">
        <v>553</v>
      </c>
      <c r="C278" s="28" t="s">
        <v>22</v>
      </c>
      <c r="D278" s="32">
        <v>14721</v>
      </c>
      <c r="E278" s="32" t="s">
        <v>554</v>
      </c>
    </row>
    <row r="279">
      <c r="A279" s="32"/>
      <c r="B279" s="32"/>
      <c r="C279" s="32"/>
      <c r="D279" s="32"/>
    </row>
    <row r="280">
      <c r="A280" s="45" t="s">
        <v>555</v>
      </c>
      <c r="B280" s="45"/>
      <c r="C280" s="45"/>
      <c r="D280" s="34"/>
    </row>
    <row r="281" ht="25.5">
      <c r="A281" s="32">
        <v>1401</v>
      </c>
      <c r="B281" s="27" t="s">
        <v>556</v>
      </c>
      <c r="C281" s="28" t="s">
        <v>30</v>
      </c>
      <c r="D281" s="32">
        <v>674335</v>
      </c>
      <c r="E281" s="32" t="s">
        <v>557</v>
      </c>
    </row>
    <row r="282" ht="51">
      <c r="A282" s="32">
        <v>1402</v>
      </c>
      <c r="B282" s="27" t="s">
        <v>558</v>
      </c>
      <c r="C282" s="28"/>
      <c r="D282" s="28"/>
      <c r="E282" s="32" t="s">
        <v>559</v>
      </c>
    </row>
    <row r="283">
      <c r="A283" s="28" t="s">
        <v>20</v>
      </c>
      <c r="B283" s="27" t="s">
        <v>560</v>
      </c>
      <c r="C283" s="28" t="s">
        <v>22</v>
      </c>
      <c r="D283" s="32">
        <v>51555</v>
      </c>
      <c r="E283" s="28" t="s">
        <v>561</v>
      </c>
    </row>
    <row r="284">
      <c r="A284" s="28" t="s">
        <v>24</v>
      </c>
      <c r="B284" s="27" t="s">
        <v>562</v>
      </c>
      <c r="C284" s="28" t="s">
        <v>22</v>
      </c>
      <c r="D284" s="32">
        <v>34370</v>
      </c>
      <c r="E284" s="28" t="s">
        <v>563</v>
      </c>
    </row>
    <row r="285">
      <c r="A285" s="28" t="s">
        <v>42</v>
      </c>
      <c r="B285" s="27" t="s">
        <v>564</v>
      </c>
      <c r="C285" s="28" t="s">
        <v>22</v>
      </c>
      <c r="D285" s="32">
        <v>17185</v>
      </c>
      <c r="E285" s="28" t="s">
        <v>565</v>
      </c>
    </row>
    <row r="286">
      <c r="A286" s="28" t="s">
        <v>69</v>
      </c>
      <c r="B286" s="27" t="s">
        <v>566</v>
      </c>
      <c r="C286" s="28" t="s">
        <v>22</v>
      </c>
      <c r="D286" s="32">
        <v>34230</v>
      </c>
      <c r="E286" s="28" t="s">
        <v>567</v>
      </c>
    </row>
    <row r="287">
      <c r="A287" s="28" t="s">
        <v>72</v>
      </c>
      <c r="B287" s="27" t="s">
        <v>568</v>
      </c>
      <c r="C287" s="28" t="s">
        <v>30</v>
      </c>
      <c r="D287" s="32">
        <v>30934</v>
      </c>
      <c r="E287" s="28" t="s">
        <v>569</v>
      </c>
    </row>
    <row r="288">
      <c r="A288" s="28" t="s">
        <v>75</v>
      </c>
      <c r="B288" s="27" t="s">
        <v>570</v>
      </c>
      <c r="C288" s="28" t="s">
        <v>30</v>
      </c>
      <c r="D288" s="32">
        <v>43669</v>
      </c>
      <c r="E288" s="28" t="s">
        <v>571</v>
      </c>
    </row>
    <row r="289">
      <c r="A289" s="28" t="s">
        <v>204</v>
      </c>
      <c r="B289" s="27" t="s">
        <v>572</v>
      </c>
      <c r="C289" s="28" t="s">
        <v>22</v>
      </c>
      <c r="D289" s="32">
        <v>47877</v>
      </c>
      <c r="E289" s="28" t="s">
        <v>573</v>
      </c>
    </row>
    <row r="290">
      <c r="A290" s="28" t="s">
        <v>419</v>
      </c>
      <c r="B290" s="27" t="s">
        <v>574</v>
      </c>
      <c r="C290" s="28" t="s">
        <v>22</v>
      </c>
      <c r="D290" s="32">
        <v>35876</v>
      </c>
      <c r="E290" s="28" t="s">
        <v>575</v>
      </c>
    </row>
    <row r="291">
      <c r="A291" s="28" t="s">
        <v>422</v>
      </c>
      <c r="B291" s="27" t="s">
        <v>576</v>
      </c>
      <c r="C291" s="28" t="s">
        <v>22</v>
      </c>
      <c r="D291" s="32">
        <v>16415</v>
      </c>
      <c r="E291" s="28" t="s">
        <v>577</v>
      </c>
    </row>
    <row r="292" ht="165.75">
      <c r="A292" s="32">
        <v>1403</v>
      </c>
      <c r="B292" s="27" t="s">
        <v>578</v>
      </c>
      <c r="C292" s="28" t="s">
        <v>30</v>
      </c>
      <c r="D292" s="32">
        <v>887832</v>
      </c>
      <c r="E292" s="32" t="s">
        <v>579</v>
      </c>
    </row>
    <row r="293" ht="38.25">
      <c r="A293" s="32">
        <v>1404</v>
      </c>
      <c r="B293" s="27" t="s">
        <v>580</v>
      </c>
      <c r="C293" s="28"/>
      <c r="D293" s="28"/>
      <c r="E293" s="32" t="s">
        <v>581</v>
      </c>
    </row>
    <row r="294">
      <c r="A294" s="28" t="s">
        <v>20</v>
      </c>
      <c r="B294" s="27" t="s">
        <v>582</v>
      </c>
      <c r="C294" s="28" t="s">
        <v>22</v>
      </c>
      <c r="D294" s="32">
        <v>41220</v>
      </c>
      <c r="E294" s="28" t="s">
        <v>583</v>
      </c>
    </row>
    <row r="295">
      <c r="A295" s="28" t="s">
        <v>24</v>
      </c>
      <c r="B295" s="27" t="s">
        <v>582</v>
      </c>
      <c r="C295" s="28" t="s">
        <v>22</v>
      </c>
      <c r="D295" s="32">
        <v>41141</v>
      </c>
      <c r="E295" s="28" t="s">
        <v>584</v>
      </c>
    </row>
    <row r="296">
      <c r="A296" s="28" t="s">
        <v>42</v>
      </c>
      <c r="B296" s="27" t="s">
        <v>585</v>
      </c>
      <c r="C296" s="28" t="s">
        <v>22</v>
      </c>
      <c r="D296" s="32">
        <v>41141</v>
      </c>
      <c r="E296" s="28" t="s">
        <v>586</v>
      </c>
    </row>
    <row r="297">
      <c r="A297" s="28" t="s">
        <v>69</v>
      </c>
      <c r="B297" s="27" t="s">
        <v>587</v>
      </c>
      <c r="C297" s="28" t="s">
        <v>22</v>
      </c>
      <c r="D297" s="32">
        <v>110256</v>
      </c>
      <c r="E297" s="28" t="s">
        <v>588</v>
      </c>
    </row>
    <row r="298">
      <c r="A298" s="28" t="s">
        <v>72</v>
      </c>
      <c r="B298" s="27" t="s">
        <v>589</v>
      </c>
      <c r="C298" s="28" t="s">
        <v>22</v>
      </c>
      <c r="D298" s="32">
        <v>41141</v>
      </c>
      <c r="E298" s="28" t="s">
        <v>590</v>
      </c>
    </row>
    <row r="299">
      <c r="A299" s="28" t="s">
        <v>72</v>
      </c>
      <c r="B299" s="27" t="s">
        <v>589</v>
      </c>
      <c r="C299" s="28" t="s">
        <v>22</v>
      </c>
      <c r="D299" s="32">
        <v>41141</v>
      </c>
      <c r="E299" s="28" t="s">
        <v>590</v>
      </c>
    </row>
    <row r="300">
      <c r="A300" s="28" t="s">
        <v>75</v>
      </c>
      <c r="B300" s="27" t="s">
        <v>591</v>
      </c>
      <c r="C300" s="28" t="s">
        <v>22</v>
      </c>
      <c r="D300" s="32">
        <v>24684</v>
      </c>
      <c r="E300" s="28" t="s">
        <v>592</v>
      </c>
    </row>
    <row r="301">
      <c r="A301" s="28" t="s">
        <v>204</v>
      </c>
      <c r="B301" s="27" t="s">
        <v>593</v>
      </c>
      <c r="C301" s="28" t="s">
        <v>22</v>
      </c>
      <c r="D301" s="32">
        <v>55951</v>
      </c>
      <c r="E301" s="28" t="s">
        <v>594</v>
      </c>
    </row>
    <row r="302">
      <c r="A302" s="28" t="s">
        <v>419</v>
      </c>
      <c r="B302" s="27" t="s">
        <v>595</v>
      </c>
      <c r="C302" s="28" t="s">
        <v>22</v>
      </c>
      <c r="D302" s="32">
        <v>59243</v>
      </c>
      <c r="E302" s="28" t="s">
        <v>596</v>
      </c>
    </row>
    <row r="303" ht="216.75">
      <c r="A303" s="32">
        <v>1405</v>
      </c>
      <c r="B303" s="27" t="s">
        <v>597</v>
      </c>
      <c r="C303" s="28" t="s">
        <v>30</v>
      </c>
      <c r="D303" s="32">
        <v>133197</v>
      </c>
      <c r="E303" s="32" t="s">
        <v>598</v>
      </c>
    </row>
    <row r="304" ht="76.5" customHeight="1">
      <c r="A304" s="32">
        <v>1406</v>
      </c>
      <c r="B304" s="27" t="s">
        <v>599</v>
      </c>
      <c r="C304" s="28" t="s">
        <v>22</v>
      </c>
      <c r="D304" s="32">
        <v>83799</v>
      </c>
      <c r="E304" s="32" t="s">
        <v>600</v>
      </c>
    </row>
    <row r="305">
      <c r="A305" s="32"/>
      <c r="B305" s="32"/>
      <c r="C305" s="32"/>
      <c r="D305" s="32"/>
    </row>
    <row r="306">
      <c r="A306" s="34" t="s">
        <v>601</v>
      </c>
      <c r="B306" s="34"/>
      <c r="C306" s="34"/>
      <c r="D306" s="34"/>
    </row>
    <row r="307" s="4" customFormat="1" ht="127.5">
      <c r="A307" s="46">
        <v>1501</v>
      </c>
      <c r="B307" s="47" t="s">
        <v>602</v>
      </c>
      <c r="C307" s="49" t="s">
        <v>30</v>
      </c>
      <c r="D307" s="50">
        <v>16837</v>
      </c>
      <c r="E307" s="50" t="s">
        <v>603</v>
      </c>
    </row>
    <row r="308" s="5" customFormat="1" ht="38.25">
      <c r="A308" s="53">
        <v>1502</v>
      </c>
      <c r="B308" s="54" t="s">
        <v>604</v>
      </c>
      <c r="C308" s="56" t="s">
        <v>30</v>
      </c>
      <c r="D308" s="53">
        <v>14999</v>
      </c>
      <c r="E308" s="53" t="s">
        <v>605</v>
      </c>
    </row>
    <row r="309" s="5" customFormat="1">
      <c r="A309" s="53">
        <v>1503</v>
      </c>
      <c r="B309" s="54" t="s">
        <v>606</v>
      </c>
      <c r="C309" s="56" t="s">
        <v>159</v>
      </c>
      <c r="D309" s="53">
        <v>546</v>
      </c>
      <c r="E309" s="53" t="s">
        <v>607</v>
      </c>
    </row>
    <row r="310" s="5" customFormat="1" ht="102">
      <c r="A310" s="59">
        <v>1504</v>
      </c>
      <c r="B310" s="54" t="s">
        <v>608</v>
      </c>
      <c r="C310" s="56" t="s">
        <v>30</v>
      </c>
      <c r="D310" s="53">
        <v>65725</v>
      </c>
      <c r="E310" s="53" t="s">
        <v>609</v>
      </c>
    </row>
    <row r="311" s="5" customFormat="1">
      <c r="A311" s="53">
        <v>1505</v>
      </c>
      <c r="B311" s="54" t="s">
        <v>610</v>
      </c>
      <c r="C311" s="56" t="s">
        <v>611</v>
      </c>
      <c r="D311" s="53">
        <v>175</v>
      </c>
      <c r="E311" s="53" t="s">
        <v>612</v>
      </c>
    </row>
    <row r="312">
      <c r="A312" s="32"/>
      <c r="B312" s="32"/>
      <c r="C312" s="32"/>
      <c r="D312" s="32"/>
    </row>
    <row r="313">
      <c r="A313" s="28" t="s">
        <v>613</v>
      </c>
      <c r="B313" s="28"/>
      <c r="C313" s="28"/>
      <c r="D313" s="28"/>
    </row>
    <row r="314">
      <c r="A314" s="32">
        <v>1601</v>
      </c>
      <c r="B314" s="27" t="s">
        <v>614</v>
      </c>
      <c r="C314" s="28"/>
      <c r="D314" s="28"/>
      <c r="E314" s="32" t="s">
        <v>615</v>
      </c>
    </row>
    <row r="315" ht="323.25" customHeight="1">
      <c r="A315" s="43" t="s">
        <v>20</v>
      </c>
      <c r="B315" s="27" t="s">
        <v>616</v>
      </c>
      <c r="C315" s="28" t="s">
        <v>30</v>
      </c>
      <c r="D315" s="32">
        <v>433500</v>
      </c>
      <c r="E315" s="28" t="s">
        <v>617</v>
      </c>
    </row>
    <row r="316" ht="25.5">
      <c r="A316" s="28" t="s">
        <v>24</v>
      </c>
      <c r="B316" s="27" t="s">
        <v>618</v>
      </c>
      <c r="C316" s="28" t="s">
        <v>22</v>
      </c>
      <c r="D316" s="32">
        <v>21985</v>
      </c>
      <c r="E316" s="28" t="s">
        <v>619</v>
      </c>
    </row>
    <row r="317" ht="38.25">
      <c r="A317" s="28" t="s">
        <v>42</v>
      </c>
      <c r="B317" s="27" t="s">
        <v>620</v>
      </c>
      <c r="C317" s="28" t="s">
        <v>22</v>
      </c>
      <c r="D317" s="32">
        <v>12496</v>
      </c>
      <c r="E317" s="28" t="s">
        <v>621</v>
      </c>
    </row>
    <row r="318" ht="25.5">
      <c r="A318" s="28" t="s">
        <v>69</v>
      </c>
      <c r="B318" s="27" t="s">
        <v>622</v>
      </c>
      <c r="C318" s="28" t="s">
        <v>22</v>
      </c>
      <c r="D318" s="32">
        <v>16082</v>
      </c>
      <c r="E318" s="28" t="s">
        <v>623</v>
      </c>
    </row>
    <row r="319" ht="25.5">
      <c r="A319" s="28" t="s">
        <v>72</v>
      </c>
      <c r="B319" s="27" t="s">
        <v>624</v>
      </c>
      <c r="C319" s="28" t="s">
        <v>22</v>
      </c>
      <c r="D319" s="32">
        <v>1371</v>
      </c>
      <c r="E319" s="28" t="s">
        <v>625</v>
      </c>
    </row>
    <row r="320" ht="51">
      <c r="A320" s="28" t="s">
        <v>75</v>
      </c>
      <c r="B320" s="27" t="s">
        <v>626</v>
      </c>
      <c r="C320" s="28" t="s">
        <v>22</v>
      </c>
      <c r="D320" s="32">
        <v>81900</v>
      </c>
      <c r="E320" s="28" t="s">
        <v>627</v>
      </c>
    </row>
    <row r="321" ht="38.25">
      <c r="A321" s="28" t="s">
        <v>204</v>
      </c>
      <c r="B321" s="27" t="s">
        <v>628</v>
      </c>
      <c r="C321" s="28" t="s">
        <v>22</v>
      </c>
      <c r="D321" s="32">
        <v>33578</v>
      </c>
      <c r="E321" s="28" t="s">
        <v>629</v>
      </c>
    </row>
    <row r="322">
      <c r="A322" s="32">
        <v>1602</v>
      </c>
      <c r="B322" s="27" t="s">
        <v>630</v>
      </c>
      <c r="C322" s="28"/>
      <c r="D322" s="28"/>
      <c r="E322" s="32" t="s">
        <v>631</v>
      </c>
    </row>
    <row r="323">
      <c r="A323" s="28" t="s">
        <v>20</v>
      </c>
      <c r="B323" s="27" t="s">
        <v>632</v>
      </c>
      <c r="C323" s="28" t="s">
        <v>375</v>
      </c>
      <c r="D323" s="32">
        <v>27258</v>
      </c>
      <c r="E323" s="28" t="s">
        <v>633</v>
      </c>
    </row>
    <row r="324">
      <c r="A324" s="28" t="s">
        <v>24</v>
      </c>
      <c r="B324" s="27" t="s">
        <v>634</v>
      </c>
      <c r="C324" s="28" t="s">
        <v>22</v>
      </c>
      <c r="D324" s="32">
        <v>32450</v>
      </c>
      <c r="E324" s="28" t="s">
        <v>635</v>
      </c>
    </row>
    <row r="325" ht="25.5">
      <c r="A325" s="28" t="s">
        <v>42</v>
      </c>
      <c r="B325" s="27" t="s">
        <v>636</v>
      </c>
      <c r="C325" s="28" t="s">
        <v>375</v>
      </c>
      <c r="D325" s="32">
        <v>179124</v>
      </c>
      <c r="E325" s="28" t="s">
        <v>637</v>
      </c>
    </row>
    <row r="326">
      <c r="A326" s="28"/>
      <c r="B326" s="28"/>
      <c r="C326" s="28"/>
      <c r="D326" s="28"/>
    </row>
    <row r="327">
      <c r="A327" s="34" t="s">
        <v>638</v>
      </c>
      <c r="B327" s="34"/>
      <c r="C327" s="34"/>
      <c r="D327" s="34"/>
    </row>
    <row r="328">
      <c r="A328" s="32">
        <v>1701</v>
      </c>
      <c r="B328" s="27" t="s">
        <v>639</v>
      </c>
      <c r="C328" s="28" t="s">
        <v>22</v>
      </c>
      <c r="D328" s="32">
        <v>78</v>
      </c>
      <c r="E328" s="32" t="s">
        <v>640</v>
      </c>
    </row>
    <row r="329">
      <c r="A329" s="32">
        <v>1702</v>
      </c>
      <c r="B329" s="27" t="s">
        <v>641</v>
      </c>
      <c r="C329" s="28" t="s">
        <v>22</v>
      </c>
      <c r="D329" s="32">
        <v>1163</v>
      </c>
      <c r="E329" s="32" t="s">
        <v>642</v>
      </c>
    </row>
    <row r="330">
      <c r="A330" s="32">
        <v>1703</v>
      </c>
      <c r="B330" s="27" t="s">
        <v>643</v>
      </c>
      <c r="C330" s="28" t="s">
        <v>22</v>
      </c>
      <c r="D330" s="32">
        <v>51</v>
      </c>
      <c r="E330" s="32" t="s">
        <v>644</v>
      </c>
    </row>
    <row r="331" ht="25.5">
      <c r="A331" s="32">
        <v>1704</v>
      </c>
      <c r="B331" s="27" t="s">
        <v>645</v>
      </c>
      <c r="C331" s="28" t="s">
        <v>22</v>
      </c>
      <c r="D331" s="32">
        <v>2073</v>
      </c>
      <c r="E331" s="32" t="s">
        <v>646</v>
      </c>
    </row>
    <row r="332">
      <c r="A332" s="32">
        <v>1705</v>
      </c>
      <c r="B332" s="27" t="s">
        <v>647</v>
      </c>
      <c r="C332" s="28"/>
      <c r="D332" s="28"/>
      <c r="E332" s="32" t="s">
        <v>648</v>
      </c>
    </row>
    <row r="333">
      <c r="A333" s="28" t="s">
        <v>20</v>
      </c>
      <c r="B333" s="27" t="s">
        <v>649</v>
      </c>
      <c r="C333" s="28" t="s">
        <v>22</v>
      </c>
      <c r="D333" s="32">
        <v>25</v>
      </c>
      <c r="E333" s="28" t="s">
        <v>650</v>
      </c>
    </row>
    <row r="334">
      <c r="A334" s="28" t="s">
        <v>24</v>
      </c>
      <c r="B334" s="27" t="s">
        <v>651</v>
      </c>
      <c r="C334" s="28" t="s">
        <v>22</v>
      </c>
      <c r="D334" s="32">
        <v>12</v>
      </c>
      <c r="E334" s="28" t="s">
        <v>652</v>
      </c>
    </row>
    <row r="335">
      <c r="A335" s="28" t="s">
        <v>42</v>
      </c>
      <c r="B335" s="27" t="s">
        <v>653</v>
      </c>
      <c r="C335" s="28" t="s">
        <v>22</v>
      </c>
      <c r="D335" s="32">
        <v>3</v>
      </c>
      <c r="E335" s="28" t="s">
        <v>654</v>
      </c>
    </row>
    <row r="336">
      <c r="A336" s="28" t="s">
        <v>69</v>
      </c>
      <c r="B336" s="27" t="s">
        <v>655</v>
      </c>
      <c r="C336" s="28" t="s">
        <v>22</v>
      </c>
      <c r="D336" s="32">
        <v>6</v>
      </c>
      <c r="E336" s="28" t="s">
        <v>656</v>
      </c>
    </row>
    <row r="337">
      <c r="A337" s="32">
        <v>1706</v>
      </c>
      <c r="B337" s="27" t="s">
        <v>657</v>
      </c>
      <c r="C337" s="28" t="s">
        <v>22</v>
      </c>
      <c r="D337" s="32">
        <v>5274</v>
      </c>
      <c r="E337" s="32" t="s">
        <v>658</v>
      </c>
    </row>
    <row r="338" ht="25.5">
      <c r="A338" s="32">
        <v>1707</v>
      </c>
      <c r="B338" s="27" t="s">
        <v>659</v>
      </c>
      <c r="C338" s="28" t="s">
        <v>22</v>
      </c>
      <c r="D338" s="32">
        <v>18</v>
      </c>
      <c r="E338" s="32" t="s">
        <v>660</v>
      </c>
    </row>
    <row r="339" ht="25.5">
      <c r="A339" s="32">
        <v>1708</v>
      </c>
      <c r="B339" s="27" t="s">
        <v>661</v>
      </c>
      <c r="C339" s="28" t="s">
        <v>22</v>
      </c>
      <c r="D339" s="32">
        <v>300</v>
      </c>
      <c r="E339" s="32" t="s">
        <v>662</v>
      </c>
    </row>
    <row r="340">
      <c r="A340" s="32">
        <v>1709</v>
      </c>
      <c r="B340" s="27" t="s">
        <v>663</v>
      </c>
      <c r="C340" s="28" t="s">
        <v>22</v>
      </c>
      <c r="D340" s="32">
        <v>557</v>
      </c>
      <c r="E340" s="32" t="s">
        <v>664</v>
      </c>
    </row>
    <row r="341">
      <c r="A341" s="32">
        <v>1710</v>
      </c>
      <c r="B341" s="27" t="s">
        <v>665</v>
      </c>
      <c r="C341" s="28" t="s">
        <v>22</v>
      </c>
      <c r="D341" s="32">
        <v>1390</v>
      </c>
      <c r="E341" s="32" t="s">
        <v>666</v>
      </c>
    </row>
    <row r="342" ht="38.25">
      <c r="A342" s="32">
        <v>1711</v>
      </c>
      <c r="B342" s="27" t="s">
        <v>667</v>
      </c>
      <c r="C342" s="28" t="s">
        <v>668</v>
      </c>
      <c r="D342" s="32">
        <v>6183</v>
      </c>
      <c r="E342" s="32" t="s">
        <v>669</v>
      </c>
    </row>
    <row r="343" ht="38.25">
      <c r="A343" s="32">
        <v>1712</v>
      </c>
      <c r="B343" s="27" t="s">
        <v>670</v>
      </c>
      <c r="C343" s="28" t="s">
        <v>22</v>
      </c>
      <c r="D343" s="32">
        <v>195</v>
      </c>
      <c r="E343" s="32" t="s">
        <v>671</v>
      </c>
    </row>
    <row r="344" ht="89.25">
      <c r="A344" s="38">
        <v>1713</v>
      </c>
      <c r="B344" s="27" t="s">
        <v>672</v>
      </c>
      <c r="C344" s="28" t="s">
        <v>30</v>
      </c>
      <c r="D344" s="32">
        <v>3766</v>
      </c>
      <c r="E344" s="32" t="s">
        <v>673</v>
      </c>
    </row>
    <row r="345">
      <c r="A345" s="32">
        <v>1714</v>
      </c>
      <c r="B345" s="27" t="s">
        <v>674</v>
      </c>
      <c r="C345" s="28" t="s">
        <v>22</v>
      </c>
      <c r="D345" s="32">
        <v>486</v>
      </c>
      <c r="E345" s="32" t="s">
        <v>675</v>
      </c>
    </row>
    <row r="346" ht="63.75">
      <c r="A346" s="32">
        <v>1715</v>
      </c>
      <c r="B346" s="27" t="s">
        <v>676</v>
      </c>
      <c r="C346" s="28" t="s">
        <v>22</v>
      </c>
      <c r="D346" s="32">
        <v>22602</v>
      </c>
      <c r="E346" s="32" t="s">
        <v>677</v>
      </c>
    </row>
    <row r="347">
      <c r="A347" s="32">
        <v>1716</v>
      </c>
      <c r="B347" s="27" t="s">
        <v>678</v>
      </c>
      <c r="C347" s="28"/>
      <c r="D347" s="28"/>
      <c r="E347" s="32" t="s">
        <v>679</v>
      </c>
    </row>
    <row r="348">
      <c r="A348" s="28" t="s">
        <v>20</v>
      </c>
      <c r="B348" s="27" t="s">
        <v>680</v>
      </c>
      <c r="C348" s="28" t="s">
        <v>22</v>
      </c>
      <c r="D348" s="32">
        <v>29573</v>
      </c>
      <c r="E348" s="28" t="s">
        <v>681</v>
      </c>
    </row>
    <row r="349">
      <c r="A349" s="28" t="s">
        <v>24</v>
      </c>
      <c r="B349" s="27" t="s">
        <v>682</v>
      </c>
      <c r="C349" s="28" t="s">
        <v>22</v>
      </c>
      <c r="D349" s="32">
        <v>4018</v>
      </c>
      <c r="E349" s="28" t="s">
        <v>683</v>
      </c>
    </row>
    <row r="350">
      <c r="A350" s="28" t="s">
        <v>42</v>
      </c>
      <c r="B350" s="27" t="s">
        <v>684</v>
      </c>
      <c r="C350" s="28" t="s">
        <v>22</v>
      </c>
      <c r="D350" s="32">
        <v>5516</v>
      </c>
      <c r="E350" s="28" t="s">
        <v>685</v>
      </c>
    </row>
    <row r="351">
      <c r="A351" s="28" t="s">
        <v>69</v>
      </c>
      <c r="B351" s="27" t="s">
        <v>686</v>
      </c>
      <c r="C351" s="28" t="s">
        <v>22</v>
      </c>
      <c r="D351" s="32">
        <v>10671</v>
      </c>
      <c r="E351" s="28" t="s">
        <v>687</v>
      </c>
    </row>
    <row r="352">
      <c r="A352" s="28" t="s">
        <v>72</v>
      </c>
      <c r="B352" s="27" t="s">
        <v>688</v>
      </c>
      <c r="C352" s="28" t="s">
        <v>22</v>
      </c>
      <c r="D352" s="32">
        <v>26479</v>
      </c>
      <c r="E352" s="28" t="s">
        <v>689</v>
      </c>
    </row>
    <row r="353">
      <c r="A353" s="28" t="s">
        <v>75</v>
      </c>
      <c r="B353" s="27" t="s">
        <v>690</v>
      </c>
      <c r="C353" s="28" t="s">
        <v>22</v>
      </c>
      <c r="D353" s="32">
        <v>489</v>
      </c>
      <c r="E353" s="28" t="s">
        <v>691</v>
      </c>
    </row>
    <row r="354" ht="25.5">
      <c r="A354" s="28" t="s">
        <v>204</v>
      </c>
      <c r="B354" s="27" t="s">
        <v>692</v>
      </c>
      <c r="C354" s="28" t="s">
        <v>30</v>
      </c>
      <c r="D354" s="32">
        <v>2099</v>
      </c>
      <c r="E354" s="28" t="s">
        <v>693</v>
      </c>
    </row>
    <row r="355" ht="25.5">
      <c r="A355" s="28" t="s">
        <v>419</v>
      </c>
      <c r="B355" s="27" t="s">
        <v>694</v>
      </c>
      <c r="C355" s="28" t="s">
        <v>22</v>
      </c>
      <c r="D355" s="32">
        <v>658</v>
      </c>
      <c r="E355" s="28" t="s">
        <v>695</v>
      </c>
    </row>
    <row r="356" ht="25.5">
      <c r="A356" s="28" t="s">
        <v>422</v>
      </c>
      <c r="B356" s="27" t="s">
        <v>696</v>
      </c>
      <c r="C356" s="28" t="s">
        <v>22</v>
      </c>
      <c r="D356" s="32">
        <v>154</v>
      </c>
      <c r="E356" s="28" t="s">
        <v>697</v>
      </c>
    </row>
    <row r="357">
      <c r="A357" s="28" t="s">
        <v>499</v>
      </c>
      <c r="B357" s="27" t="s">
        <v>698</v>
      </c>
      <c r="C357" s="28" t="s">
        <v>22</v>
      </c>
      <c r="D357" s="32">
        <v>563</v>
      </c>
      <c r="E357" s="28" t="s">
        <v>699</v>
      </c>
    </row>
    <row r="358" ht="38.25">
      <c r="A358" s="28" t="s">
        <v>502</v>
      </c>
      <c r="B358" s="27" t="s">
        <v>700</v>
      </c>
      <c r="C358" s="28" t="s">
        <v>22</v>
      </c>
      <c r="D358" s="32">
        <v>34</v>
      </c>
      <c r="E358" s="28" t="s">
        <v>701</v>
      </c>
    </row>
    <row r="359">
      <c r="A359" s="28" t="s">
        <v>702</v>
      </c>
      <c r="B359" s="27" t="s">
        <v>703</v>
      </c>
      <c r="C359" s="28" t="s">
        <v>704</v>
      </c>
      <c r="D359" s="32">
        <v>9122</v>
      </c>
      <c r="E359" s="28" t="s">
        <v>705</v>
      </c>
    </row>
    <row r="360" ht="25.5">
      <c r="A360" s="28" t="s">
        <v>706</v>
      </c>
      <c r="B360" s="27" t="s">
        <v>707</v>
      </c>
      <c r="C360" s="28" t="s">
        <v>22</v>
      </c>
      <c r="D360" s="32">
        <v>2390</v>
      </c>
      <c r="E360" s="28" t="s">
        <v>708</v>
      </c>
    </row>
    <row r="361">
      <c r="A361" s="28" t="s">
        <v>709</v>
      </c>
      <c r="B361" s="27" t="s">
        <v>710</v>
      </c>
      <c r="C361" s="28" t="s">
        <v>22</v>
      </c>
      <c r="D361" s="32">
        <v>9281</v>
      </c>
      <c r="E361" s="28" t="s">
        <v>711</v>
      </c>
    </row>
    <row r="362" ht="25.5">
      <c r="A362" s="28" t="s">
        <v>712</v>
      </c>
      <c r="B362" s="27" t="s">
        <v>713</v>
      </c>
      <c r="C362" s="28" t="s">
        <v>22</v>
      </c>
      <c r="D362" s="17">
        <v>2401</v>
      </c>
      <c r="E362" s="28" t="s">
        <v>714</v>
      </c>
    </row>
    <row r="363">
      <c r="A363" s="28" t="s">
        <v>715</v>
      </c>
      <c r="B363" s="27" t="s">
        <v>716</v>
      </c>
      <c r="C363" s="28" t="s">
        <v>22</v>
      </c>
      <c r="D363" s="32">
        <v>16135</v>
      </c>
      <c r="E363" s="28" t="s">
        <v>717</v>
      </c>
    </row>
    <row r="364">
      <c r="A364" s="3" t="s">
        <v>718</v>
      </c>
      <c r="B364" s="27" t="s">
        <v>719</v>
      </c>
      <c r="C364" s="28" t="s">
        <v>22</v>
      </c>
      <c r="D364" s="32">
        <v>1233</v>
      </c>
      <c r="E364" s="28" t="s">
        <v>720</v>
      </c>
    </row>
    <row r="365" ht="25.5">
      <c r="A365" s="32">
        <v>1717</v>
      </c>
      <c r="B365" s="27" t="s">
        <v>721</v>
      </c>
      <c r="C365" s="28"/>
      <c r="D365" s="28"/>
      <c r="E365" s="32" t="s">
        <v>722</v>
      </c>
    </row>
    <row r="366">
      <c r="A366" s="28" t="s">
        <v>20</v>
      </c>
      <c r="B366" s="27" t="s">
        <v>723</v>
      </c>
      <c r="C366" s="28" t="s">
        <v>22</v>
      </c>
      <c r="D366" s="32">
        <v>59</v>
      </c>
      <c r="E366" s="28" t="s">
        <v>724</v>
      </c>
    </row>
    <row r="367">
      <c r="A367" s="28" t="s">
        <v>24</v>
      </c>
      <c r="B367" s="27" t="s">
        <v>725</v>
      </c>
      <c r="C367" s="28" t="s">
        <v>22</v>
      </c>
      <c r="D367" s="32">
        <v>30</v>
      </c>
      <c r="E367" s="28" t="s">
        <v>726</v>
      </c>
    </row>
    <row r="368" ht="114.75" customHeight="1">
      <c r="A368" s="38">
        <v>1718</v>
      </c>
      <c r="B368" s="60" t="s">
        <v>727</v>
      </c>
      <c r="C368" s="43" t="s">
        <v>728</v>
      </c>
      <c r="D368" s="38">
        <v>358</v>
      </c>
      <c r="E368" s="38" t="s">
        <v>729</v>
      </c>
    </row>
    <row r="369" ht="347.25" customHeight="1">
      <c r="A369" s="38"/>
      <c r="B369" s="60"/>
      <c r="C369" s="43"/>
      <c r="D369" s="38"/>
      <c r="E369" s="38"/>
    </row>
    <row r="370">
      <c r="A370" s="32">
        <v>1719</v>
      </c>
      <c r="B370" s="27" t="s">
        <v>730</v>
      </c>
      <c r="C370" s="28"/>
      <c r="D370" s="28"/>
      <c r="E370" s="32" t="s">
        <v>731</v>
      </c>
    </row>
    <row r="371" ht="409.5" customHeight="1">
      <c r="A371" s="43" t="s">
        <v>20</v>
      </c>
      <c r="B371" s="60" t="s">
        <v>732</v>
      </c>
      <c r="C371" s="28" t="s">
        <v>30</v>
      </c>
      <c r="D371" s="32">
        <v>46332</v>
      </c>
      <c r="E371" s="28" t="s">
        <v>733</v>
      </c>
    </row>
    <row r="372" ht="232.5" customHeight="1">
      <c r="A372" s="28"/>
      <c r="B372" s="60"/>
      <c r="C372" s="28"/>
      <c r="D372" s="32"/>
      <c r="E372" s="28"/>
    </row>
    <row r="373" ht="229.5" customHeight="1">
      <c r="A373" s="28" t="s">
        <v>24</v>
      </c>
      <c r="B373" s="27" t="s">
        <v>734</v>
      </c>
      <c r="C373" s="28" t="s">
        <v>22</v>
      </c>
      <c r="D373" s="32">
        <v>15157</v>
      </c>
      <c r="E373" s="28" t="s">
        <v>735</v>
      </c>
    </row>
    <row r="374" ht="240" customHeight="1">
      <c r="A374" s="43" t="s">
        <v>42</v>
      </c>
      <c r="B374" s="27" t="s">
        <v>736</v>
      </c>
      <c r="C374" s="28" t="s">
        <v>22</v>
      </c>
      <c r="D374" s="32">
        <v>20086</v>
      </c>
      <c r="E374" s="28" t="s">
        <v>737</v>
      </c>
    </row>
    <row r="375">
      <c r="A375" s="28" t="s">
        <v>69</v>
      </c>
      <c r="B375" s="27" t="s">
        <v>738</v>
      </c>
      <c r="C375" s="28" t="s">
        <v>22</v>
      </c>
      <c r="D375" s="32">
        <v>4245</v>
      </c>
      <c r="E375" s="28" t="s">
        <v>739</v>
      </c>
    </row>
    <row r="376" ht="25.5">
      <c r="A376" s="43" t="s">
        <v>72</v>
      </c>
      <c r="B376" s="27" t="s">
        <v>740</v>
      </c>
      <c r="C376" s="28" t="s">
        <v>22</v>
      </c>
      <c r="D376" s="32">
        <v>999</v>
      </c>
      <c r="E376" s="28" t="s">
        <v>741</v>
      </c>
    </row>
    <row r="377">
      <c r="A377" s="28" t="s">
        <v>75</v>
      </c>
      <c r="B377" s="27" t="s">
        <v>742</v>
      </c>
      <c r="C377" s="28" t="s">
        <v>22</v>
      </c>
      <c r="D377" s="32">
        <v>27468</v>
      </c>
      <c r="E377" s="28" t="s">
        <v>743</v>
      </c>
    </row>
    <row r="378">
      <c r="A378" s="28" t="s">
        <v>204</v>
      </c>
      <c r="B378" s="27" t="s">
        <v>744</v>
      </c>
      <c r="C378" s="28" t="s">
        <v>22</v>
      </c>
      <c r="D378" s="32">
        <v>4961</v>
      </c>
      <c r="E378" s="28" t="s">
        <v>745</v>
      </c>
    </row>
    <row r="379">
      <c r="A379" s="28" t="s">
        <v>419</v>
      </c>
      <c r="B379" s="27" t="s">
        <v>746</v>
      </c>
      <c r="C379" s="28" t="s">
        <v>22</v>
      </c>
      <c r="D379" s="32">
        <v>5884</v>
      </c>
      <c r="E379" s="28" t="s">
        <v>747</v>
      </c>
    </row>
    <row r="380">
      <c r="A380" s="28" t="s">
        <v>422</v>
      </c>
      <c r="B380" s="27" t="s">
        <v>748</v>
      </c>
      <c r="C380" s="28" t="s">
        <v>22</v>
      </c>
      <c r="D380" s="32">
        <v>27853</v>
      </c>
      <c r="E380" s="28" t="s">
        <v>749</v>
      </c>
    </row>
    <row r="381" ht="38.25">
      <c r="A381" s="32">
        <v>1720</v>
      </c>
      <c r="B381" s="27" t="s">
        <v>750</v>
      </c>
      <c r="C381" s="28"/>
      <c r="D381" s="28"/>
      <c r="E381" s="32" t="s">
        <v>751</v>
      </c>
    </row>
    <row r="382">
      <c r="A382" s="28" t="s">
        <v>20</v>
      </c>
      <c r="B382" s="27" t="s">
        <v>752</v>
      </c>
      <c r="C382" s="28" t="s">
        <v>22</v>
      </c>
      <c r="D382" s="32">
        <v>875</v>
      </c>
      <c r="E382" s="28" t="s">
        <v>753</v>
      </c>
    </row>
    <row r="383">
      <c r="A383" s="28" t="s">
        <v>24</v>
      </c>
      <c r="B383" s="27" t="s">
        <v>754</v>
      </c>
      <c r="C383" s="28" t="s">
        <v>22</v>
      </c>
      <c r="D383" s="32">
        <v>3827</v>
      </c>
      <c r="E383" s="28" t="s">
        <v>755</v>
      </c>
    </row>
    <row r="384">
      <c r="A384" s="28" t="s">
        <v>42</v>
      </c>
      <c r="B384" s="27" t="s">
        <v>756</v>
      </c>
      <c r="C384" s="28" t="s">
        <v>22</v>
      </c>
      <c r="D384" s="32">
        <v>6561</v>
      </c>
      <c r="E384" s="28" t="s">
        <v>757</v>
      </c>
    </row>
    <row r="385">
      <c r="A385" s="28" t="s">
        <v>69</v>
      </c>
      <c r="B385" s="27" t="s">
        <v>758</v>
      </c>
      <c r="C385" s="28" t="s">
        <v>22</v>
      </c>
      <c r="D385" s="32">
        <v>8311</v>
      </c>
      <c r="E385" s="28" t="s">
        <v>759</v>
      </c>
    </row>
    <row r="386">
      <c r="A386" s="32">
        <v>1721</v>
      </c>
      <c r="B386" s="27" t="s">
        <v>760</v>
      </c>
      <c r="C386" s="28"/>
      <c r="D386" s="28"/>
      <c r="E386" s="32" t="s">
        <v>761</v>
      </c>
    </row>
    <row r="387">
      <c r="A387" s="28" t="s">
        <v>20</v>
      </c>
      <c r="B387" s="27" t="s">
        <v>762</v>
      </c>
      <c r="C387" s="28" t="s">
        <v>22</v>
      </c>
      <c r="D387" s="32">
        <v>6055</v>
      </c>
      <c r="E387" s="28" t="s">
        <v>763</v>
      </c>
    </row>
    <row r="388">
      <c r="A388" s="28" t="s">
        <v>24</v>
      </c>
      <c r="B388" s="27" t="s">
        <v>764</v>
      </c>
      <c r="C388" s="28" t="s">
        <v>22</v>
      </c>
      <c r="D388" s="32">
        <v>1080</v>
      </c>
      <c r="E388" s="28" t="s">
        <v>765</v>
      </c>
    </row>
    <row r="389" ht="25.5">
      <c r="A389" s="32">
        <v>1722</v>
      </c>
      <c r="B389" s="27" t="s">
        <v>766</v>
      </c>
      <c r="C389" s="28"/>
      <c r="D389" s="28"/>
      <c r="E389" s="32" t="s">
        <v>767</v>
      </c>
    </row>
    <row r="390">
      <c r="A390" s="28" t="s">
        <v>20</v>
      </c>
      <c r="B390" s="27" t="s">
        <v>768</v>
      </c>
      <c r="C390" s="28" t="s">
        <v>159</v>
      </c>
      <c r="D390" s="32">
        <v>358</v>
      </c>
      <c r="E390" s="28" t="s">
        <v>769</v>
      </c>
    </row>
    <row r="391">
      <c r="A391" s="28" t="s">
        <v>24</v>
      </c>
      <c r="B391" s="27" t="s">
        <v>770</v>
      </c>
      <c r="C391" s="28" t="s">
        <v>159</v>
      </c>
      <c r="D391" s="32">
        <v>488</v>
      </c>
      <c r="E391" s="28" t="s">
        <v>771</v>
      </c>
    </row>
    <row r="392">
      <c r="A392" s="28" t="s">
        <v>42</v>
      </c>
      <c r="B392" s="27" t="s">
        <v>772</v>
      </c>
      <c r="C392" s="28" t="s">
        <v>159</v>
      </c>
      <c r="D392" s="32">
        <v>615</v>
      </c>
      <c r="E392" s="28" t="s">
        <v>773</v>
      </c>
    </row>
    <row r="393">
      <c r="A393" s="28" t="s">
        <v>69</v>
      </c>
      <c r="B393" s="27" t="s">
        <v>774</v>
      </c>
      <c r="C393" s="28" t="s">
        <v>159</v>
      </c>
      <c r="D393" s="32">
        <v>800</v>
      </c>
      <c r="E393" s="28" t="s">
        <v>775</v>
      </c>
    </row>
    <row r="394">
      <c r="A394" s="28" t="s">
        <v>72</v>
      </c>
      <c r="B394" s="27" t="s">
        <v>776</v>
      </c>
      <c r="C394" s="28" t="s">
        <v>159</v>
      </c>
      <c r="D394" s="32">
        <v>1009</v>
      </c>
      <c r="E394" s="28" t="s">
        <v>777</v>
      </c>
    </row>
    <row r="395">
      <c r="A395" s="32">
        <v>1723</v>
      </c>
      <c r="B395" s="27" t="s">
        <v>778</v>
      </c>
      <c r="C395" s="28"/>
      <c r="D395" s="28"/>
      <c r="E395" s="32" t="s">
        <v>779</v>
      </c>
    </row>
    <row r="396">
      <c r="A396" s="28" t="s">
        <v>20</v>
      </c>
      <c r="B396" s="27" t="s">
        <v>780</v>
      </c>
      <c r="C396" s="28" t="s">
        <v>22</v>
      </c>
      <c r="D396" s="32">
        <v>377</v>
      </c>
      <c r="E396" s="28" t="s">
        <v>781</v>
      </c>
    </row>
    <row r="397">
      <c r="A397" s="28" t="s">
        <v>24</v>
      </c>
      <c r="B397" s="27" t="s">
        <v>782</v>
      </c>
      <c r="C397" s="28" t="s">
        <v>22</v>
      </c>
      <c r="D397" s="32">
        <v>918</v>
      </c>
      <c r="E397" s="28" t="s">
        <v>783</v>
      </c>
    </row>
    <row r="398">
      <c r="A398" s="28" t="s">
        <v>42</v>
      </c>
      <c r="B398" s="27" t="s">
        <v>784</v>
      </c>
      <c r="C398" s="28" t="s">
        <v>22</v>
      </c>
      <c r="D398" s="32">
        <v>979</v>
      </c>
      <c r="E398" s="28" t="s">
        <v>785</v>
      </c>
    </row>
    <row r="399">
      <c r="A399" s="28" t="s">
        <v>69</v>
      </c>
      <c r="B399" s="27" t="s">
        <v>786</v>
      </c>
      <c r="C399" s="28" t="s">
        <v>22</v>
      </c>
      <c r="D399" s="32">
        <v>1523</v>
      </c>
      <c r="E399" s="28" t="s">
        <v>787</v>
      </c>
    </row>
    <row r="400">
      <c r="A400" s="28" t="s">
        <v>72</v>
      </c>
      <c r="B400" s="27" t="s">
        <v>788</v>
      </c>
      <c r="C400" s="28" t="s">
        <v>22</v>
      </c>
      <c r="D400" s="32">
        <v>2285</v>
      </c>
      <c r="E400" s="28" t="s">
        <v>789</v>
      </c>
    </row>
    <row r="401" ht="76.5">
      <c r="A401" s="32">
        <v>1724</v>
      </c>
      <c r="B401" s="27" t="s">
        <v>790</v>
      </c>
      <c r="C401" s="28" t="s">
        <v>22</v>
      </c>
      <c r="D401" s="32">
        <v>377600</v>
      </c>
      <c r="E401" s="32" t="s">
        <v>791</v>
      </c>
    </row>
    <row r="402" ht="51">
      <c r="A402" s="32">
        <v>1725</v>
      </c>
      <c r="B402" s="27" t="s">
        <v>792</v>
      </c>
      <c r="C402" s="28" t="s">
        <v>22</v>
      </c>
      <c r="D402" s="32">
        <v>317822</v>
      </c>
      <c r="E402" s="32" t="s">
        <v>793</v>
      </c>
    </row>
    <row r="403">
      <c r="A403" s="32"/>
      <c r="B403" s="32"/>
      <c r="C403" s="32"/>
      <c r="D403" s="32"/>
    </row>
    <row r="404">
      <c r="A404" s="34" t="s">
        <v>794</v>
      </c>
      <c r="B404" s="34"/>
      <c r="C404" s="34"/>
      <c r="D404" s="34"/>
    </row>
    <row r="405">
      <c r="A405" s="32">
        <v>1801</v>
      </c>
      <c r="B405" s="27" t="s">
        <v>795</v>
      </c>
      <c r="C405" s="28"/>
      <c r="D405" s="28"/>
      <c r="E405" s="32" t="s">
        <v>796</v>
      </c>
    </row>
    <row r="406">
      <c r="A406" s="28" t="s">
        <v>20</v>
      </c>
      <c r="B406" s="27" t="s">
        <v>797</v>
      </c>
      <c r="C406" s="28" t="s">
        <v>22</v>
      </c>
      <c r="D406" s="32">
        <v>13424</v>
      </c>
      <c r="E406" s="28" t="s">
        <v>798</v>
      </c>
    </row>
    <row r="407">
      <c r="A407" s="28" t="s">
        <v>24</v>
      </c>
      <c r="B407" s="27" t="s">
        <v>799</v>
      </c>
      <c r="C407" s="28" t="s">
        <v>22</v>
      </c>
      <c r="D407" s="32">
        <v>34198</v>
      </c>
      <c r="E407" s="28" t="s">
        <v>800</v>
      </c>
    </row>
    <row r="408">
      <c r="A408" s="28" t="s">
        <v>42</v>
      </c>
      <c r="B408" s="27" t="s">
        <v>801</v>
      </c>
      <c r="C408" s="28" t="s">
        <v>22</v>
      </c>
      <c r="D408" s="32">
        <v>29439</v>
      </c>
      <c r="E408" s="28" t="s">
        <v>802</v>
      </c>
    </row>
    <row r="409">
      <c r="A409" s="28" t="s">
        <v>69</v>
      </c>
      <c r="B409" s="27" t="s">
        <v>803</v>
      </c>
      <c r="C409" s="28" t="s">
        <v>22</v>
      </c>
      <c r="D409" s="32">
        <v>25233</v>
      </c>
      <c r="E409" s="28" t="s">
        <v>804</v>
      </c>
    </row>
    <row r="410">
      <c r="A410" s="28" t="s">
        <v>72</v>
      </c>
      <c r="B410" s="27" t="s">
        <v>805</v>
      </c>
      <c r="C410" s="28" t="s">
        <v>22</v>
      </c>
      <c r="D410" s="32">
        <v>28878</v>
      </c>
      <c r="E410" s="28" t="s">
        <v>806</v>
      </c>
    </row>
    <row r="411">
      <c r="A411" s="28" t="s">
        <v>75</v>
      </c>
      <c r="B411" s="27" t="s">
        <v>807</v>
      </c>
      <c r="C411" s="28" t="s">
        <v>22</v>
      </c>
      <c r="D411" s="32">
        <v>48000</v>
      </c>
      <c r="E411" s="28" t="s">
        <v>808</v>
      </c>
    </row>
    <row r="412">
      <c r="A412" s="28" t="s">
        <v>204</v>
      </c>
      <c r="B412" s="27" t="s">
        <v>809</v>
      </c>
      <c r="C412" s="28" t="s">
        <v>22</v>
      </c>
      <c r="D412" s="32">
        <v>6435</v>
      </c>
      <c r="E412" s="28" t="s">
        <v>810</v>
      </c>
    </row>
    <row r="413">
      <c r="A413" s="28" t="s">
        <v>419</v>
      </c>
      <c r="B413" s="27" t="s">
        <v>811</v>
      </c>
      <c r="C413" s="28" t="s">
        <v>22</v>
      </c>
      <c r="D413" s="32">
        <v>54634</v>
      </c>
      <c r="E413" s="28" t="s">
        <v>812</v>
      </c>
    </row>
    <row r="414">
      <c r="A414" s="28" t="s">
        <v>422</v>
      </c>
      <c r="B414" s="27" t="s">
        <v>572</v>
      </c>
      <c r="C414" s="28" t="s">
        <v>22</v>
      </c>
      <c r="D414" s="32">
        <v>15929</v>
      </c>
      <c r="E414" s="28" t="s">
        <v>813</v>
      </c>
    </row>
    <row r="415">
      <c r="A415" s="28" t="s">
        <v>499</v>
      </c>
      <c r="B415" s="27" t="s">
        <v>814</v>
      </c>
      <c r="C415" s="28" t="s">
        <v>22</v>
      </c>
      <c r="D415" s="32">
        <v>2596</v>
      </c>
      <c r="E415" s="28" t="s">
        <v>815</v>
      </c>
    </row>
    <row r="416" ht="38.25">
      <c r="A416" s="28" t="s">
        <v>502</v>
      </c>
      <c r="B416" s="27" t="s">
        <v>816</v>
      </c>
      <c r="C416" s="28" t="s">
        <v>375</v>
      </c>
      <c r="D416" s="32">
        <v>78970</v>
      </c>
      <c r="E416" s="28" t="s">
        <v>817</v>
      </c>
    </row>
    <row r="417" ht="51">
      <c r="A417" s="28" t="s">
        <v>818</v>
      </c>
      <c r="B417" s="27" t="s">
        <v>819</v>
      </c>
      <c r="C417" s="28" t="s">
        <v>22</v>
      </c>
      <c r="D417" s="32">
        <v>204130</v>
      </c>
      <c r="E417" s="28" t="s">
        <v>820</v>
      </c>
    </row>
    <row r="418">
      <c r="A418" s="28" t="s">
        <v>702</v>
      </c>
      <c r="B418" s="27" t="s">
        <v>821</v>
      </c>
      <c r="C418" s="28" t="s">
        <v>22</v>
      </c>
      <c r="D418" s="32">
        <v>6308</v>
      </c>
      <c r="E418" s="28" t="s">
        <v>822</v>
      </c>
    </row>
    <row r="419" ht="25.5">
      <c r="A419" s="28" t="s">
        <v>706</v>
      </c>
      <c r="B419" s="27" t="s">
        <v>823</v>
      </c>
      <c r="C419" s="28" t="s">
        <v>375</v>
      </c>
      <c r="D419" s="32">
        <v>35326</v>
      </c>
      <c r="E419" s="28" t="s">
        <v>824</v>
      </c>
    </row>
    <row r="420" ht="25.5">
      <c r="A420" s="28" t="s">
        <v>709</v>
      </c>
      <c r="B420" s="27" t="s">
        <v>825</v>
      </c>
      <c r="C420" s="28" t="s">
        <v>22</v>
      </c>
      <c r="D420" s="32">
        <v>1233</v>
      </c>
      <c r="E420" s="28" t="s">
        <v>826</v>
      </c>
    </row>
    <row r="421">
      <c r="A421" s="28"/>
      <c r="B421" s="28"/>
      <c r="C421" s="28"/>
      <c r="D421" s="28"/>
    </row>
    <row r="422">
      <c r="A422" s="34" t="s">
        <v>827</v>
      </c>
      <c r="B422" s="34"/>
      <c r="C422" s="34"/>
      <c r="D422" s="34"/>
    </row>
    <row r="423" ht="25.5">
      <c r="A423" s="32">
        <v>2501</v>
      </c>
      <c r="B423" s="27" t="s">
        <v>828</v>
      </c>
      <c r="C423" s="28" t="s">
        <v>829</v>
      </c>
      <c r="D423" s="32">
        <v>1472</v>
      </c>
      <c r="E423" s="32" t="s">
        <v>830</v>
      </c>
    </row>
    <row r="424" ht="51">
      <c r="A424" s="32">
        <v>2502</v>
      </c>
      <c r="B424" s="27" t="s">
        <v>831</v>
      </c>
      <c r="C424" s="28"/>
      <c r="D424" s="28"/>
      <c r="E424" s="32" t="s">
        <v>832</v>
      </c>
    </row>
    <row r="425">
      <c r="A425" s="28" t="s">
        <v>20</v>
      </c>
      <c r="B425" s="27" t="s">
        <v>833</v>
      </c>
      <c r="C425" s="28" t="s">
        <v>829</v>
      </c>
      <c r="D425" s="32">
        <v>98750</v>
      </c>
      <c r="E425" s="28" t="s">
        <v>834</v>
      </c>
    </row>
    <row r="426">
      <c r="A426" s="28" t="s">
        <v>24</v>
      </c>
      <c r="B426" s="27" t="s">
        <v>835</v>
      </c>
      <c r="C426" s="28" t="s">
        <v>829</v>
      </c>
      <c r="D426" s="32">
        <v>82000</v>
      </c>
      <c r="E426" s="28" t="s">
        <v>836</v>
      </c>
    </row>
    <row r="427">
      <c r="A427" s="28" t="s">
        <v>42</v>
      </c>
      <c r="B427" s="27" t="s">
        <v>837</v>
      </c>
      <c r="C427" s="28" t="s">
        <v>829</v>
      </c>
      <c r="D427" s="32">
        <v>164560</v>
      </c>
      <c r="E427" s="28" t="s">
        <v>838</v>
      </c>
    </row>
    <row r="428">
      <c r="A428" s="28" t="s">
        <v>69</v>
      </c>
      <c r="B428" s="27" t="s">
        <v>839</v>
      </c>
      <c r="C428" s="28" t="s">
        <v>829</v>
      </c>
      <c r="D428" s="32">
        <v>98750</v>
      </c>
      <c r="E428" s="28" t="s">
        <v>840</v>
      </c>
    </row>
    <row r="429" ht="63.75">
      <c r="A429" s="32">
        <v>2503</v>
      </c>
      <c r="B429" s="27" t="s">
        <v>841</v>
      </c>
      <c r="C429" s="28"/>
      <c r="D429" s="28"/>
      <c r="E429" s="32" t="s">
        <v>842</v>
      </c>
    </row>
    <row r="430" ht="25.5">
      <c r="A430" s="28" t="s">
        <v>20</v>
      </c>
      <c r="B430" s="27" t="s">
        <v>843</v>
      </c>
      <c r="C430" s="28" t="s">
        <v>844</v>
      </c>
      <c r="D430" s="32">
        <v>679</v>
      </c>
      <c r="E430" s="28" t="s">
        <v>845</v>
      </c>
    </row>
    <row r="431" ht="38.25">
      <c r="A431" s="28" t="s">
        <v>24</v>
      </c>
      <c r="B431" s="27" t="s">
        <v>846</v>
      </c>
      <c r="C431" s="28" t="s">
        <v>844</v>
      </c>
      <c r="D431" s="32">
        <v>358</v>
      </c>
      <c r="E431" s="28" t="s">
        <v>847</v>
      </c>
    </row>
    <row r="432" ht="51">
      <c r="A432" s="32">
        <v>2504</v>
      </c>
      <c r="B432" s="27" t="s">
        <v>848</v>
      </c>
      <c r="C432" s="28" t="s">
        <v>844</v>
      </c>
      <c r="D432" s="32">
        <v>289</v>
      </c>
      <c r="E432" s="32" t="s">
        <v>849</v>
      </c>
    </row>
    <row r="433" ht="38.25">
      <c r="A433" s="32">
        <v>2505</v>
      </c>
      <c r="B433" s="27" t="s">
        <v>850</v>
      </c>
      <c r="C433" s="28" t="s">
        <v>844</v>
      </c>
      <c r="D433" s="32">
        <v>188</v>
      </c>
      <c r="E433" s="32" t="s">
        <v>851</v>
      </c>
    </row>
    <row r="434" ht="38.25">
      <c r="A434" s="32">
        <v>2506</v>
      </c>
      <c r="B434" s="27" t="s">
        <v>852</v>
      </c>
      <c r="C434" s="28" t="s">
        <v>844</v>
      </c>
      <c r="D434" s="32">
        <v>2264</v>
      </c>
      <c r="E434" s="32" t="s">
        <v>853</v>
      </c>
    </row>
    <row r="435" ht="89.25">
      <c r="A435" s="38">
        <v>2507</v>
      </c>
      <c r="B435" s="27" t="s">
        <v>854</v>
      </c>
      <c r="C435" s="28" t="s">
        <v>844</v>
      </c>
      <c r="D435" s="32">
        <v>1139</v>
      </c>
      <c r="E435" s="32" t="s">
        <v>855</v>
      </c>
    </row>
    <row r="436" ht="25.5">
      <c r="A436" s="32">
        <v>2508</v>
      </c>
      <c r="B436" s="27" t="s">
        <v>856</v>
      </c>
      <c r="C436" s="28" t="s">
        <v>844</v>
      </c>
      <c r="D436" s="32">
        <v>211</v>
      </c>
      <c r="E436" s="32" t="s">
        <v>857</v>
      </c>
    </row>
    <row r="437">
      <c r="A437" s="32">
        <v>2509</v>
      </c>
      <c r="B437" s="27" t="s">
        <v>858</v>
      </c>
      <c r="C437" s="28"/>
      <c r="D437" s="28"/>
      <c r="E437" s="32" t="s">
        <v>859</v>
      </c>
    </row>
    <row r="438">
      <c r="A438" s="28" t="s">
        <v>20</v>
      </c>
      <c r="B438" s="27" t="s">
        <v>860</v>
      </c>
      <c r="C438" s="28" t="s">
        <v>844</v>
      </c>
      <c r="D438" s="32">
        <v>7</v>
      </c>
      <c r="E438" s="28" t="s">
        <v>861</v>
      </c>
    </row>
    <row r="439" ht="25.5">
      <c r="A439" s="28" t="s">
        <v>24</v>
      </c>
      <c r="B439" s="27" t="s">
        <v>862</v>
      </c>
      <c r="C439" s="28" t="s">
        <v>863</v>
      </c>
      <c r="D439" s="32">
        <v>319</v>
      </c>
      <c r="E439" s="28" t="s">
        <v>864</v>
      </c>
    </row>
    <row r="440" ht="25.5">
      <c r="A440" s="28" t="s">
        <v>42</v>
      </c>
      <c r="B440" s="27" t="s">
        <v>865</v>
      </c>
      <c r="C440" s="28" t="s">
        <v>863</v>
      </c>
      <c r="D440" s="32">
        <v>85</v>
      </c>
      <c r="E440" s="28" t="s">
        <v>866</v>
      </c>
    </row>
    <row r="441" ht="38.25">
      <c r="A441" s="32">
        <v>2510</v>
      </c>
      <c r="B441" s="27" t="s">
        <v>867</v>
      </c>
      <c r="C441" s="28" t="s">
        <v>844</v>
      </c>
      <c r="D441" s="32">
        <v>60</v>
      </c>
      <c r="E441" s="32" t="s">
        <v>868</v>
      </c>
    </row>
    <row r="442" ht="38.25">
      <c r="A442" s="32">
        <v>2511</v>
      </c>
      <c r="B442" s="27" t="s">
        <v>869</v>
      </c>
      <c r="C442" s="28" t="s">
        <v>844</v>
      </c>
      <c r="D442" s="32">
        <v>32</v>
      </c>
      <c r="E442" s="32" t="s">
        <v>870</v>
      </c>
    </row>
    <row r="443" ht="25.5">
      <c r="A443" s="32">
        <v>2512</v>
      </c>
      <c r="B443" s="27" t="s">
        <v>871</v>
      </c>
      <c r="C443" s="28" t="s">
        <v>872</v>
      </c>
      <c r="D443" s="32">
        <v>1562</v>
      </c>
      <c r="E443" s="32" t="s">
        <v>873</v>
      </c>
    </row>
    <row r="444" ht="38.25">
      <c r="A444" s="32">
        <v>2513</v>
      </c>
      <c r="B444" s="27" t="s">
        <v>874</v>
      </c>
      <c r="C444" s="28" t="s">
        <v>22</v>
      </c>
      <c r="D444" s="32">
        <v>1796</v>
      </c>
      <c r="E444" s="32" t="s">
        <v>875</v>
      </c>
    </row>
    <row r="445" ht="63.75">
      <c r="A445" s="32">
        <v>2514</v>
      </c>
      <c r="B445" s="27" t="s">
        <v>876</v>
      </c>
      <c r="C445" s="28" t="s">
        <v>877</v>
      </c>
      <c r="D445" s="32">
        <v>9924</v>
      </c>
      <c r="E445" s="32" t="s">
        <v>878</v>
      </c>
    </row>
    <row r="446" ht="38.25">
      <c r="A446" s="32">
        <v>2515</v>
      </c>
      <c r="B446" s="27" t="s">
        <v>879</v>
      </c>
      <c r="C446" s="28" t="s">
        <v>880</v>
      </c>
      <c r="D446" s="32">
        <v>813</v>
      </c>
      <c r="E446" s="32" t="s">
        <v>881</v>
      </c>
    </row>
    <row r="447" ht="102">
      <c r="A447" s="38">
        <v>2516</v>
      </c>
      <c r="B447" s="27" t="s">
        <v>882</v>
      </c>
      <c r="C447" s="28"/>
      <c r="D447" s="28"/>
      <c r="E447" s="32" t="s">
        <v>883</v>
      </c>
    </row>
    <row r="448" ht="38.25">
      <c r="A448" s="28" t="s">
        <v>20</v>
      </c>
      <c r="B448" s="27" t="s">
        <v>884</v>
      </c>
      <c r="C448" s="28" t="s">
        <v>844</v>
      </c>
      <c r="D448" s="32">
        <v>110</v>
      </c>
      <c r="E448" s="28" t="s">
        <v>885</v>
      </c>
    </row>
    <row r="449" ht="63.75">
      <c r="A449" s="28" t="s">
        <v>24</v>
      </c>
      <c r="B449" s="27" t="s">
        <v>886</v>
      </c>
      <c r="C449" s="28" t="s">
        <v>887</v>
      </c>
      <c r="D449" s="32">
        <v>2331</v>
      </c>
      <c r="E449" s="28" t="s">
        <v>888</v>
      </c>
    </row>
    <row r="450" ht="102">
      <c r="A450" s="32">
        <v>2517</v>
      </c>
      <c r="B450" s="27" t="s">
        <v>889</v>
      </c>
      <c r="C450" s="28"/>
      <c r="D450" s="28"/>
      <c r="E450" s="32" t="s">
        <v>890</v>
      </c>
    </row>
    <row r="451" ht="25.5">
      <c r="A451" s="28"/>
      <c r="B451" s="27" t="s">
        <v>891</v>
      </c>
      <c r="C451" s="28"/>
      <c r="D451" s="28"/>
      <c r="E451" s="28"/>
    </row>
    <row r="452" ht="38.25">
      <c r="A452" s="28" t="s">
        <v>20</v>
      </c>
      <c r="B452" s="27" t="s">
        <v>892</v>
      </c>
      <c r="C452" s="28" t="s">
        <v>844</v>
      </c>
      <c r="D452" s="32">
        <v>116</v>
      </c>
      <c r="E452" s="28" t="s">
        <v>893</v>
      </c>
    </row>
    <row r="453" ht="33" customHeight="1">
      <c r="A453" s="28" t="s">
        <v>24</v>
      </c>
      <c r="B453" s="27" t="s">
        <v>894</v>
      </c>
      <c r="C453" s="63" t="s">
        <v>895</v>
      </c>
      <c r="D453" s="32">
        <v>1765</v>
      </c>
      <c r="E453" s="28" t="s">
        <v>896</v>
      </c>
    </row>
    <row r="454" ht="25.5">
      <c r="A454" s="32">
        <v>2518</v>
      </c>
      <c r="B454" s="27" t="s">
        <v>897</v>
      </c>
      <c r="C454" s="28"/>
      <c r="D454" s="28"/>
      <c r="E454" s="32" t="s">
        <v>898</v>
      </c>
    </row>
    <row r="455">
      <c r="A455" s="28" t="s">
        <v>20</v>
      </c>
      <c r="B455" s="27" t="s">
        <v>899</v>
      </c>
      <c r="C455" s="28" t="s">
        <v>844</v>
      </c>
      <c r="D455" s="32">
        <v>232</v>
      </c>
      <c r="E455" s="28" t="s">
        <v>900</v>
      </c>
    </row>
    <row r="456">
      <c r="A456" s="28" t="s">
        <v>24</v>
      </c>
      <c r="B456" s="27" t="s">
        <v>901</v>
      </c>
      <c r="C456" s="28" t="s">
        <v>844</v>
      </c>
      <c r="D456" s="32">
        <v>761</v>
      </c>
      <c r="E456" s="28" t="s">
        <v>902</v>
      </c>
    </row>
    <row r="457" ht="25.5">
      <c r="A457" s="32">
        <v>2519</v>
      </c>
      <c r="B457" s="27" t="s">
        <v>903</v>
      </c>
      <c r="C457" s="28"/>
      <c r="D457" s="28"/>
      <c r="E457" s="32" t="s">
        <v>904</v>
      </c>
    </row>
    <row r="458">
      <c r="A458" s="28" t="s">
        <v>20</v>
      </c>
      <c r="B458" s="27" t="s">
        <v>905</v>
      </c>
      <c r="C458" s="28" t="s">
        <v>844</v>
      </c>
      <c r="D458" s="32">
        <v>1032</v>
      </c>
      <c r="E458" s="28" t="s">
        <v>906</v>
      </c>
    </row>
    <row r="459">
      <c r="A459" s="28" t="s">
        <v>24</v>
      </c>
      <c r="B459" s="27" t="s">
        <v>907</v>
      </c>
      <c r="C459" s="28" t="s">
        <v>844</v>
      </c>
      <c r="D459" s="32">
        <v>1993</v>
      </c>
      <c r="E459" s="28" t="s">
        <v>908</v>
      </c>
    </row>
    <row r="460" ht="38.25">
      <c r="A460" s="32">
        <v>2520</v>
      </c>
      <c r="B460" s="27" t="s">
        <v>909</v>
      </c>
      <c r="C460" s="28" t="s">
        <v>844</v>
      </c>
      <c r="D460" s="32">
        <v>370</v>
      </c>
      <c r="E460" s="32" t="s">
        <v>910</v>
      </c>
    </row>
    <row r="461" ht="51">
      <c r="A461" s="32">
        <v>2521</v>
      </c>
      <c r="B461" s="27" t="s">
        <v>911</v>
      </c>
      <c r="C461" s="28" t="s">
        <v>22</v>
      </c>
      <c r="D461" s="32">
        <v>1204</v>
      </c>
      <c r="E461" s="32" t="s">
        <v>912</v>
      </c>
    </row>
    <row r="462" ht="51">
      <c r="A462" s="32">
        <v>2522</v>
      </c>
      <c r="B462" s="27" t="s">
        <v>913</v>
      </c>
      <c r="C462" s="28" t="s">
        <v>22</v>
      </c>
      <c r="D462" s="32">
        <v>734</v>
      </c>
      <c r="E462" s="32" t="s">
        <v>914</v>
      </c>
    </row>
    <row r="463">
      <c r="A463" s="32">
        <v>2523</v>
      </c>
      <c r="B463" s="27" t="s">
        <v>915</v>
      </c>
      <c r="C463" s="28"/>
      <c r="D463" s="28"/>
      <c r="E463" s="32" t="s">
        <v>916</v>
      </c>
    </row>
    <row r="464" ht="25.5">
      <c r="A464" s="28" t="s">
        <v>20</v>
      </c>
      <c r="B464" s="27" t="s">
        <v>917</v>
      </c>
      <c r="C464" s="28" t="s">
        <v>872</v>
      </c>
      <c r="D464" s="32">
        <v>5007</v>
      </c>
      <c r="E464" s="28" t="s">
        <v>918</v>
      </c>
    </row>
    <row r="465">
      <c r="A465" s="28" t="s">
        <v>24</v>
      </c>
      <c r="B465" s="27" t="s">
        <v>919</v>
      </c>
      <c r="C465" s="28" t="s">
        <v>704</v>
      </c>
      <c r="D465" s="32">
        <v>587</v>
      </c>
      <c r="E465" s="28" t="s">
        <v>920</v>
      </c>
    </row>
    <row r="466" ht="51">
      <c r="A466" s="32">
        <v>2524</v>
      </c>
      <c r="B466" s="27" t="s">
        <v>921</v>
      </c>
      <c r="C466" s="28" t="s">
        <v>22</v>
      </c>
      <c r="D466" s="32">
        <v>766</v>
      </c>
      <c r="E466" s="32" t="s">
        <v>922</v>
      </c>
    </row>
    <row r="467">
      <c r="A467" s="32">
        <v>2525</v>
      </c>
      <c r="B467" s="41" t="s">
        <v>923</v>
      </c>
      <c r="C467" s="28"/>
      <c r="D467" s="28"/>
      <c r="E467" s="32" t="s">
        <v>924</v>
      </c>
    </row>
    <row r="468" ht="38.25">
      <c r="A468" s="28" t="s">
        <v>20</v>
      </c>
      <c r="B468" s="27" t="s">
        <v>925</v>
      </c>
      <c r="C468" s="28" t="s">
        <v>704</v>
      </c>
      <c r="D468" s="32">
        <v>10</v>
      </c>
      <c r="E468" s="28" t="s">
        <v>926</v>
      </c>
    </row>
    <row r="469" ht="25.5">
      <c r="A469" s="28" t="s">
        <v>24</v>
      </c>
      <c r="B469" s="27" t="s">
        <v>927</v>
      </c>
      <c r="C469" s="28" t="s">
        <v>704</v>
      </c>
      <c r="D469" s="32">
        <v>5</v>
      </c>
      <c r="E469" s="28" t="s">
        <v>928</v>
      </c>
    </row>
    <row r="470" ht="38.25">
      <c r="A470" s="32">
        <v>2526</v>
      </c>
      <c r="B470" s="27" t="s">
        <v>929</v>
      </c>
      <c r="C470" s="28" t="s">
        <v>159</v>
      </c>
      <c r="D470" s="32">
        <v>4500</v>
      </c>
      <c r="E470" s="32" t="s">
        <v>930</v>
      </c>
    </row>
    <row r="471" s="6" customFormat="1" ht="25.5">
      <c r="A471" s="64">
        <v>2527</v>
      </c>
      <c r="B471" s="42" t="s">
        <v>931</v>
      </c>
      <c r="C471" s="66" t="s">
        <v>844</v>
      </c>
      <c r="D471" s="64">
        <v>674</v>
      </c>
      <c r="E471" s="64" t="s">
        <v>932</v>
      </c>
      <c r="I471" s="67"/>
    </row>
    <row r="472" s="6" customFormat="1" ht="38.25">
      <c r="A472" s="64">
        <v>2528</v>
      </c>
      <c r="B472" s="42" t="s">
        <v>933</v>
      </c>
      <c r="C472" s="66" t="s">
        <v>829</v>
      </c>
      <c r="D472" s="64">
        <v>460</v>
      </c>
      <c r="E472" s="64" t="s">
        <v>934</v>
      </c>
    </row>
    <row r="473" s="6" customFormat="1">
      <c r="A473" s="64">
        <v>2529</v>
      </c>
      <c r="B473" s="42" t="s">
        <v>935</v>
      </c>
      <c r="C473" s="66" t="s">
        <v>844</v>
      </c>
      <c r="D473" s="64">
        <v>2174</v>
      </c>
      <c r="E473" s="64" t="s">
        <v>936</v>
      </c>
    </row>
    <row r="474" s="6" customFormat="1" ht="25.5">
      <c r="A474" s="64">
        <v>2530</v>
      </c>
      <c r="B474" s="42" t="s">
        <v>937</v>
      </c>
      <c r="C474" s="66" t="s">
        <v>293</v>
      </c>
      <c r="D474" s="64">
        <v>11682</v>
      </c>
      <c r="E474" s="64" t="s">
        <v>938</v>
      </c>
    </row>
    <row r="475" s="6" customFormat="1">
      <c r="A475" s="64"/>
      <c r="C475" s="66"/>
      <c r="D475" s="64"/>
      <c r="E475" s="64"/>
    </row>
    <row r="476">
      <c r="A476" s="32"/>
      <c r="B476" s="32"/>
      <c r="C476" s="32"/>
      <c r="D476" s="32"/>
    </row>
    <row r="477">
      <c r="A477" s="34" t="s">
        <v>939</v>
      </c>
      <c r="B477" s="34"/>
      <c r="C477" s="34"/>
      <c r="D477" s="34"/>
    </row>
    <row r="478">
      <c r="A478" s="32">
        <v>2601</v>
      </c>
      <c r="B478" s="27" t="s">
        <v>940</v>
      </c>
      <c r="C478" s="28"/>
      <c r="D478" s="28"/>
      <c r="E478" s="32" t="s">
        <v>941</v>
      </c>
    </row>
    <row r="479" ht="102">
      <c r="A479" s="28" t="s">
        <v>20</v>
      </c>
      <c r="B479" s="27" t="s">
        <v>942</v>
      </c>
      <c r="C479" s="17" t="s">
        <v>943</v>
      </c>
      <c r="D479" s="32">
        <v>15324</v>
      </c>
      <c r="E479" s="28" t="s">
        <v>944</v>
      </c>
    </row>
    <row r="480" ht="76.5">
      <c r="A480" s="28" t="s">
        <v>24</v>
      </c>
      <c r="B480" s="27" t="s">
        <v>945</v>
      </c>
      <c r="C480" s="17" t="s">
        <v>943</v>
      </c>
      <c r="D480" s="32">
        <v>10809</v>
      </c>
      <c r="E480" s="28" t="s">
        <v>946</v>
      </c>
    </row>
    <row r="481" ht="38.25">
      <c r="A481" s="28" t="s">
        <v>42</v>
      </c>
      <c r="B481" s="27" t="s">
        <v>947</v>
      </c>
      <c r="C481" s="17" t="s">
        <v>872</v>
      </c>
      <c r="D481" s="32">
        <v>405</v>
      </c>
      <c r="E481" s="28" t="s">
        <v>948</v>
      </c>
    </row>
    <row r="482" ht="25.5">
      <c r="A482" s="28" t="s">
        <v>69</v>
      </c>
      <c r="B482" s="27" t="s">
        <v>949</v>
      </c>
      <c r="C482" s="17" t="s">
        <v>943</v>
      </c>
      <c r="D482" s="32">
        <v>368</v>
      </c>
      <c r="E482" s="28" t="s">
        <v>950</v>
      </c>
    </row>
    <row r="483" ht="25.5">
      <c r="A483" s="32">
        <v>2602</v>
      </c>
      <c r="B483" s="27" t="s">
        <v>951</v>
      </c>
      <c r="C483" s="17" t="s">
        <v>943</v>
      </c>
      <c r="D483" s="32">
        <v>559</v>
      </c>
      <c r="E483" s="32" t="s">
        <v>952</v>
      </c>
    </row>
    <row r="484" ht="25.5">
      <c r="A484" s="32">
        <v>2603</v>
      </c>
      <c r="B484" s="27" t="s">
        <v>953</v>
      </c>
      <c r="C484" s="28" t="s">
        <v>954</v>
      </c>
      <c r="D484" s="32">
        <v>178</v>
      </c>
      <c r="E484" s="32" t="s">
        <v>955</v>
      </c>
    </row>
    <row r="485" ht="25.5">
      <c r="A485" s="32">
        <v>2604</v>
      </c>
      <c r="B485" s="27" t="s">
        <v>956</v>
      </c>
      <c r="C485" s="28" t="s">
        <v>957</v>
      </c>
      <c r="D485" s="32">
        <v>183</v>
      </c>
      <c r="E485" s="32" t="s">
        <v>958</v>
      </c>
    </row>
    <row r="486">
      <c r="A486" s="32">
        <v>2605</v>
      </c>
      <c r="B486" s="27" t="s">
        <v>959</v>
      </c>
      <c r="C486" s="63"/>
      <c r="D486" s="28"/>
      <c r="E486" s="32" t="s">
        <v>960</v>
      </c>
    </row>
    <row r="487" ht="24">
      <c r="A487" s="28" t="s">
        <v>20</v>
      </c>
      <c r="B487" s="27" t="s">
        <v>961</v>
      </c>
      <c r="C487" s="63" t="s">
        <v>957</v>
      </c>
      <c r="D487" s="32">
        <v>228</v>
      </c>
      <c r="E487" s="28" t="s">
        <v>962</v>
      </c>
    </row>
    <row r="488" ht="25.5">
      <c r="A488" s="28" t="s">
        <v>24</v>
      </c>
      <c r="B488" s="27" t="s">
        <v>963</v>
      </c>
      <c r="C488" s="63" t="s">
        <v>957</v>
      </c>
      <c r="D488" s="32">
        <v>301</v>
      </c>
      <c r="E488" s="28" t="s">
        <v>964</v>
      </c>
    </row>
    <row r="489" ht="24">
      <c r="A489" s="28" t="s">
        <v>42</v>
      </c>
      <c r="B489" s="27" t="s">
        <v>965</v>
      </c>
      <c r="C489" s="63" t="s">
        <v>957</v>
      </c>
      <c r="D489" s="32">
        <v>145</v>
      </c>
      <c r="E489" s="28" t="s">
        <v>966</v>
      </c>
    </row>
    <row r="490" ht="24">
      <c r="A490" s="28" t="s">
        <v>69</v>
      </c>
      <c r="B490" s="27" t="s">
        <v>967</v>
      </c>
      <c r="C490" s="63" t="s">
        <v>957</v>
      </c>
      <c r="D490" s="32">
        <v>88</v>
      </c>
      <c r="E490" s="28" t="s">
        <v>968</v>
      </c>
    </row>
    <row r="491" ht="25.5">
      <c r="A491" s="28" t="s">
        <v>72</v>
      </c>
      <c r="B491" s="27" t="s">
        <v>969</v>
      </c>
      <c r="C491" s="63" t="s">
        <v>957</v>
      </c>
      <c r="D491" s="32">
        <v>203</v>
      </c>
      <c r="E491" s="28" t="s">
        <v>970</v>
      </c>
    </row>
    <row r="492" ht="25.5">
      <c r="A492" s="28" t="s">
        <v>75</v>
      </c>
      <c r="B492" s="27" t="s">
        <v>971</v>
      </c>
      <c r="C492" s="63" t="s">
        <v>972</v>
      </c>
      <c r="D492" s="32">
        <v>510</v>
      </c>
      <c r="E492" s="28" t="s">
        <v>973</v>
      </c>
    </row>
    <row r="493" ht="25.5">
      <c r="A493" s="28" t="s">
        <v>204</v>
      </c>
      <c r="B493" s="27" t="s">
        <v>974</v>
      </c>
      <c r="C493" s="63" t="s">
        <v>972</v>
      </c>
      <c r="D493" s="32">
        <v>452</v>
      </c>
      <c r="E493" s="28" t="s">
        <v>975</v>
      </c>
    </row>
    <row r="494" ht="51">
      <c r="A494" s="28" t="s">
        <v>419</v>
      </c>
      <c r="B494" s="27" t="s">
        <v>976</v>
      </c>
      <c r="C494" s="17" t="s">
        <v>880</v>
      </c>
      <c r="D494" s="32">
        <v>65659</v>
      </c>
      <c r="E494" s="28" t="s">
        <v>977</v>
      </c>
    </row>
    <row r="495" ht="38.25">
      <c r="A495" s="28" t="s">
        <v>422</v>
      </c>
      <c r="B495" s="27" t="s">
        <v>978</v>
      </c>
      <c r="C495" s="17" t="s">
        <v>872</v>
      </c>
      <c r="D495" s="32">
        <v>28005</v>
      </c>
      <c r="E495" s="28" t="s">
        <v>979</v>
      </c>
    </row>
    <row r="496" ht="36">
      <c r="A496" s="32">
        <v>2606</v>
      </c>
      <c r="B496" s="27" t="s">
        <v>980</v>
      </c>
      <c r="C496" s="63" t="s">
        <v>981</v>
      </c>
      <c r="D496" s="32">
        <v>14</v>
      </c>
      <c r="E496" s="32" t="s">
        <v>982</v>
      </c>
    </row>
    <row r="497" ht="38.25">
      <c r="A497" s="32">
        <v>2607</v>
      </c>
      <c r="B497" s="27" t="s">
        <v>983</v>
      </c>
      <c r="C497" s="68" t="s">
        <v>984</v>
      </c>
      <c r="D497" s="32">
        <v>338</v>
      </c>
      <c r="E497" s="32" t="s">
        <v>985</v>
      </c>
    </row>
    <row r="498">
      <c r="A498" s="32">
        <v>2608</v>
      </c>
      <c r="B498" s="27" t="s">
        <v>986</v>
      </c>
      <c r="D498" s="28"/>
      <c r="E498" s="32" t="s">
        <v>987</v>
      </c>
    </row>
    <row r="499">
      <c r="A499" s="28" t="s">
        <v>20</v>
      </c>
      <c r="B499" s="27" t="s">
        <v>988</v>
      </c>
      <c r="C499" s="17" t="s">
        <v>943</v>
      </c>
      <c r="D499" s="32">
        <v>776</v>
      </c>
      <c r="E499" s="28" t="s">
        <v>989</v>
      </c>
    </row>
    <row r="500">
      <c r="A500" s="28" t="s">
        <v>24</v>
      </c>
      <c r="B500" s="27" t="s">
        <v>990</v>
      </c>
      <c r="C500" s="17" t="s">
        <v>943</v>
      </c>
      <c r="D500" s="32">
        <v>388</v>
      </c>
      <c r="E500" s="28" t="s">
        <v>991</v>
      </c>
    </row>
    <row r="501">
      <c r="A501" s="32">
        <v>2609</v>
      </c>
      <c r="B501" s="41" t="s">
        <v>992</v>
      </c>
      <c r="D501" s="28"/>
      <c r="E501" s="32" t="s">
        <v>993</v>
      </c>
    </row>
    <row r="502" ht="63.75">
      <c r="A502" s="28" t="s">
        <v>20</v>
      </c>
      <c r="B502" s="27" t="s">
        <v>994</v>
      </c>
      <c r="C502" s="17" t="s">
        <v>995</v>
      </c>
      <c r="D502" s="32">
        <v>1035</v>
      </c>
      <c r="E502" s="28" t="s">
        <v>996</v>
      </c>
    </row>
    <row r="503" ht="25.5">
      <c r="A503" s="28" t="s">
        <v>24</v>
      </c>
      <c r="B503" s="27" t="s">
        <v>997</v>
      </c>
      <c r="C503" s="17" t="s">
        <v>943</v>
      </c>
      <c r="D503" s="32">
        <v>1645</v>
      </c>
      <c r="E503" s="28" t="s">
        <v>998</v>
      </c>
    </row>
    <row r="504" ht="102">
      <c r="A504" s="32">
        <v>2610</v>
      </c>
      <c r="B504" s="27" t="s">
        <v>999</v>
      </c>
      <c r="D504" s="28"/>
      <c r="E504" s="32" t="s">
        <v>1000</v>
      </c>
    </row>
    <row r="505">
      <c r="A505" s="28" t="s">
        <v>20</v>
      </c>
      <c r="B505" s="27" t="s">
        <v>1001</v>
      </c>
      <c r="C505" s="17" t="s">
        <v>943</v>
      </c>
      <c r="D505" s="32">
        <v>4053</v>
      </c>
      <c r="E505" s="28" t="s">
        <v>1002</v>
      </c>
    </row>
    <row r="506">
      <c r="A506" s="28" t="s">
        <v>24</v>
      </c>
      <c r="B506" s="27" t="s">
        <v>1003</v>
      </c>
      <c r="C506" s="17" t="s">
        <v>943</v>
      </c>
      <c r="D506" s="32">
        <v>2683</v>
      </c>
      <c r="E506" s="28" t="s">
        <v>1004</v>
      </c>
    </row>
    <row r="507">
      <c r="A507" s="28" t="s">
        <v>42</v>
      </c>
      <c r="B507" s="27" t="s">
        <v>1005</v>
      </c>
      <c r="C507" s="17" t="s">
        <v>943</v>
      </c>
      <c r="D507" s="32">
        <v>2217</v>
      </c>
      <c r="E507" s="28" t="s">
        <v>1006</v>
      </c>
    </row>
    <row r="508" ht="63.75">
      <c r="A508" s="32">
        <v>2611</v>
      </c>
      <c r="B508" s="27" t="s">
        <v>1007</v>
      </c>
      <c r="D508" s="28"/>
      <c r="E508" s="32" t="s">
        <v>1008</v>
      </c>
    </row>
    <row r="509">
      <c r="A509" s="28" t="s">
        <v>20</v>
      </c>
      <c r="B509" s="27" t="s">
        <v>1009</v>
      </c>
      <c r="C509" s="17" t="s">
        <v>943</v>
      </c>
      <c r="D509" s="32">
        <v>1791</v>
      </c>
      <c r="E509" s="28" t="s">
        <v>1010</v>
      </c>
    </row>
    <row r="510">
      <c r="A510" s="28" t="s">
        <v>24</v>
      </c>
      <c r="B510" s="27" t="s">
        <v>1011</v>
      </c>
      <c r="C510" s="17" t="s">
        <v>943</v>
      </c>
      <c r="D510" s="32">
        <v>1712</v>
      </c>
      <c r="E510" s="28" t="s">
        <v>1012</v>
      </c>
    </row>
    <row r="511" ht="63.75">
      <c r="A511" s="32">
        <v>2612</v>
      </c>
      <c r="B511" s="27" t="s">
        <v>1013</v>
      </c>
      <c r="D511" s="28"/>
      <c r="E511" s="32" t="s">
        <v>1014</v>
      </c>
    </row>
    <row r="512">
      <c r="A512" s="28" t="s">
        <v>20</v>
      </c>
      <c r="B512" s="27" t="s">
        <v>1015</v>
      </c>
      <c r="C512" s="17" t="s">
        <v>943</v>
      </c>
      <c r="D512" s="32">
        <v>1239</v>
      </c>
      <c r="E512" s="28" t="s">
        <v>1016</v>
      </c>
    </row>
    <row r="513">
      <c r="A513" s="28" t="s">
        <v>24</v>
      </c>
      <c r="B513" s="27" t="s">
        <v>1017</v>
      </c>
      <c r="C513" s="17" t="s">
        <v>943</v>
      </c>
      <c r="D513" s="32">
        <v>650</v>
      </c>
      <c r="E513" s="28" t="s">
        <v>1018</v>
      </c>
    </row>
    <row r="514" ht="25.5">
      <c r="A514" s="32">
        <v>2613</v>
      </c>
      <c r="B514" s="27" t="s">
        <v>1019</v>
      </c>
      <c r="C514" s="17" t="s">
        <v>1020</v>
      </c>
      <c r="D514" s="32">
        <v>170</v>
      </c>
      <c r="E514" s="32" t="s">
        <v>1021</v>
      </c>
    </row>
    <row r="515" ht="63.75">
      <c r="A515" s="32">
        <v>2614</v>
      </c>
      <c r="B515" s="27" t="s">
        <v>1022</v>
      </c>
      <c r="C515" s="17" t="s">
        <v>943</v>
      </c>
      <c r="D515" s="32">
        <v>762</v>
      </c>
      <c r="E515" s="32" t="s">
        <v>1023</v>
      </c>
    </row>
    <row r="516">
      <c r="A516" s="32"/>
      <c r="B516" s="32"/>
      <c r="C516" s="32"/>
      <c r="D516" s="32"/>
    </row>
    <row r="517">
      <c r="A517" s="34" t="s">
        <v>1024</v>
      </c>
      <c r="B517" s="34"/>
      <c r="C517" s="34"/>
      <c r="D517" s="34"/>
    </row>
    <row r="518" ht="89.25">
      <c r="A518" s="32">
        <v>2701</v>
      </c>
      <c r="B518" s="27" t="s">
        <v>1025</v>
      </c>
      <c r="C518" s="28" t="s">
        <v>22</v>
      </c>
      <c r="D518" s="32">
        <v>6652</v>
      </c>
      <c r="E518" s="32" t="s">
        <v>1026</v>
      </c>
    </row>
    <row r="519" ht="393.75" customHeight="1">
      <c r="A519" s="32">
        <v>2702</v>
      </c>
      <c r="B519" s="27" t="s">
        <v>1027</v>
      </c>
      <c r="C519" s="28" t="s">
        <v>22</v>
      </c>
      <c r="D519" s="32">
        <v>24286</v>
      </c>
      <c r="E519" s="32" t="s">
        <v>1028</v>
      </c>
    </row>
    <row r="520" ht="38.25">
      <c r="A520" s="32">
        <v>2703</v>
      </c>
      <c r="B520" s="27" t="s">
        <v>1029</v>
      </c>
      <c r="C520" s="28" t="s">
        <v>1030</v>
      </c>
      <c r="D520" s="32">
        <v>902</v>
      </c>
      <c r="E520" s="32" t="s">
        <v>1031</v>
      </c>
    </row>
    <row r="521" ht="51">
      <c r="A521" s="32">
        <v>2704</v>
      </c>
      <c r="B521" s="27" t="s">
        <v>1032</v>
      </c>
      <c r="C521" s="28" t="s">
        <v>895</v>
      </c>
      <c r="D521" s="32">
        <v>285013</v>
      </c>
      <c r="E521" s="32" t="s">
        <v>1033</v>
      </c>
    </row>
    <row r="522" ht="140.25">
      <c r="A522" s="32">
        <v>2705</v>
      </c>
      <c r="B522" s="27" t="s">
        <v>1034</v>
      </c>
      <c r="C522" s="28" t="s">
        <v>22</v>
      </c>
      <c r="D522" s="32">
        <v>315000</v>
      </c>
      <c r="E522" s="32" t="s">
        <v>1035</v>
      </c>
    </row>
    <row r="523" ht="51">
      <c r="A523" s="32">
        <v>2706</v>
      </c>
      <c r="B523" s="27" t="s">
        <v>1036</v>
      </c>
      <c r="C523" s="28" t="s">
        <v>22</v>
      </c>
      <c r="D523" s="32">
        <v>66720</v>
      </c>
      <c r="E523" s="32" t="s">
        <v>1037</v>
      </c>
    </row>
    <row r="524" ht="38.25">
      <c r="A524" s="32">
        <v>2707</v>
      </c>
      <c r="B524" s="27" t="s">
        <v>1038</v>
      </c>
      <c r="C524" s="28" t="s">
        <v>22</v>
      </c>
      <c r="D524" s="32">
        <v>736</v>
      </c>
      <c r="E524" s="32" t="s">
        <v>1039</v>
      </c>
    </row>
    <row r="525" ht="38.25">
      <c r="A525" s="32">
        <v>2708</v>
      </c>
      <c r="B525" s="27" t="s">
        <v>1040</v>
      </c>
      <c r="C525" s="28" t="s">
        <v>22</v>
      </c>
      <c r="D525" s="32">
        <v>156</v>
      </c>
      <c r="E525" s="32" t="s">
        <v>1041</v>
      </c>
    </row>
    <row r="526" ht="76.5">
      <c r="A526" s="32">
        <v>2709</v>
      </c>
      <c r="B526" s="27" t="s">
        <v>1042</v>
      </c>
      <c r="C526" s="28" t="s">
        <v>159</v>
      </c>
      <c r="D526" s="32">
        <v>2750</v>
      </c>
      <c r="E526" s="32" t="s">
        <v>1043</v>
      </c>
    </row>
    <row r="527" ht="25.5">
      <c r="A527" s="32">
        <v>2710</v>
      </c>
      <c r="B527" s="27" t="s">
        <v>1044</v>
      </c>
      <c r="C527" s="28" t="s">
        <v>1045</v>
      </c>
      <c r="D527" s="32">
        <v>31</v>
      </c>
      <c r="E527" s="32" t="s">
        <v>1046</v>
      </c>
    </row>
    <row r="528" ht="267.75">
      <c r="A528" s="38">
        <v>2711</v>
      </c>
      <c r="B528" s="27" t="s">
        <v>1047</v>
      </c>
      <c r="C528" s="28" t="s">
        <v>30</v>
      </c>
      <c r="D528" s="32">
        <v>6338</v>
      </c>
      <c r="E528" s="32" t="s">
        <v>1048</v>
      </c>
    </row>
    <row r="529" ht="51">
      <c r="A529" s="32">
        <v>2712</v>
      </c>
      <c r="B529" s="27" t="s">
        <v>1049</v>
      </c>
      <c r="C529" s="28" t="s">
        <v>844</v>
      </c>
      <c r="D529" s="32">
        <v>34</v>
      </c>
      <c r="E529" s="32" t="s">
        <v>1050</v>
      </c>
    </row>
    <row r="530" ht="136.5" customHeight="1">
      <c r="A530" s="32">
        <v>2713</v>
      </c>
      <c r="B530" s="27" t="s">
        <v>1051</v>
      </c>
      <c r="C530" s="28" t="s">
        <v>844</v>
      </c>
      <c r="D530" s="32">
        <v>294</v>
      </c>
      <c r="E530" s="32" t="s">
        <v>1052</v>
      </c>
    </row>
    <row r="531" ht="38.25">
      <c r="A531" s="32">
        <v>2714</v>
      </c>
      <c r="B531" s="27" t="s">
        <v>1053</v>
      </c>
      <c r="C531" s="28" t="s">
        <v>1054</v>
      </c>
      <c r="D531" s="32">
        <v>349</v>
      </c>
      <c r="E531" s="32" t="s">
        <v>1055</v>
      </c>
    </row>
    <row r="532">
      <c r="A532" s="32"/>
      <c r="B532" s="32"/>
      <c r="C532" s="32"/>
      <c r="D532" s="32"/>
    </row>
    <row r="533">
      <c r="A533" s="34" t="s">
        <v>1056</v>
      </c>
      <c r="B533" s="34"/>
      <c r="C533" s="34"/>
      <c r="D533" s="34"/>
    </row>
    <row r="534" ht="229.5">
      <c r="A534" s="38">
        <v>2801</v>
      </c>
      <c r="B534" s="27" t="s">
        <v>1057</v>
      </c>
      <c r="C534" s="28" t="s">
        <v>22</v>
      </c>
      <c r="D534" s="32">
        <v>15360</v>
      </c>
      <c r="E534" s="32" t="s">
        <v>1058</v>
      </c>
    </row>
    <row r="535" ht="153">
      <c r="A535" s="32">
        <v>2802</v>
      </c>
      <c r="B535" s="27" t="s">
        <v>1059</v>
      </c>
      <c r="C535" s="28" t="s">
        <v>22</v>
      </c>
      <c r="D535" s="32">
        <v>6805</v>
      </c>
      <c r="E535" s="32" t="s">
        <v>1060</v>
      </c>
    </row>
    <row r="536" ht="89.25">
      <c r="A536" s="32">
        <v>2803</v>
      </c>
      <c r="B536" s="27" t="s">
        <v>1061</v>
      </c>
      <c r="C536" s="28" t="s">
        <v>22</v>
      </c>
      <c r="D536" s="32">
        <v>2364</v>
      </c>
      <c r="E536" s="32" t="s">
        <v>1062</v>
      </c>
    </row>
    <row r="537" ht="63.75">
      <c r="A537" s="32">
        <v>2804</v>
      </c>
      <c r="B537" s="27" t="s">
        <v>1063</v>
      </c>
      <c r="C537" s="28"/>
      <c r="D537" s="28"/>
      <c r="E537" s="32" t="s">
        <v>1064</v>
      </c>
    </row>
    <row r="538">
      <c r="A538" s="28" t="s">
        <v>20</v>
      </c>
      <c r="B538" s="27" t="s">
        <v>1065</v>
      </c>
      <c r="C538" s="28" t="s">
        <v>22</v>
      </c>
      <c r="D538" s="32">
        <v>2156</v>
      </c>
      <c r="E538" s="28" t="s">
        <v>1066</v>
      </c>
    </row>
    <row r="539">
      <c r="A539" s="28" t="s">
        <v>24</v>
      </c>
      <c r="B539" s="27" t="s">
        <v>1067</v>
      </c>
      <c r="C539" s="28" t="s">
        <v>22</v>
      </c>
      <c r="D539" s="32">
        <v>2554</v>
      </c>
      <c r="E539" s="28" t="s">
        <v>1068</v>
      </c>
    </row>
    <row r="540">
      <c r="A540" s="28" t="s">
        <v>42</v>
      </c>
      <c r="B540" s="27" t="s">
        <v>1069</v>
      </c>
      <c r="C540" s="28" t="s">
        <v>22</v>
      </c>
      <c r="D540" s="32">
        <v>2951</v>
      </c>
      <c r="E540" s="28" t="s">
        <v>1070</v>
      </c>
    </row>
    <row r="541">
      <c r="A541" s="28" t="s">
        <v>69</v>
      </c>
      <c r="B541" s="27" t="s">
        <v>1071</v>
      </c>
      <c r="C541" s="28" t="s">
        <v>22</v>
      </c>
      <c r="D541" s="32">
        <v>4456</v>
      </c>
      <c r="E541" s="28" t="s">
        <v>1072</v>
      </c>
    </row>
    <row r="542">
      <c r="A542" s="28" t="s">
        <v>72</v>
      </c>
      <c r="B542" s="27" t="s">
        <v>1073</v>
      </c>
      <c r="C542" s="28" t="s">
        <v>22</v>
      </c>
      <c r="D542" s="32">
        <v>5152</v>
      </c>
      <c r="E542" s="28" t="s">
        <v>1074</v>
      </c>
    </row>
    <row r="543">
      <c r="A543" s="28" t="s">
        <v>75</v>
      </c>
      <c r="B543" s="27" t="s">
        <v>1075</v>
      </c>
      <c r="C543" s="28" t="s">
        <v>22</v>
      </c>
      <c r="D543" s="32">
        <v>1053</v>
      </c>
      <c r="E543" s="28" t="s">
        <v>1076</v>
      </c>
    </row>
    <row r="544" ht="63.75">
      <c r="A544" s="38">
        <v>2805</v>
      </c>
      <c r="B544" s="27" t="s">
        <v>1077</v>
      </c>
      <c r="C544" s="28" t="s">
        <v>22</v>
      </c>
      <c r="D544" s="32">
        <v>3868</v>
      </c>
      <c r="E544" s="32" t="s">
        <v>1078</v>
      </c>
    </row>
    <row r="545" ht="89.25">
      <c r="A545" s="38">
        <v>2806</v>
      </c>
      <c r="B545" s="27" t="s">
        <v>1079</v>
      </c>
      <c r="C545" s="28" t="s">
        <v>22</v>
      </c>
      <c r="D545" s="32">
        <v>1998</v>
      </c>
      <c r="E545" s="32" t="s">
        <v>1080</v>
      </c>
    </row>
    <row r="546" ht="38.25">
      <c r="A546" s="32">
        <v>2807</v>
      </c>
      <c r="B546" s="27" t="s">
        <v>1081</v>
      </c>
      <c r="C546" s="28" t="s">
        <v>877</v>
      </c>
      <c r="D546" s="32">
        <v>469</v>
      </c>
      <c r="E546" s="32" t="s">
        <v>1082</v>
      </c>
    </row>
    <row r="547">
      <c r="A547" s="32">
        <v>2808</v>
      </c>
      <c r="B547" s="27" t="s">
        <v>1083</v>
      </c>
      <c r="C547" s="28"/>
      <c r="D547" s="28"/>
      <c r="E547" s="32" t="s">
        <v>1084</v>
      </c>
    </row>
    <row r="548">
      <c r="A548" s="28" t="s">
        <v>20</v>
      </c>
      <c r="B548" s="27" t="s">
        <v>1085</v>
      </c>
      <c r="C548" s="28" t="s">
        <v>22</v>
      </c>
      <c r="D548" s="32">
        <v>103</v>
      </c>
      <c r="E548" s="28" t="s">
        <v>1086</v>
      </c>
    </row>
    <row r="549">
      <c r="A549" s="28" t="s">
        <v>24</v>
      </c>
      <c r="B549" s="27" t="s">
        <v>1087</v>
      </c>
      <c r="C549" s="28" t="s">
        <v>22</v>
      </c>
      <c r="D549" s="32">
        <v>72</v>
      </c>
      <c r="E549" s="28" t="s">
        <v>1088</v>
      </c>
    </row>
    <row r="550">
      <c r="A550" s="28" t="s">
        <v>42</v>
      </c>
      <c r="B550" s="27" t="s">
        <v>1089</v>
      </c>
      <c r="C550" s="28" t="s">
        <v>22</v>
      </c>
      <c r="D550" s="32">
        <v>80</v>
      </c>
      <c r="E550" s="28" t="s">
        <v>1090</v>
      </c>
    </row>
    <row r="551">
      <c r="A551" s="28" t="s">
        <v>69</v>
      </c>
      <c r="B551" s="27" t="s">
        <v>1091</v>
      </c>
      <c r="C551" s="28" t="s">
        <v>943</v>
      </c>
      <c r="D551" s="32">
        <v>721</v>
      </c>
      <c r="E551" s="28" t="s">
        <v>1092</v>
      </c>
    </row>
    <row r="552" ht="63.75">
      <c r="A552" s="32">
        <v>2809</v>
      </c>
      <c r="B552" s="27" t="s">
        <v>1093</v>
      </c>
      <c r="C552" s="28" t="s">
        <v>22</v>
      </c>
      <c r="D552" s="32">
        <v>8400</v>
      </c>
      <c r="E552" s="32" t="s">
        <v>1094</v>
      </c>
    </row>
    <row r="553" ht="51">
      <c r="A553" s="32">
        <v>2810</v>
      </c>
      <c r="B553" s="27" t="s">
        <v>1095</v>
      </c>
      <c r="C553" s="28" t="s">
        <v>22</v>
      </c>
      <c r="D553" s="32">
        <v>4194</v>
      </c>
      <c r="E553" s="32" t="s">
        <v>1096</v>
      </c>
    </row>
    <row r="554" ht="51">
      <c r="A554" s="32">
        <v>2811</v>
      </c>
      <c r="B554" s="27" t="s">
        <v>1097</v>
      </c>
      <c r="C554" s="28" t="s">
        <v>22</v>
      </c>
      <c r="D554" s="32">
        <v>1848</v>
      </c>
      <c r="E554" s="32" t="s">
        <v>1098</v>
      </c>
    </row>
    <row r="555" ht="38.25">
      <c r="A555" s="32">
        <v>2812</v>
      </c>
      <c r="B555" s="27" t="s">
        <v>1099</v>
      </c>
      <c r="C555" s="28" t="s">
        <v>22</v>
      </c>
      <c r="D555" s="32">
        <v>487</v>
      </c>
      <c r="E555" s="32" t="s">
        <v>1100</v>
      </c>
    </row>
    <row r="556" ht="76.5">
      <c r="A556" s="32">
        <v>2813</v>
      </c>
      <c r="B556" s="27" t="s">
        <v>1101</v>
      </c>
      <c r="C556" s="28" t="s">
        <v>22</v>
      </c>
      <c r="D556" s="32">
        <v>5162</v>
      </c>
      <c r="E556" s="32" t="s">
        <v>1102</v>
      </c>
    </row>
    <row r="557" ht="178.5" customHeight="1">
      <c r="A557" s="38">
        <v>2814</v>
      </c>
      <c r="B557" s="27" t="s">
        <v>1103</v>
      </c>
      <c r="C557" s="28" t="s">
        <v>22</v>
      </c>
      <c r="D557" s="32">
        <v>3627</v>
      </c>
      <c r="E557" s="32" t="s">
        <v>1104</v>
      </c>
    </row>
    <row r="558" ht="38.25">
      <c r="A558" s="38">
        <v>2815</v>
      </c>
      <c r="B558" s="27" t="s">
        <v>1105</v>
      </c>
      <c r="C558" s="28" t="s">
        <v>704</v>
      </c>
      <c r="D558" s="32">
        <v>760</v>
      </c>
      <c r="E558" s="32" t="s">
        <v>1106</v>
      </c>
    </row>
    <row r="559">
      <c r="A559" s="38"/>
      <c r="B559" s="38"/>
      <c r="C559" s="38"/>
      <c r="D559" s="32"/>
    </row>
    <row r="560">
      <c r="A560" s="34" t="s">
        <v>1107</v>
      </c>
      <c r="B560" s="34"/>
      <c r="C560" s="34"/>
      <c r="D560" s="34"/>
    </row>
    <row r="561" ht="63.75">
      <c r="A561" s="32">
        <v>2901</v>
      </c>
      <c r="B561" s="27" t="s">
        <v>1108</v>
      </c>
      <c r="C561" s="28" t="s">
        <v>22</v>
      </c>
      <c r="D561" s="32">
        <v>6460</v>
      </c>
      <c r="E561" s="32" t="s">
        <v>1109</v>
      </c>
    </row>
    <row r="562" ht="63.75">
      <c r="A562" s="32">
        <v>2902</v>
      </c>
      <c r="B562" s="27" t="s">
        <v>1110</v>
      </c>
      <c r="C562" s="28" t="s">
        <v>1111</v>
      </c>
      <c r="D562" s="32">
        <v>12067</v>
      </c>
      <c r="E562" s="32" t="s">
        <v>1112</v>
      </c>
    </row>
    <row r="563" ht="38.25">
      <c r="A563" s="32">
        <v>2903</v>
      </c>
      <c r="B563" s="27" t="s">
        <v>1113</v>
      </c>
      <c r="C563" s="28" t="s">
        <v>22</v>
      </c>
      <c r="D563" s="32">
        <v>920</v>
      </c>
      <c r="E563" s="32" t="s">
        <v>1114</v>
      </c>
    </row>
    <row r="564" ht="89.25">
      <c r="A564" s="32">
        <v>2904</v>
      </c>
      <c r="B564" s="27" t="s">
        <v>1115</v>
      </c>
      <c r="C564" s="28" t="s">
        <v>22</v>
      </c>
      <c r="D564" s="32">
        <v>1355</v>
      </c>
      <c r="E564" s="32" t="s">
        <v>1116</v>
      </c>
    </row>
    <row r="565">
      <c r="A565" s="32"/>
      <c r="B565" s="32"/>
      <c r="C565" s="32"/>
      <c r="D565" s="32"/>
    </row>
    <row r="566">
      <c r="A566" s="34" t="s">
        <v>1117</v>
      </c>
      <c r="B566" s="34"/>
      <c r="C566" s="34"/>
      <c r="D566" s="34"/>
    </row>
    <row r="567" ht="76.5">
      <c r="A567" s="32">
        <v>3001</v>
      </c>
      <c r="B567" s="27" t="s">
        <v>1118</v>
      </c>
      <c r="C567" s="28" t="s">
        <v>22</v>
      </c>
      <c r="D567" s="32">
        <v>505</v>
      </c>
      <c r="E567" s="32" t="s">
        <v>1119</v>
      </c>
    </row>
    <row r="568" ht="51">
      <c r="A568" s="32">
        <v>3002</v>
      </c>
      <c r="B568" s="27" t="s">
        <v>1120</v>
      </c>
      <c r="C568" s="28" t="s">
        <v>22</v>
      </c>
      <c r="D568" s="32">
        <v>1509</v>
      </c>
      <c r="E568" s="32" t="s">
        <v>1121</v>
      </c>
    </row>
    <row r="569" ht="51">
      <c r="A569" s="32">
        <v>3003</v>
      </c>
      <c r="B569" s="27" t="s">
        <v>1122</v>
      </c>
      <c r="C569" s="28" t="s">
        <v>1123</v>
      </c>
      <c r="D569" s="32">
        <v>1085</v>
      </c>
      <c r="E569" s="32" t="s">
        <v>1124</v>
      </c>
    </row>
    <row r="570" ht="51">
      <c r="A570" s="32">
        <v>3004</v>
      </c>
      <c r="B570" s="27" t="s">
        <v>1125</v>
      </c>
      <c r="C570" s="28" t="s">
        <v>1126</v>
      </c>
      <c r="D570" s="32">
        <v>649</v>
      </c>
      <c r="E570" s="32" t="s">
        <v>1127</v>
      </c>
    </row>
    <row r="571" ht="63.75">
      <c r="A571" s="32">
        <v>3005</v>
      </c>
      <c r="B571" s="27" t="s">
        <v>1128</v>
      </c>
      <c r="C571" s="28" t="s">
        <v>22</v>
      </c>
      <c r="D571" s="32">
        <v>149</v>
      </c>
      <c r="E571" s="32" t="s">
        <v>1129</v>
      </c>
    </row>
    <row r="572" ht="38.25">
      <c r="A572" s="32">
        <v>3006</v>
      </c>
      <c r="B572" s="27" t="s">
        <v>1130</v>
      </c>
      <c r="C572" s="28" t="s">
        <v>1131</v>
      </c>
      <c r="D572" s="32">
        <v>134</v>
      </c>
      <c r="E572" s="32" t="s">
        <v>1132</v>
      </c>
    </row>
    <row r="573">
      <c r="A573" s="32"/>
      <c r="B573" s="32"/>
      <c r="C573" s="32"/>
      <c r="D573" s="32"/>
    </row>
    <row r="574">
      <c r="A574" s="28" t="s">
        <v>1133</v>
      </c>
      <c r="B574" s="28"/>
      <c r="C574" s="28"/>
      <c r="D574" s="28"/>
    </row>
    <row r="575" ht="63.75">
      <c r="A575" s="38">
        <v>3101</v>
      </c>
      <c r="B575" s="27" t="s">
        <v>1134</v>
      </c>
      <c r="C575" s="28" t="s">
        <v>22</v>
      </c>
      <c r="D575" s="32">
        <v>11763</v>
      </c>
      <c r="E575" s="32" t="s">
        <v>1135</v>
      </c>
    </row>
    <row r="576" ht="63.75">
      <c r="A576" s="38">
        <v>3102</v>
      </c>
      <c r="B576" s="27" t="s">
        <v>1136</v>
      </c>
      <c r="C576" s="28" t="s">
        <v>22</v>
      </c>
      <c r="D576" s="32">
        <v>5314</v>
      </c>
      <c r="E576" s="32" t="s">
        <v>1137</v>
      </c>
    </row>
    <row r="577" ht="38.25">
      <c r="A577" s="38">
        <v>3103</v>
      </c>
      <c r="B577" s="27" t="s">
        <v>1138</v>
      </c>
      <c r="C577" s="28" t="s">
        <v>22</v>
      </c>
      <c r="D577" s="32">
        <v>1563</v>
      </c>
      <c r="E577" s="32" t="s">
        <v>1139</v>
      </c>
    </row>
    <row r="578" ht="76.5">
      <c r="A578" s="38">
        <v>3104</v>
      </c>
      <c r="B578" s="27" t="s">
        <v>1140</v>
      </c>
      <c r="C578" s="28" t="s">
        <v>22</v>
      </c>
      <c r="D578" s="32">
        <v>3627</v>
      </c>
      <c r="E578" s="32" t="s">
        <v>1141</v>
      </c>
    </row>
    <row r="579">
      <c r="A579" s="38"/>
      <c r="B579" s="38"/>
      <c r="C579" s="38"/>
      <c r="D579" s="32"/>
    </row>
    <row r="580">
      <c r="A580" s="28" t="s">
        <v>1142</v>
      </c>
      <c r="B580" s="28"/>
      <c r="C580" s="28"/>
      <c r="D580" s="28"/>
    </row>
    <row r="581" ht="89.25">
      <c r="A581" s="38">
        <v>3201</v>
      </c>
      <c r="B581" s="27" t="s">
        <v>1143</v>
      </c>
      <c r="C581" s="28"/>
      <c r="D581" s="28"/>
      <c r="E581" s="32" t="s">
        <v>1144</v>
      </c>
    </row>
    <row r="582">
      <c r="A582" s="28" t="s">
        <v>20</v>
      </c>
      <c r="B582" s="27" t="s">
        <v>1145</v>
      </c>
      <c r="C582" s="28" t="s">
        <v>22</v>
      </c>
      <c r="D582" s="32">
        <v>33559</v>
      </c>
      <c r="E582" s="28" t="s">
        <v>1146</v>
      </c>
    </row>
    <row r="583">
      <c r="A583" s="28" t="s">
        <v>24</v>
      </c>
      <c r="B583" s="27" t="s">
        <v>1147</v>
      </c>
      <c r="C583" s="28" t="s">
        <v>22</v>
      </c>
      <c r="D583" s="32">
        <v>48507</v>
      </c>
      <c r="E583" s="28" t="s">
        <v>1148</v>
      </c>
    </row>
    <row r="584" ht="38.25">
      <c r="A584" s="32">
        <v>3202</v>
      </c>
      <c r="B584" s="27" t="s">
        <v>1149</v>
      </c>
      <c r="C584" s="28" t="s">
        <v>1150</v>
      </c>
      <c r="D584" s="32">
        <v>4204</v>
      </c>
      <c r="E584" s="32" t="s">
        <v>1151</v>
      </c>
    </row>
    <row r="585" ht="51">
      <c r="A585" s="38">
        <v>3203</v>
      </c>
      <c r="B585" s="27" t="s">
        <v>1152</v>
      </c>
      <c r="C585" s="28" t="s">
        <v>22</v>
      </c>
      <c r="D585" s="32">
        <v>4897</v>
      </c>
      <c r="E585" s="32" t="s">
        <v>1153</v>
      </c>
    </row>
    <row r="586" ht="25.5">
      <c r="A586" s="32">
        <v>3204</v>
      </c>
      <c r="B586" s="27" t="s">
        <v>1154</v>
      </c>
      <c r="C586" s="28" t="s">
        <v>22</v>
      </c>
      <c r="D586" s="32">
        <v>2870</v>
      </c>
      <c r="E586" s="32" t="s">
        <v>1155</v>
      </c>
    </row>
    <row r="587" s="6" customFormat="1">
      <c r="A587" s="64">
        <v>3205</v>
      </c>
      <c r="B587" s="42" t="s">
        <v>1156</v>
      </c>
      <c r="C587" s="66"/>
      <c r="D587" s="66"/>
      <c r="E587" s="64" t="s">
        <v>1157</v>
      </c>
    </row>
    <row r="588" s="6" customFormat="1" ht="25.5">
      <c r="A588" s="66" t="s">
        <v>20</v>
      </c>
      <c r="B588" s="42" t="s">
        <v>1158</v>
      </c>
      <c r="C588" s="66" t="s">
        <v>22</v>
      </c>
      <c r="D588" s="64">
        <v>5822</v>
      </c>
      <c r="E588" s="66" t="s">
        <v>1159</v>
      </c>
    </row>
    <row r="589" s="6" customFormat="1" ht="25.5">
      <c r="A589" s="66" t="s">
        <v>24</v>
      </c>
      <c r="B589" s="42" t="s">
        <v>1160</v>
      </c>
      <c r="C589" s="66" t="s">
        <v>22</v>
      </c>
      <c r="D589" s="64">
        <v>10740</v>
      </c>
      <c r="E589" s="66" t="s">
        <v>1161</v>
      </c>
    </row>
    <row r="590" s="6" customFormat="1">
      <c r="A590" s="66" t="s">
        <v>42</v>
      </c>
      <c r="B590" s="42" t="s">
        <v>1162</v>
      </c>
      <c r="C590" s="66" t="s">
        <v>22</v>
      </c>
      <c r="D590" s="64">
        <v>17700</v>
      </c>
      <c r="E590" s="66" t="s">
        <v>1163</v>
      </c>
    </row>
    <row r="591">
      <c r="A591" s="32">
        <v>3206</v>
      </c>
      <c r="B591" s="27" t="s">
        <v>1164</v>
      </c>
      <c r="C591" s="28" t="s">
        <v>22</v>
      </c>
      <c r="D591" s="32">
        <v>3575</v>
      </c>
      <c r="E591" s="32" t="s">
        <v>1165</v>
      </c>
    </row>
    <row r="592" ht="51">
      <c r="A592" s="38">
        <v>3207</v>
      </c>
      <c r="B592" s="27" t="s">
        <v>1166</v>
      </c>
      <c r="C592" s="28" t="s">
        <v>1167</v>
      </c>
      <c r="D592" s="32">
        <v>5406</v>
      </c>
      <c r="E592" s="32" t="s">
        <v>1168</v>
      </c>
    </row>
    <row r="593" ht="25.5">
      <c r="A593" s="32">
        <v>3208</v>
      </c>
      <c r="B593" s="27" t="s">
        <v>1169</v>
      </c>
      <c r="C593" s="28" t="s">
        <v>844</v>
      </c>
      <c r="D593" s="32">
        <v>703</v>
      </c>
      <c r="E593" s="32" t="s">
        <v>1170</v>
      </c>
    </row>
    <row r="594" ht="38.25">
      <c r="A594" s="32">
        <v>3209</v>
      </c>
      <c r="B594" s="27" t="s">
        <v>1171</v>
      </c>
      <c r="C594" s="28" t="s">
        <v>1172</v>
      </c>
      <c r="D594" s="32">
        <v>701</v>
      </c>
      <c r="E594" s="32" t="s">
        <v>1173</v>
      </c>
    </row>
    <row r="595" ht="38.25">
      <c r="A595" s="38">
        <v>3210</v>
      </c>
      <c r="B595" s="27" t="s">
        <v>1174</v>
      </c>
      <c r="C595" s="28" t="s">
        <v>1167</v>
      </c>
      <c r="D595" s="32">
        <v>32158</v>
      </c>
      <c r="E595" s="32" t="s">
        <v>1175</v>
      </c>
    </row>
    <row r="596" ht="51">
      <c r="A596" s="38">
        <v>3211</v>
      </c>
      <c r="B596" s="27" t="s">
        <v>1176</v>
      </c>
      <c r="C596" s="28" t="s">
        <v>22</v>
      </c>
      <c r="D596" s="32">
        <v>439</v>
      </c>
      <c r="E596" s="32" t="s">
        <v>1177</v>
      </c>
    </row>
    <row r="597">
      <c r="A597" s="32">
        <v>3212</v>
      </c>
      <c r="B597" s="27" t="s">
        <v>1178</v>
      </c>
      <c r="C597" s="28"/>
      <c r="D597" s="28"/>
      <c r="E597" s="32" t="s">
        <v>1179</v>
      </c>
    </row>
    <row r="598" ht="38.25">
      <c r="A598" s="43" t="s">
        <v>20</v>
      </c>
      <c r="B598" s="27" t="s">
        <v>1180</v>
      </c>
      <c r="C598" s="28" t="s">
        <v>30</v>
      </c>
      <c r="D598" s="32">
        <v>735</v>
      </c>
      <c r="E598" s="28" t="s">
        <v>1181</v>
      </c>
    </row>
    <row r="599" ht="38.25">
      <c r="A599" s="28" t="s">
        <v>24</v>
      </c>
      <c r="B599" s="27" t="s">
        <v>1182</v>
      </c>
      <c r="C599" s="28" t="s">
        <v>1167</v>
      </c>
      <c r="D599" s="32">
        <v>155</v>
      </c>
      <c r="E599" s="28" t="s">
        <v>1183</v>
      </c>
    </row>
    <row r="600" ht="25.5">
      <c r="A600" s="28" t="s">
        <v>42</v>
      </c>
      <c r="B600" s="27" t="s">
        <v>1184</v>
      </c>
      <c r="C600" s="28" t="s">
        <v>22</v>
      </c>
      <c r="D600" s="32">
        <v>8</v>
      </c>
      <c r="E600" s="28" t="s">
        <v>1185</v>
      </c>
    </row>
    <row r="601" ht="25.5">
      <c r="A601" s="28" t="s">
        <v>69</v>
      </c>
      <c r="B601" s="27" t="s">
        <v>1186</v>
      </c>
      <c r="C601" s="28" t="s">
        <v>1187</v>
      </c>
      <c r="D601" s="32">
        <v>19</v>
      </c>
      <c r="E601" s="28" t="s">
        <v>1188</v>
      </c>
    </row>
    <row r="602" ht="336" customHeight="1">
      <c r="A602" s="43" t="s">
        <v>72</v>
      </c>
      <c r="B602" s="27" t="s">
        <v>1189</v>
      </c>
      <c r="C602" s="28" t="s">
        <v>22</v>
      </c>
      <c r="D602" s="32">
        <v>701</v>
      </c>
      <c r="E602" s="28" t="s">
        <v>1190</v>
      </c>
    </row>
    <row r="603" ht="63.75">
      <c r="A603" s="32">
        <v>3213</v>
      </c>
      <c r="B603" s="27" t="s">
        <v>1191</v>
      </c>
      <c r="C603" s="28"/>
      <c r="D603" s="28"/>
      <c r="E603" s="32" t="s">
        <v>1192</v>
      </c>
    </row>
    <row r="604" ht="38.25">
      <c r="A604" s="28" t="s">
        <v>20</v>
      </c>
      <c r="B604" s="27" t="s">
        <v>1193</v>
      </c>
      <c r="C604" s="28" t="s">
        <v>1194</v>
      </c>
      <c r="D604" s="32">
        <v>15294</v>
      </c>
      <c r="E604" s="28" t="s">
        <v>1195</v>
      </c>
    </row>
    <row r="605" ht="38.25">
      <c r="A605" s="28" t="s">
        <v>24</v>
      </c>
      <c r="B605" s="27" t="s">
        <v>1196</v>
      </c>
      <c r="C605" s="28" t="s">
        <v>1194</v>
      </c>
      <c r="D605" s="32">
        <v>22237</v>
      </c>
      <c r="E605" s="28" t="s">
        <v>1197</v>
      </c>
    </row>
    <row r="606" ht="38.25">
      <c r="A606" s="32">
        <v>3214</v>
      </c>
      <c r="B606" s="27" t="s">
        <v>1198</v>
      </c>
      <c r="C606" s="28" t="s">
        <v>22</v>
      </c>
      <c r="D606" s="32">
        <v>36208</v>
      </c>
      <c r="E606" s="32" t="s">
        <v>1199</v>
      </c>
    </row>
    <row r="607" ht="38.25">
      <c r="A607" s="32">
        <v>3215</v>
      </c>
      <c r="B607" s="27" t="s">
        <v>1200</v>
      </c>
      <c r="C607" s="28" t="s">
        <v>22</v>
      </c>
      <c r="D607" s="32">
        <v>23797</v>
      </c>
      <c r="E607" s="32" t="s">
        <v>1201</v>
      </c>
    </row>
    <row r="608" ht="25.5">
      <c r="A608" s="32">
        <v>3216</v>
      </c>
      <c r="B608" s="27" t="s">
        <v>1202</v>
      </c>
      <c r="C608" s="28" t="s">
        <v>22</v>
      </c>
      <c r="D608" s="32">
        <v>28114</v>
      </c>
      <c r="E608" s="32" t="s">
        <v>1203</v>
      </c>
    </row>
    <row r="609" ht="25.5">
      <c r="A609" s="32">
        <v>3217</v>
      </c>
      <c r="B609" s="27" t="s">
        <v>1204</v>
      </c>
      <c r="C609" s="28" t="s">
        <v>1205</v>
      </c>
      <c r="D609" s="32">
        <v>7286</v>
      </c>
      <c r="E609" s="32" t="s">
        <v>1206</v>
      </c>
    </row>
    <row r="610" ht="25.5">
      <c r="A610" s="32">
        <v>3218</v>
      </c>
      <c r="B610" s="27" t="s">
        <v>1207</v>
      </c>
      <c r="C610" s="28" t="s">
        <v>1167</v>
      </c>
      <c r="D610" s="32">
        <v>7616</v>
      </c>
      <c r="E610" s="32" t="s">
        <v>1208</v>
      </c>
    </row>
    <row r="611" ht="51">
      <c r="A611" s="32">
        <v>3219</v>
      </c>
      <c r="B611" s="27" t="s">
        <v>1209</v>
      </c>
      <c r="C611" s="28"/>
      <c r="D611" s="28"/>
      <c r="E611" s="32" t="s">
        <v>1210</v>
      </c>
    </row>
    <row r="612">
      <c r="A612" s="28" t="s">
        <v>20</v>
      </c>
      <c r="B612" s="27" t="s">
        <v>1211</v>
      </c>
      <c r="C612" s="28" t="s">
        <v>1212</v>
      </c>
      <c r="D612" s="32">
        <v>1014</v>
      </c>
      <c r="E612" s="28" t="s">
        <v>1213</v>
      </c>
    </row>
    <row r="613">
      <c r="A613" s="28" t="s">
        <v>24</v>
      </c>
      <c r="B613" s="27" t="s">
        <v>1214</v>
      </c>
      <c r="C613" s="28" t="s">
        <v>1212</v>
      </c>
      <c r="D613" s="32">
        <v>1200</v>
      </c>
      <c r="E613" s="28" t="s">
        <v>1215</v>
      </c>
    </row>
    <row r="614">
      <c r="A614" s="28" t="s">
        <v>42</v>
      </c>
      <c r="B614" s="27" t="s">
        <v>1216</v>
      </c>
      <c r="C614" s="28" t="s">
        <v>1212</v>
      </c>
      <c r="D614" s="32">
        <v>1407</v>
      </c>
      <c r="E614" s="28" t="s">
        <v>1217</v>
      </c>
    </row>
    <row r="615">
      <c r="A615" s="28" t="s">
        <v>69</v>
      </c>
      <c r="B615" s="27" t="s">
        <v>1218</v>
      </c>
      <c r="C615" s="28" t="s">
        <v>1212</v>
      </c>
      <c r="D615" s="32">
        <v>1999</v>
      </c>
      <c r="E615" s="28" t="s">
        <v>1219</v>
      </c>
    </row>
    <row r="616" ht="127.5">
      <c r="A616" s="32">
        <v>3220</v>
      </c>
      <c r="B616" s="27" t="s">
        <v>1220</v>
      </c>
      <c r="C616" s="28" t="s">
        <v>22</v>
      </c>
      <c r="D616" s="32">
        <v>1798</v>
      </c>
      <c r="E616" s="32" t="s">
        <v>1221</v>
      </c>
    </row>
    <row r="617">
      <c r="A617" s="32">
        <v>3221</v>
      </c>
      <c r="B617" s="27" t="s">
        <v>1222</v>
      </c>
      <c r="C617" s="28"/>
      <c r="D617" s="28"/>
      <c r="E617" s="32" t="s">
        <v>1223</v>
      </c>
    </row>
    <row r="618">
      <c r="A618" s="28" t="s">
        <v>20</v>
      </c>
      <c r="B618" s="27" t="s">
        <v>1224</v>
      </c>
      <c r="C618" s="28" t="s">
        <v>22</v>
      </c>
      <c r="D618" s="32">
        <v>319</v>
      </c>
      <c r="E618" s="28" t="s">
        <v>1225</v>
      </c>
    </row>
    <row r="619" ht="25.5">
      <c r="A619" s="28" t="s">
        <v>24</v>
      </c>
      <c r="B619" s="27" t="s">
        <v>1226</v>
      </c>
      <c r="C619" s="28" t="s">
        <v>22</v>
      </c>
      <c r="D619" s="32">
        <v>563</v>
      </c>
      <c r="E619" s="28" t="s">
        <v>1227</v>
      </c>
    </row>
    <row r="620" ht="63.75">
      <c r="A620" s="32">
        <v>3222</v>
      </c>
      <c r="B620" s="27" t="s">
        <v>1228</v>
      </c>
      <c r="C620" s="28" t="s">
        <v>1167</v>
      </c>
      <c r="D620" s="32">
        <v>25451</v>
      </c>
      <c r="E620" s="32" t="s">
        <v>1229</v>
      </c>
    </row>
    <row r="621" ht="51">
      <c r="A621" s="32">
        <v>3223</v>
      </c>
      <c r="B621" s="27" t="s">
        <v>1230</v>
      </c>
      <c r="C621" s="28" t="s">
        <v>1231</v>
      </c>
      <c r="D621" s="32">
        <v>8024</v>
      </c>
      <c r="E621" s="32" t="s">
        <v>1232</v>
      </c>
    </row>
    <row r="622" ht="51">
      <c r="A622" s="32">
        <v>3224</v>
      </c>
      <c r="B622" s="27" t="s">
        <v>1233</v>
      </c>
      <c r="C622" s="28" t="s">
        <v>1234</v>
      </c>
      <c r="D622" s="32">
        <v>1239</v>
      </c>
      <c r="E622" s="32" t="s">
        <v>1235</v>
      </c>
    </row>
    <row r="623">
      <c r="A623" s="32">
        <v>3225</v>
      </c>
      <c r="B623" s="27" t="s">
        <v>1236</v>
      </c>
      <c r="C623" s="28" t="s">
        <v>22</v>
      </c>
      <c r="D623" s="32">
        <v>12397</v>
      </c>
      <c r="E623" s="32" t="s">
        <v>1237</v>
      </c>
    </row>
    <row r="624" ht="38.25">
      <c r="A624" s="32">
        <v>3226</v>
      </c>
      <c r="B624" s="27" t="s">
        <v>1238</v>
      </c>
      <c r="C624" s="28" t="s">
        <v>22</v>
      </c>
      <c r="D624" s="32">
        <v>3893</v>
      </c>
      <c r="E624" s="32" t="s">
        <v>1239</v>
      </c>
    </row>
    <row r="625" ht="25.5">
      <c r="A625" s="32">
        <v>3227</v>
      </c>
      <c r="B625" s="27" t="s">
        <v>1240</v>
      </c>
      <c r="C625" s="28" t="s">
        <v>22</v>
      </c>
      <c r="D625" s="32">
        <v>19</v>
      </c>
      <c r="E625" s="32" t="s">
        <v>1241</v>
      </c>
    </row>
    <row r="626" ht="25.5">
      <c r="A626" s="32">
        <v>3228</v>
      </c>
      <c r="B626" s="27" t="s">
        <v>1242</v>
      </c>
      <c r="C626" s="28" t="s">
        <v>1243</v>
      </c>
      <c r="D626" s="32">
        <v>669</v>
      </c>
      <c r="E626" s="32" t="s">
        <v>1244</v>
      </c>
    </row>
    <row r="627">
      <c r="A627" s="32"/>
      <c r="B627" s="32"/>
      <c r="C627" s="32"/>
      <c r="D627" s="32"/>
    </row>
    <row r="628">
      <c r="A628" s="34" t="s">
        <v>1245</v>
      </c>
      <c r="B628" s="34"/>
      <c r="C628" s="34"/>
      <c r="D628" s="34"/>
    </row>
    <row r="629">
      <c r="A629" s="32">
        <v>3301</v>
      </c>
      <c r="B629" s="27" t="s">
        <v>1246</v>
      </c>
      <c r="C629" s="28"/>
      <c r="D629" s="28"/>
      <c r="E629" s="32" t="s">
        <v>1247</v>
      </c>
    </row>
    <row r="630">
      <c r="A630" s="28" t="s">
        <v>20</v>
      </c>
      <c r="B630" s="27" t="s">
        <v>1248</v>
      </c>
      <c r="C630" s="28" t="s">
        <v>1249</v>
      </c>
      <c r="D630" s="32">
        <v>11</v>
      </c>
      <c r="E630" s="28" t="s">
        <v>1250</v>
      </c>
    </row>
    <row r="631">
      <c r="A631" s="28" t="s">
        <v>24</v>
      </c>
      <c r="B631" s="27" t="s">
        <v>1251</v>
      </c>
      <c r="C631" s="28" t="s">
        <v>1249</v>
      </c>
      <c r="D631" s="32">
        <v>7</v>
      </c>
      <c r="E631" s="28" t="s">
        <v>1252</v>
      </c>
    </row>
    <row r="632" ht="25.5">
      <c r="A632" s="32">
        <v>3302</v>
      </c>
      <c r="B632" s="27" t="s">
        <v>1253</v>
      </c>
      <c r="C632" s="28" t="s">
        <v>1254</v>
      </c>
      <c r="D632" s="32">
        <v>593</v>
      </c>
      <c r="E632" s="32" t="s">
        <v>1255</v>
      </c>
    </row>
    <row r="633" ht="25.5">
      <c r="A633" s="32">
        <v>3303</v>
      </c>
      <c r="B633" s="27" t="s">
        <v>1256</v>
      </c>
      <c r="C633" s="28" t="s">
        <v>1257</v>
      </c>
      <c r="D633" s="32">
        <v>10266</v>
      </c>
      <c r="E633" s="32" t="s">
        <v>1258</v>
      </c>
    </row>
    <row r="634" ht="51">
      <c r="A634" s="32">
        <v>3304</v>
      </c>
      <c r="B634" s="27" t="s">
        <v>1259</v>
      </c>
      <c r="C634" s="28" t="s">
        <v>1260</v>
      </c>
      <c r="D634" s="32">
        <v>1091</v>
      </c>
      <c r="E634" s="32" t="s">
        <v>1261</v>
      </c>
    </row>
    <row r="635">
      <c r="A635" s="32"/>
      <c r="B635" s="32"/>
      <c r="C635" s="32"/>
      <c r="D635" s="32"/>
    </row>
    <row r="636">
      <c r="A636" s="28" t="s">
        <v>1262</v>
      </c>
      <c r="B636" s="28"/>
      <c r="C636" s="28"/>
      <c r="D636" s="28"/>
    </row>
    <row r="637" ht="51">
      <c r="A637" s="38">
        <v>3401</v>
      </c>
      <c r="B637" s="27" t="s">
        <v>1263</v>
      </c>
      <c r="C637" s="28" t="s">
        <v>1167</v>
      </c>
      <c r="D637" s="32">
        <v>16629</v>
      </c>
      <c r="E637" s="32" t="s">
        <v>1264</v>
      </c>
    </row>
    <row r="638">
      <c r="A638" s="32">
        <v>3402</v>
      </c>
      <c r="B638" s="27" t="s">
        <v>1265</v>
      </c>
      <c r="C638" s="28"/>
      <c r="D638" s="28"/>
      <c r="E638" s="32" t="s">
        <v>1266</v>
      </c>
    </row>
    <row r="639">
      <c r="A639" s="28" t="s">
        <v>20</v>
      </c>
      <c r="B639" s="27" t="s">
        <v>1267</v>
      </c>
      <c r="C639" s="28" t="s">
        <v>22</v>
      </c>
      <c r="D639" s="32">
        <v>328</v>
      </c>
      <c r="E639" s="28" t="s">
        <v>1268</v>
      </c>
    </row>
    <row r="640">
      <c r="A640" s="28" t="s">
        <v>24</v>
      </c>
      <c r="B640" s="27" t="s">
        <v>1269</v>
      </c>
      <c r="C640" s="28" t="s">
        <v>22</v>
      </c>
      <c r="D640" s="32">
        <v>394</v>
      </c>
      <c r="E640" s="28" t="s">
        <v>1270</v>
      </c>
    </row>
    <row r="641">
      <c r="A641" s="28" t="s">
        <v>42</v>
      </c>
      <c r="B641" s="27" t="s">
        <v>1271</v>
      </c>
      <c r="C641" s="28" t="s">
        <v>22</v>
      </c>
      <c r="D641" s="32">
        <v>658</v>
      </c>
      <c r="E641" s="28" t="s">
        <v>1272</v>
      </c>
    </row>
    <row r="642">
      <c r="A642" s="28" t="s">
        <v>69</v>
      </c>
      <c r="B642" s="27" t="s">
        <v>1273</v>
      </c>
      <c r="C642" s="28" t="s">
        <v>22</v>
      </c>
      <c r="D642" s="32">
        <v>987</v>
      </c>
      <c r="E642" s="28" t="s">
        <v>1274</v>
      </c>
    </row>
    <row r="643">
      <c r="A643" s="28" t="s">
        <v>72</v>
      </c>
      <c r="B643" s="27" t="s">
        <v>1275</v>
      </c>
      <c r="C643" s="28" t="s">
        <v>22</v>
      </c>
      <c r="D643" s="32">
        <v>330</v>
      </c>
      <c r="E643" s="28" t="s">
        <v>1276</v>
      </c>
    </row>
    <row r="644">
      <c r="A644" s="32">
        <v>3403</v>
      </c>
      <c r="B644" s="27" t="s">
        <v>1277</v>
      </c>
      <c r="C644" s="28"/>
      <c r="D644" s="28"/>
      <c r="E644" s="32" t="s">
        <v>1278</v>
      </c>
    </row>
    <row r="645" ht="25.5">
      <c r="A645" s="28" t="s">
        <v>20</v>
      </c>
      <c r="B645" s="27" t="s">
        <v>1279</v>
      </c>
      <c r="C645" s="28" t="s">
        <v>1167</v>
      </c>
      <c r="D645" s="32">
        <v>45819</v>
      </c>
      <c r="E645" s="28" t="s">
        <v>1280</v>
      </c>
    </row>
    <row r="646" ht="38.25">
      <c r="A646" s="43" t="s">
        <v>24</v>
      </c>
      <c r="B646" s="27" t="s">
        <v>1281</v>
      </c>
      <c r="C646" s="28" t="s">
        <v>1167</v>
      </c>
      <c r="D646" s="32">
        <v>34998</v>
      </c>
      <c r="E646" s="28" t="s">
        <v>1282</v>
      </c>
    </row>
    <row r="647" ht="25.5">
      <c r="A647" s="28" t="s">
        <v>42</v>
      </c>
      <c r="B647" s="27" t="s">
        <v>1283</v>
      </c>
      <c r="C647" s="28" t="s">
        <v>1260</v>
      </c>
      <c r="D647" s="32">
        <v>450</v>
      </c>
      <c r="E647" s="28" t="s">
        <v>1284</v>
      </c>
    </row>
    <row r="648" ht="25.5">
      <c r="A648" s="28" t="s">
        <v>69</v>
      </c>
      <c r="B648" s="27" t="s">
        <v>1285</v>
      </c>
      <c r="C648" s="28" t="s">
        <v>1286</v>
      </c>
      <c r="D648" s="32">
        <v>2545</v>
      </c>
      <c r="E648" s="28" t="s">
        <v>1287</v>
      </c>
    </row>
    <row r="649" ht="63.75">
      <c r="A649" s="38">
        <v>3404</v>
      </c>
      <c r="B649" s="27" t="s">
        <v>1288</v>
      </c>
      <c r="C649" s="28" t="s">
        <v>22</v>
      </c>
      <c r="D649" s="32">
        <v>21746</v>
      </c>
      <c r="E649" s="32" t="s">
        <v>1289</v>
      </c>
    </row>
    <row r="650" ht="25.5">
      <c r="A650" s="32">
        <v>3405</v>
      </c>
      <c r="B650" s="27" t="s">
        <v>1290</v>
      </c>
      <c r="C650" s="28" t="s">
        <v>22</v>
      </c>
      <c r="D650" s="32">
        <v>11802</v>
      </c>
      <c r="E650" s="32" t="s">
        <v>1291</v>
      </c>
    </row>
    <row r="651" ht="38.25">
      <c r="A651" s="38">
        <v>3406</v>
      </c>
      <c r="B651" s="27" t="s">
        <v>1292</v>
      </c>
      <c r="C651" s="28" t="s">
        <v>22</v>
      </c>
      <c r="D651" s="32">
        <v>87</v>
      </c>
      <c r="E651" s="32" t="s">
        <v>1293</v>
      </c>
    </row>
    <row r="652">
      <c r="A652" s="38"/>
      <c r="B652" s="38"/>
      <c r="C652" s="38"/>
      <c r="D652" s="32"/>
    </row>
    <row r="653">
      <c r="A653" s="28" t="s">
        <v>1294</v>
      </c>
      <c r="B653" s="28"/>
      <c r="C653" s="28"/>
      <c r="D653" s="28"/>
    </row>
    <row r="654" ht="25.5">
      <c r="A654" s="32">
        <v>3501</v>
      </c>
      <c r="B654" s="27" t="s">
        <v>1295</v>
      </c>
      <c r="C654" s="28"/>
      <c r="D654" s="28"/>
      <c r="E654" s="32" t="s">
        <v>1296</v>
      </c>
    </row>
    <row r="655" ht="25.5">
      <c r="A655" s="28" t="s">
        <v>20</v>
      </c>
      <c r="B655" s="27" t="s">
        <v>1297</v>
      </c>
      <c r="C655" s="28" t="s">
        <v>1298</v>
      </c>
      <c r="D655" s="32">
        <v>677</v>
      </c>
      <c r="E655" s="28" t="s">
        <v>1299</v>
      </c>
    </row>
    <row r="656" ht="51">
      <c r="A656" s="28" t="s">
        <v>24</v>
      </c>
      <c r="B656" s="27" t="s">
        <v>1300</v>
      </c>
      <c r="C656" s="28" t="s">
        <v>1301</v>
      </c>
      <c r="D656" s="32">
        <v>3896</v>
      </c>
      <c r="E656" s="28" t="s">
        <v>1302</v>
      </c>
    </row>
    <row r="657" ht="51">
      <c r="A657" s="32">
        <v>3502</v>
      </c>
      <c r="B657" s="27" t="s">
        <v>1303</v>
      </c>
      <c r="C657" s="28" t="s">
        <v>877</v>
      </c>
      <c r="D657" s="32">
        <v>103</v>
      </c>
      <c r="E657" s="32" t="s">
        <v>1304</v>
      </c>
    </row>
    <row r="658" ht="38.25">
      <c r="A658" s="32">
        <v>3503</v>
      </c>
      <c r="B658" s="27" t="s">
        <v>1305</v>
      </c>
      <c r="C658" s="28"/>
      <c r="D658" s="28"/>
      <c r="E658" s="32" t="s">
        <v>1306</v>
      </c>
    </row>
    <row r="659" ht="25.5">
      <c r="A659" s="28" t="s">
        <v>20</v>
      </c>
      <c r="B659" s="27" t="s">
        <v>1307</v>
      </c>
      <c r="C659" s="28" t="s">
        <v>1205</v>
      </c>
      <c r="D659" s="32">
        <v>29427</v>
      </c>
      <c r="E659" s="28" t="s">
        <v>1308</v>
      </c>
    </row>
    <row r="660" ht="25.5">
      <c r="A660" s="28" t="s">
        <v>24</v>
      </c>
      <c r="B660" s="27" t="s">
        <v>1309</v>
      </c>
      <c r="C660" s="28" t="s">
        <v>1205</v>
      </c>
      <c r="D660" s="32">
        <v>51415</v>
      </c>
      <c r="E660" s="28" t="s">
        <v>1310</v>
      </c>
    </row>
    <row r="661" ht="25.5">
      <c r="A661" s="28" t="s">
        <v>42</v>
      </c>
      <c r="B661" s="27" t="s">
        <v>1311</v>
      </c>
      <c r="C661" s="28" t="s">
        <v>1312</v>
      </c>
      <c r="D661" s="32">
        <v>11379</v>
      </c>
      <c r="E661" s="28" t="s">
        <v>1313</v>
      </c>
    </row>
    <row r="662">
      <c r="A662" s="28"/>
      <c r="B662" s="28"/>
      <c r="C662" s="28"/>
      <c r="D662" s="28"/>
    </row>
    <row r="663">
      <c r="A663" s="28" t="s">
        <v>1314</v>
      </c>
      <c r="B663" s="28"/>
      <c r="C663" s="28"/>
      <c r="D663" s="28"/>
    </row>
    <row r="664" ht="89.25">
      <c r="A664" s="32">
        <v>3601</v>
      </c>
      <c r="B664" s="27" t="s">
        <v>1315</v>
      </c>
      <c r="C664" s="28" t="s">
        <v>1167</v>
      </c>
      <c r="D664" s="32">
        <v>30145</v>
      </c>
      <c r="E664" s="32" t="s">
        <v>1316</v>
      </c>
    </row>
    <row r="665" ht="63.75">
      <c r="A665" s="32">
        <v>3602</v>
      </c>
      <c r="B665" s="27" t="s">
        <v>1317</v>
      </c>
      <c r="C665" s="28" t="s">
        <v>22</v>
      </c>
      <c r="D665" s="32">
        <v>4554</v>
      </c>
      <c r="E665" s="32" t="s">
        <v>1318</v>
      </c>
    </row>
    <row r="666" ht="25.5">
      <c r="A666" s="32">
        <v>3603</v>
      </c>
      <c r="B666" s="27" t="s">
        <v>1319</v>
      </c>
      <c r="C666" s="28" t="s">
        <v>22</v>
      </c>
      <c r="D666" s="32">
        <v>1407</v>
      </c>
      <c r="E666" s="32" t="s">
        <v>1320</v>
      </c>
    </row>
    <row r="667">
      <c r="A667" s="32">
        <v>3604</v>
      </c>
      <c r="B667" s="27" t="s">
        <v>1321</v>
      </c>
      <c r="C667" s="28" t="s">
        <v>22</v>
      </c>
      <c r="D667" s="32">
        <v>2572</v>
      </c>
      <c r="E667" s="32" t="s">
        <v>1322</v>
      </c>
    </row>
    <row r="668" ht="25.5">
      <c r="A668" s="32">
        <v>3605</v>
      </c>
      <c r="B668" s="27" t="s">
        <v>1323</v>
      </c>
      <c r="C668" s="28" t="s">
        <v>22</v>
      </c>
      <c r="D668" s="32">
        <v>2732</v>
      </c>
      <c r="E668" s="32" t="s">
        <v>1324</v>
      </c>
    </row>
    <row r="669" ht="25.5">
      <c r="A669" s="32">
        <v>3606</v>
      </c>
      <c r="B669" s="27" t="s">
        <v>1325</v>
      </c>
      <c r="C669" s="28" t="s">
        <v>1326</v>
      </c>
      <c r="D669" s="32">
        <v>670</v>
      </c>
      <c r="E669" s="32" t="s">
        <v>1327</v>
      </c>
    </row>
    <row r="670">
      <c r="A670" s="32">
        <v>3607</v>
      </c>
      <c r="B670" s="27" t="s">
        <v>1328</v>
      </c>
      <c r="C670" s="28" t="s">
        <v>22</v>
      </c>
      <c r="D670" s="32">
        <v>417</v>
      </c>
      <c r="E670" s="32" t="s">
        <v>1329</v>
      </c>
    </row>
    <row r="671" ht="38.25">
      <c r="A671" s="32">
        <v>3608</v>
      </c>
      <c r="B671" s="27" t="s">
        <v>1330</v>
      </c>
      <c r="C671" s="28" t="s">
        <v>22</v>
      </c>
      <c r="D671" s="32">
        <v>14060</v>
      </c>
      <c r="E671" s="32" t="s">
        <v>1331</v>
      </c>
    </row>
    <row r="672" ht="25.5">
      <c r="A672" s="32">
        <v>3609</v>
      </c>
      <c r="B672" s="27" t="s">
        <v>1332</v>
      </c>
      <c r="C672" s="28" t="s">
        <v>22</v>
      </c>
      <c r="D672" s="32">
        <v>6491</v>
      </c>
      <c r="E672" s="32" t="s">
        <v>1333</v>
      </c>
    </row>
    <row r="673" ht="38.25">
      <c r="A673" s="32">
        <v>3610</v>
      </c>
      <c r="B673" s="27" t="s">
        <v>1334</v>
      </c>
      <c r="C673" s="28" t="s">
        <v>30</v>
      </c>
      <c r="D673" s="32">
        <v>1815</v>
      </c>
      <c r="E673" s="32" t="s">
        <v>1335</v>
      </c>
    </row>
    <row r="674" ht="25.5">
      <c r="A674" s="32">
        <v>3611</v>
      </c>
      <c r="B674" s="27" t="s">
        <v>1336</v>
      </c>
      <c r="C674" s="28" t="s">
        <v>22</v>
      </c>
      <c r="D674" s="32">
        <v>3501</v>
      </c>
      <c r="E674" s="32" t="s">
        <v>1337</v>
      </c>
    </row>
    <row r="675" ht="25.5">
      <c r="A675" s="32">
        <v>3612</v>
      </c>
      <c r="B675" s="27" t="s">
        <v>1338</v>
      </c>
      <c r="C675" s="28" t="s">
        <v>22</v>
      </c>
      <c r="D675" s="32">
        <v>2049</v>
      </c>
      <c r="E675" s="32" t="s">
        <v>1339</v>
      </c>
    </row>
    <row r="676" ht="38.25">
      <c r="A676" s="32">
        <v>3613</v>
      </c>
      <c r="B676" s="27" t="s">
        <v>1340</v>
      </c>
      <c r="C676" s="28" t="s">
        <v>30</v>
      </c>
      <c r="D676" s="32">
        <v>8807</v>
      </c>
      <c r="E676" s="32" t="s">
        <v>1341</v>
      </c>
    </row>
    <row r="677" ht="63.75">
      <c r="A677" s="32">
        <v>3614</v>
      </c>
      <c r="B677" s="27" t="s">
        <v>1342</v>
      </c>
      <c r="C677" s="28" t="s">
        <v>1167</v>
      </c>
      <c r="D677" s="32">
        <v>8506</v>
      </c>
      <c r="E677" s="32" t="s">
        <v>1343</v>
      </c>
    </row>
    <row r="678" ht="38.25">
      <c r="A678" s="32">
        <v>3615</v>
      </c>
      <c r="B678" s="27" t="s">
        <v>1344</v>
      </c>
      <c r="C678" s="28" t="s">
        <v>22</v>
      </c>
      <c r="D678" s="32">
        <v>158</v>
      </c>
      <c r="E678" s="32" t="s">
        <v>1345</v>
      </c>
    </row>
    <row r="679">
      <c r="A679" s="32">
        <v>3616</v>
      </c>
      <c r="B679" s="27" t="s">
        <v>1346</v>
      </c>
      <c r="C679" s="28" t="s">
        <v>22</v>
      </c>
      <c r="D679" s="32">
        <v>723</v>
      </c>
      <c r="E679" s="32" t="s">
        <v>1347</v>
      </c>
    </row>
    <row r="680" ht="51">
      <c r="A680" s="32">
        <v>3617</v>
      </c>
      <c r="B680" s="27" t="s">
        <v>1348</v>
      </c>
      <c r="C680" s="28" t="s">
        <v>844</v>
      </c>
      <c r="D680" s="32">
        <v>18</v>
      </c>
      <c r="E680" s="32" t="s">
        <v>1349</v>
      </c>
    </row>
    <row r="681" ht="25.5">
      <c r="A681" s="32">
        <v>3618</v>
      </c>
      <c r="B681" s="27" t="s">
        <v>1350</v>
      </c>
      <c r="C681" s="28" t="s">
        <v>22</v>
      </c>
      <c r="D681" s="32">
        <v>900</v>
      </c>
      <c r="E681" s="32" t="s">
        <v>1351</v>
      </c>
    </row>
    <row r="682" ht="38.25">
      <c r="A682" s="32">
        <v>3619</v>
      </c>
      <c r="B682" s="27" t="s">
        <v>1352</v>
      </c>
      <c r="C682" s="28" t="s">
        <v>22</v>
      </c>
      <c r="D682" s="32">
        <v>94</v>
      </c>
      <c r="E682" s="32" t="s">
        <v>1353</v>
      </c>
    </row>
    <row r="683" ht="51">
      <c r="A683" s="32">
        <v>3620</v>
      </c>
      <c r="B683" s="27" t="s">
        <v>1354</v>
      </c>
      <c r="C683" s="28" t="s">
        <v>1355</v>
      </c>
      <c r="D683" s="32">
        <v>9</v>
      </c>
      <c r="E683" s="32" t="s">
        <v>1356</v>
      </c>
    </row>
    <row r="684" ht="38.25">
      <c r="A684" s="32">
        <v>3621</v>
      </c>
      <c r="B684" s="27" t="s">
        <v>1357</v>
      </c>
      <c r="C684" s="28" t="s">
        <v>1358</v>
      </c>
      <c r="D684" s="32">
        <v>157</v>
      </c>
      <c r="E684" s="32" t="s">
        <v>1359</v>
      </c>
    </row>
    <row r="685" ht="25.5">
      <c r="A685" s="32">
        <v>3622</v>
      </c>
      <c r="B685" s="27" t="s">
        <v>1360</v>
      </c>
      <c r="C685" s="28" t="s">
        <v>1361</v>
      </c>
      <c r="D685" s="32">
        <v>1590</v>
      </c>
      <c r="E685" s="32" t="s">
        <v>1362</v>
      </c>
    </row>
    <row r="686">
      <c r="A686" s="28"/>
      <c r="B686" s="41" t="s">
        <v>1363</v>
      </c>
      <c r="C686" s="28"/>
      <c r="D686" s="28"/>
    </row>
    <row r="687" ht="38.25">
      <c r="A687" s="32">
        <v>3623</v>
      </c>
      <c r="B687" s="27" t="s">
        <v>1364</v>
      </c>
      <c r="C687" s="28"/>
      <c r="D687" s="28" t="s">
        <v>1365</v>
      </c>
      <c r="E687" s="32" t="s">
        <v>1366</v>
      </c>
    </row>
    <row r="688" ht="38.25">
      <c r="A688" s="28" t="s">
        <v>20</v>
      </c>
      <c r="B688" s="27" t="s">
        <v>1367</v>
      </c>
      <c r="C688" s="28" t="s">
        <v>22</v>
      </c>
      <c r="D688" s="32">
        <v>13607</v>
      </c>
      <c r="E688" s="28" t="s">
        <v>1368</v>
      </c>
    </row>
    <row r="689" ht="25.5">
      <c r="A689" s="28" t="s">
        <v>24</v>
      </c>
      <c r="B689" s="27" t="s">
        <v>1369</v>
      </c>
      <c r="C689" s="28" t="s">
        <v>22</v>
      </c>
      <c r="D689" s="32">
        <v>6804</v>
      </c>
      <c r="E689" s="28" t="s">
        <v>1370</v>
      </c>
    </row>
    <row r="690" ht="51">
      <c r="A690" s="28" t="s">
        <v>42</v>
      </c>
      <c r="B690" s="27" t="s">
        <v>1371</v>
      </c>
      <c r="C690" s="28" t="s">
        <v>22</v>
      </c>
      <c r="D690" s="32">
        <v>24180</v>
      </c>
      <c r="E690" s="28" t="s">
        <v>1372</v>
      </c>
    </row>
    <row r="691" ht="25.5">
      <c r="A691" s="28" t="s">
        <v>69</v>
      </c>
      <c r="B691" s="27" t="s">
        <v>1373</v>
      </c>
      <c r="C691" s="28" t="s">
        <v>22</v>
      </c>
      <c r="D691" s="32">
        <v>5193</v>
      </c>
      <c r="E691" s="28" t="s">
        <v>1374</v>
      </c>
    </row>
    <row r="692" ht="38.25">
      <c r="A692" s="28" t="s">
        <v>72</v>
      </c>
      <c r="B692" s="27" t="s">
        <v>1375</v>
      </c>
      <c r="C692" s="28" t="s">
        <v>22</v>
      </c>
      <c r="D692" s="32">
        <v>2417</v>
      </c>
      <c r="E692" s="28" t="s">
        <v>1376</v>
      </c>
    </row>
    <row r="693" ht="38.25">
      <c r="A693" s="28" t="s">
        <v>75</v>
      </c>
      <c r="B693" s="27" t="s">
        <v>1377</v>
      </c>
      <c r="C693" s="28" t="s">
        <v>30</v>
      </c>
      <c r="D693" s="32">
        <v>8238</v>
      </c>
      <c r="E693" s="28" t="s">
        <v>1378</v>
      </c>
    </row>
    <row r="694" ht="25.5">
      <c r="A694" s="28" t="s">
        <v>204</v>
      </c>
      <c r="B694" s="27" t="s">
        <v>1379</v>
      </c>
      <c r="C694" s="28" t="s">
        <v>22</v>
      </c>
      <c r="D694" s="32">
        <v>4653</v>
      </c>
      <c r="E694" s="28" t="s">
        <v>1380</v>
      </c>
    </row>
    <row r="695" ht="38.25">
      <c r="A695" s="28" t="s">
        <v>419</v>
      </c>
      <c r="B695" s="27" t="s">
        <v>1381</v>
      </c>
      <c r="C695" s="28" t="s">
        <v>22</v>
      </c>
      <c r="D695" s="32">
        <v>4653</v>
      </c>
      <c r="E695" s="28" t="s">
        <v>1382</v>
      </c>
    </row>
    <row r="696" ht="54.75" customHeight="1">
      <c r="A696" s="28" t="s">
        <v>422</v>
      </c>
      <c r="B696" s="27" t="s">
        <v>1383</v>
      </c>
      <c r="C696" s="28" t="s">
        <v>1167</v>
      </c>
      <c r="D696" s="32">
        <v>28998</v>
      </c>
      <c r="E696" s="28" t="s">
        <v>1384</v>
      </c>
    </row>
    <row r="697" ht="51">
      <c r="A697" s="32">
        <v>3624</v>
      </c>
      <c r="B697" s="27" t="s">
        <v>1385</v>
      </c>
      <c r="C697" s="28" t="s">
        <v>1167</v>
      </c>
      <c r="D697" s="32">
        <v>7930</v>
      </c>
      <c r="E697" s="32" t="s">
        <v>1386</v>
      </c>
    </row>
    <row r="698">
      <c r="A698" s="32">
        <v>3625</v>
      </c>
      <c r="B698" s="27" t="s">
        <v>1387</v>
      </c>
      <c r="C698" s="28"/>
      <c r="D698" s="28"/>
      <c r="E698" s="32" t="s">
        <v>1388</v>
      </c>
    </row>
    <row r="699">
      <c r="A699" s="28" t="s">
        <v>20</v>
      </c>
      <c r="B699" s="27" t="s">
        <v>1389</v>
      </c>
      <c r="C699" s="28" t="s">
        <v>22</v>
      </c>
      <c r="D699" s="32">
        <v>9735</v>
      </c>
      <c r="E699" s="28" t="s">
        <v>1390</v>
      </c>
    </row>
    <row r="700">
      <c r="A700" s="28" t="s">
        <v>24</v>
      </c>
      <c r="B700" s="27" t="s">
        <v>1391</v>
      </c>
      <c r="C700" s="28" t="s">
        <v>375</v>
      </c>
      <c r="D700" s="32">
        <v>44781</v>
      </c>
      <c r="E700" s="28" t="s">
        <v>1392</v>
      </c>
    </row>
    <row r="701">
      <c r="A701" s="28"/>
      <c r="B701" s="28"/>
      <c r="C701" s="28"/>
      <c r="D701" s="28"/>
      <c r="E701" s="28"/>
    </row>
    <row r="702">
      <c r="A702" s="28" t="s">
        <v>1393</v>
      </c>
      <c r="B702" s="28"/>
      <c r="C702" s="28"/>
      <c r="D702" s="28"/>
    </row>
    <row r="703" ht="102">
      <c r="A703" s="32">
        <v>3701</v>
      </c>
      <c r="B703" s="27" t="s">
        <v>1394</v>
      </c>
      <c r="C703" s="28" t="s">
        <v>30</v>
      </c>
      <c r="D703" s="32">
        <v>8408</v>
      </c>
      <c r="E703" s="32" t="s">
        <v>1395</v>
      </c>
    </row>
    <row r="704" s="7" customFormat="1" ht="153">
      <c r="A704" s="69">
        <v>3702</v>
      </c>
      <c r="B704" s="70" t="s">
        <v>1396</v>
      </c>
      <c r="C704" s="72" t="s">
        <v>30</v>
      </c>
      <c r="D704" s="69">
        <v>37152</v>
      </c>
      <c r="E704" s="32" t="s">
        <v>1397</v>
      </c>
    </row>
    <row r="705">
      <c r="A705" s="32">
        <v>3703</v>
      </c>
      <c r="B705" s="27" t="s">
        <v>1398</v>
      </c>
      <c r="C705" s="28" t="s">
        <v>30</v>
      </c>
      <c r="D705" s="32">
        <v>55166</v>
      </c>
      <c r="E705" s="32" t="s">
        <v>1399</v>
      </c>
    </row>
    <row r="706">
      <c r="A706" s="32">
        <v>3704</v>
      </c>
      <c r="B706" s="27" t="s">
        <v>1400</v>
      </c>
      <c r="C706" s="28" t="s">
        <v>30</v>
      </c>
      <c r="D706" s="32">
        <v>29127</v>
      </c>
      <c r="E706" s="32" t="s">
        <v>1401</v>
      </c>
    </row>
    <row r="707" ht="51">
      <c r="A707" s="32">
        <v>3705</v>
      </c>
      <c r="B707" s="27" t="s">
        <v>1402</v>
      </c>
      <c r="C707" s="28" t="s">
        <v>22</v>
      </c>
      <c r="D707" s="32">
        <v>9564</v>
      </c>
      <c r="E707" s="32" t="s">
        <v>1403</v>
      </c>
    </row>
    <row r="708">
      <c r="A708" s="32"/>
      <c r="B708" s="32"/>
      <c r="C708" s="32"/>
      <c r="D708" s="32"/>
      <c r="E708" s="32"/>
    </row>
    <row r="709">
      <c r="A709" s="28" t="s">
        <v>1404</v>
      </c>
      <c r="B709" s="28"/>
      <c r="C709" s="28"/>
      <c r="D709" s="28"/>
    </row>
    <row r="710" ht="63.75">
      <c r="A710" s="38">
        <v>3801</v>
      </c>
      <c r="B710" s="27" t="s">
        <v>1405</v>
      </c>
      <c r="C710" s="28" t="s">
        <v>1406</v>
      </c>
      <c r="D710" s="32">
        <v>555</v>
      </c>
      <c r="E710" s="32" t="s">
        <v>1407</v>
      </c>
    </row>
    <row r="711" ht="38.25">
      <c r="A711" s="38">
        <v>3802</v>
      </c>
      <c r="B711" s="27" t="s">
        <v>1408</v>
      </c>
      <c r="C711" s="28" t="s">
        <v>22</v>
      </c>
      <c r="D711" s="32">
        <v>386</v>
      </c>
      <c r="E711" s="32" t="s">
        <v>1409</v>
      </c>
    </row>
    <row r="712">
      <c r="A712" s="38"/>
      <c r="B712" s="38"/>
      <c r="C712" s="38"/>
      <c r="D712" s="38"/>
      <c r="E712" s="38"/>
    </row>
    <row r="713" ht="12.75" customHeight="1">
      <c r="A713" s="75" t="s">
        <v>1410</v>
      </c>
      <c r="B713" s="75"/>
      <c r="C713" s="75"/>
      <c r="D713" s="75"/>
      <c r="E713" s="75"/>
    </row>
    <row r="714" ht="76.5">
      <c r="A714" s="38">
        <v>3901</v>
      </c>
      <c r="B714" s="36" t="s">
        <v>1411</v>
      </c>
      <c r="D714" s="28"/>
      <c r="E714" s="32" t="s">
        <v>1412</v>
      </c>
    </row>
    <row r="715">
      <c r="A715" s="28" t="s">
        <v>20</v>
      </c>
      <c r="B715" s="36" t="s">
        <v>1413</v>
      </c>
      <c r="C715" s="17" t="s">
        <v>30</v>
      </c>
      <c r="D715" s="32">
        <v>16976</v>
      </c>
      <c r="E715" s="28" t="s">
        <v>1414</v>
      </c>
    </row>
    <row r="716">
      <c r="A716" s="28" t="s">
        <v>24</v>
      </c>
      <c r="B716" s="36" t="s">
        <v>1415</v>
      </c>
      <c r="C716" s="17" t="s">
        <v>30</v>
      </c>
      <c r="D716" s="32">
        <v>20044</v>
      </c>
      <c r="E716" s="28" t="s">
        <v>1416</v>
      </c>
    </row>
    <row r="717">
      <c r="A717" s="28" t="s">
        <v>42</v>
      </c>
      <c r="B717" s="36" t="s">
        <v>1417</v>
      </c>
      <c r="C717" s="17" t="s">
        <v>30</v>
      </c>
      <c r="D717" s="32">
        <v>31950</v>
      </c>
      <c r="E717" s="28" t="s">
        <v>1418</v>
      </c>
    </row>
    <row r="718">
      <c r="A718" s="28" t="s">
        <v>69</v>
      </c>
      <c r="B718" s="36" t="s">
        <v>1419</v>
      </c>
      <c r="C718" s="17" t="s">
        <v>30</v>
      </c>
      <c r="D718" s="32">
        <v>54010</v>
      </c>
      <c r="E718" s="28" t="s">
        <v>1420</v>
      </c>
    </row>
    <row r="719">
      <c r="A719" s="28" t="s">
        <v>72</v>
      </c>
      <c r="B719" s="36" t="s">
        <v>1421</v>
      </c>
      <c r="C719" s="17" t="s">
        <v>30</v>
      </c>
      <c r="D719" s="32">
        <v>64329</v>
      </c>
      <c r="E719" s="28" t="s">
        <v>1422</v>
      </c>
    </row>
    <row r="720">
      <c r="A720" s="28" t="s">
        <v>75</v>
      </c>
      <c r="B720" s="36" t="s">
        <v>1423</v>
      </c>
      <c r="C720" s="17" t="s">
        <v>30</v>
      </c>
      <c r="D720" s="32">
        <v>76115</v>
      </c>
      <c r="E720" s="28" t="s">
        <v>1424</v>
      </c>
    </row>
    <row r="721">
      <c r="A721" s="28" t="s">
        <v>204</v>
      </c>
      <c r="B721" s="36" t="s">
        <v>1425</v>
      </c>
      <c r="C721" s="17" t="s">
        <v>30</v>
      </c>
      <c r="D721" s="32">
        <v>80280</v>
      </c>
      <c r="E721" s="28" t="s">
        <v>1426</v>
      </c>
    </row>
    <row r="722">
      <c r="A722" s="28" t="s">
        <v>419</v>
      </c>
      <c r="B722" s="36" t="s">
        <v>1427</v>
      </c>
      <c r="C722" s="17" t="s">
        <v>30</v>
      </c>
      <c r="D722" s="32">
        <v>6669</v>
      </c>
      <c r="E722" s="28" t="s">
        <v>1428</v>
      </c>
    </row>
    <row r="723" ht="145.5" customHeight="1">
      <c r="A723" s="38">
        <v>3902</v>
      </c>
      <c r="B723" s="36" t="s">
        <v>1429</v>
      </c>
      <c r="D723" s="28"/>
      <c r="E723" s="32" t="s">
        <v>1430</v>
      </c>
    </row>
    <row r="724">
      <c r="A724" s="28" t="s">
        <v>20</v>
      </c>
      <c r="B724" s="36" t="s">
        <v>1413</v>
      </c>
      <c r="C724" s="17" t="s">
        <v>30</v>
      </c>
      <c r="D724" s="32">
        <v>8110</v>
      </c>
      <c r="E724" s="28" t="s">
        <v>1431</v>
      </c>
    </row>
    <row r="725">
      <c r="A725" s="28" t="s">
        <v>24</v>
      </c>
      <c r="B725" s="36" t="s">
        <v>1415</v>
      </c>
      <c r="C725" s="17" t="s">
        <v>30</v>
      </c>
      <c r="D725" s="32">
        <v>10386</v>
      </c>
      <c r="E725" s="28" t="s">
        <v>1432</v>
      </c>
    </row>
    <row r="726">
      <c r="A726" s="28" t="s">
        <v>42</v>
      </c>
      <c r="B726" s="36" t="s">
        <v>1417</v>
      </c>
      <c r="C726" s="17" t="s">
        <v>30</v>
      </c>
      <c r="D726" s="32">
        <v>17070</v>
      </c>
      <c r="E726" s="28" t="s">
        <v>1433</v>
      </c>
    </row>
    <row r="727">
      <c r="A727" s="28" t="s">
        <v>69</v>
      </c>
      <c r="B727" s="36" t="s">
        <v>1419</v>
      </c>
      <c r="C727" s="17" t="s">
        <v>30</v>
      </c>
      <c r="D727" s="32">
        <v>28159</v>
      </c>
      <c r="E727" s="28" t="s">
        <v>1434</v>
      </c>
    </row>
    <row r="728">
      <c r="A728" s="28" t="s">
        <v>72</v>
      </c>
      <c r="B728" s="36" t="s">
        <v>1421</v>
      </c>
      <c r="C728" s="17" t="s">
        <v>30</v>
      </c>
      <c r="D728" s="32">
        <v>30436</v>
      </c>
      <c r="E728" s="28" t="s">
        <v>1435</v>
      </c>
    </row>
    <row r="729">
      <c r="A729" s="28" t="s">
        <v>75</v>
      </c>
      <c r="B729" s="36" t="s">
        <v>1423</v>
      </c>
      <c r="C729" s="17" t="s">
        <v>30</v>
      </c>
      <c r="D729" s="32">
        <v>31978</v>
      </c>
      <c r="E729" s="28" t="s">
        <v>1436</v>
      </c>
    </row>
    <row r="730">
      <c r="A730" s="28" t="s">
        <v>204</v>
      </c>
      <c r="B730" s="36" t="s">
        <v>1425</v>
      </c>
      <c r="C730" s="17" t="s">
        <v>30</v>
      </c>
      <c r="D730" s="32">
        <v>34254</v>
      </c>
      <c r="E730" s="28" t="s">
        <v>1437</v>
      </c>
    </row>
    <row r="731">
      <c r="A731" s="28" t="s">
        <v>419</v>
      </c>
      <c r="B731" s="36" t="s">
        <v>1438</v>
      </c>
      <c r="C731" s="17" t="s">
        <v>30</v>
      </c>
      <c r="D731" s="32">
        <v>4512</v>
      </c>
      <c r="E731" s="28" t="s">
        <v>1439</v>
      </c>
    </row>
    <row r="732" ht="76.5">
      <c r="A732" s="38">
        <v>3903</v>
      </c>
      <c r="B732" s="36" t="s">
        <v>1440</v>
      </c>
      <c r="C732" s="28" t="s">
        <v>1441</v>
      </c>
      <c r="D732" s="44">
        <v>1000</v>
      </c>
      <c r="E732" s="32" t="s">
        <v>1442</v>
      </c>
    </row>
    <row r="733" ht="246" customHeight="1">
      <c r="A733" s="38">
        <v>3904</v>
      </c>
      <c r="B733" s="36" t="s">
        <v>1443</v>
      </c>
      <c r="D733" s="28"/>
      <c r="E733" s="32" t="s">
        <v>1444</v>
      </c>
    </row>
    <row r="734">
      <c r="A734" s="28" t="s">
        <v>20</v>
      </c>
      <c r="B734" s="36" t="s">
        <v>1445</v>
      </c>
      <c r="C734" s="17" t="s">
        <v>30</v>
      </c>
      <c r="D734" s="32">
        <v>55611</v>
      </c>
      <c r="E734" s="28" t="s">
        <v>1446</v>
      </c>
    </row>
    <row r="735">
      <c r="A735" s="28" t="s">
        <v>24</v>
      </c>
      <c r="B735" s="36" t="s">
        <v>1447</v>
      </c>
      <c r="C735" s="17" t="s">
        <v>30</v>
      </c>
      <c r="D735" s="32">
        <v>66799</v>
      </c>
      <c r="E735" s="28" t="s">
        <v>1448</v>
      </c>
    </row>
    <row r="736">
      <c r="A736" s="28" t="s">
        <v>42</v>
      </c>
      <c r="B736" s="36" t="s">
        <v>1449</v>
      </c>
      <c r="C736" s="17" t="s">
        <v>30</v>
      </c>
      <c r="D736" s="32">
        <v>89345</v>
      </c>
      <c r="E736" s="28" t="s">
        <v>1450</v>
      </c>
    </row>
    <row r="737">
      <c r="A737" s="28" t="s">
        <v>69</v>
      </c>
      <c r="B737" s="36" t="s">
        <v>1451</v>
      </c>
      <c r="C737" s="17" t="s">
        <v>30</v>
      </c>
      <c r="D737" s="32">
        <v>116448</v>
      </c>
      <c r="E737" s="28" t="s">
        <v>1452</v>
      </c>
    </row>
    <row r="738">
      <c r="A738" s="28" t="s">
        <v>72</v>
      </c>
      <c r="B738" s="36" t="s">
        <v>1453</v>
      </c>
      <c r="C738" s="17" t="s">
        <v>30</v>
      </c>
      <c r="D738" s="32">
        <v>131648</v>
      </c>
      <c r="E738" s="28" t="s">
        <v>1454</v>
      </c>
    </row>
    <row r="739">
      <c r="A739" s="28" t="s">
        <v>75</v>
      </c>
      <c r="B739" s="36" t="s">
        <v>1455</v>
      </c>
      <c r="C739" s="17" t="s">
        <v>30</v>
      </c>
      <c r="D739" s="32">
        <v>146238</v>
      </c>
      <c r="E739" s="28" t="s">
        <v>1456</v>
      </c>
    </row>
    <row r="740" ht="27" customHeight="1">
      <c r="A740" s="28" t="s">
        <v>204</v>
      </c>
      <c r="B740" s="36" t="s">
        <v>1457</v>
      </c>
      <c r="C740" s="17" t="s">
        <v>30</v>
      </c>
      <c r="D740" s="32">
        <v>155906</v>
      </c>
      <c r="E740" s="28" t="s">
        <v>1458</v>
      </c>
    </row>
    <row r="741" ht="24" customHeight="1">
      <c r="A741" s="28" t="s">
        <v>419</v>
      </c>
      <c r="B741" s="36" t="s">
        <v>1459</v>
      </c>
      <c r="C741" s="17" t="s">
        <v>30</v>
      </c>
      <c r="D741" s="32">
        <v>41465</v>
      </c>
      <c r="E741" s="28" t="s">
        <v>1460</v>
      </c>
    </row>
    <row r="742" ht="63.75">
      <c r="A742" s="38">
        <v>3905</v>
      </c>
      <c r="B742" s="36" t="s">
        <v>1461</v>
      </c>
      <c r="D742" s="28"/>
      <c r="E742" s="32" t="s">
        <v>1462</v>
      </c>
    </row>
    <row r="743">
      <c r="A743" s="28" t="s">
        <v>20</v>
      </c>
      <c r="B743" s="36" t="s">
        <v>1413</v>
      </c>
      <c r="C743" s="17" t="s">
        <v>30</v>
      </c>
      <c r="D743" s="32">
        <v>4599</v>
      </c>
      <c r="E743" s="28" t="s">
        <v>1463</v>
      </c>
    </row>
    <row r="744">
      <c r="A744" s="28" t="s">
        <v>24</v>
      </c>
      <c r="B744" s="36" t="s">
        <v>1415</v>
      </c>
      <c r="C744" s="17" t="s">
        <v>30</v>
      </c>
      <c r="D744" s="32">
        <v>5225</v>
      </c>
      <c r="E744" s="28" t="s">
        <v>1464</v>
      </c>
    </row>
    <row r="745">
      <c r="A745" s="28" t="s">
        <v>42</v>
      </c>
      <c r="B745" s="36" t="s">
        <v>1417</v>
      </c>
      <c r="C745" s="17" t="s">
        <v>30</v>
      </c>
      <c r="D745" s="32">
        <v>10145</v>
      </c>
      <c r="E745" s="28" t="s">
        <v>1465</v>
      </c>
    </row>
    <row r="746">
      <c r="A746" s="28" t="s">
        <v>69</v>
      </c>
      <c r="B746" s="36" t="s">
        <v>1419</v>
      </c>
      <c r="C746" s="17" t="s">
        <v>30</v>
      </c>
      <c r="D746" s="32">
        <v>20574</v>
      </c>
      <c r="E746" s="28" t="s">
        <v>1466</v>
      </c>
    </row>
    <row r="747">
      <c r="A747" s="28" t="s">
        <v>72</v>
      </c>
      <c r="B747" s="36" t="s">
        <v>1421</v>
      </c>
      <c r="C747" s="17" t="s">
        <v>30</v>
      </c>
      <c r="D747" s="32">
        <v>22865</v>
      </c>
      <c r="E747" s="28" t="s">
        <v>1467</v>
      </c>
    </row>
    <row r="748">
      <c r="A748" s="28" t="s">
        <v>75</v>
      </c>
      <c r="B748" s="36" t="s">
        <v>1423</v>
      </c>
      <c r="C748" s="17" t="s">
        <v>30</v>
      </c>
      <c r="D748" s="32">
        <v>25185</v>
      </c>
      <c r="E748" s="28" t="s">
        <v>1468</v>
      </c>
    </row>
    <row r="749">
      <c r="A749" s="28" t="s">
        <v>204</v>
      </c>
      <c r="B749" s="36" t="s">
        <v>1425</v>
      </c>
      <c r="C749" s="17" t="s">
        <v>30</v>
      </c>
      <c r="D749" s="32">
        <v>26714</v>
      </c>
      <c r="E749" s="28" t="s">
        <v>1469</v>
      </c>
    </row>
    <row r="750">
      <c r="A750" s="28" t="s">
        <v>419</v>
      </c>
      <c r="B750" s="36" t="s">
        <v>1427</v>
      </c>
      <c r="C750" s="17" t="s">
        <v>30</v>
      </c>
      <c r="D750" s="32">
        <v>2581</v>
      </c>
      <c r="E750" s="28" t="s">
        <v>1470</v>
      </c>
    </row>
    <row r="751" ht="51">
      <c r="A751" s="38">
        <v>3906</v>
      </c>
      <c r="B751" s="36" t="s">
        <v>1471</v>
      </c>
      <c r="D751" s="28"/>
      <c r="E751" s="32" t="s">
        <v>1472</v>
      </c>
    </row>
    <row r="752">
      <c r="A752" s="28" t="s">
        <v>20</v>
      </c>
      <c r="B752" s="36" t="s">
        <v>1413</v>
      </c>
      <c r="C752" s="17" t="s">
        <v>30</v>
      </c>
      <c r="D752" s="32">
        <v>4563</v>
      </c>
      <c r="E752" s="28" t="s">
        <v>1473</v>
      </c>
    </row>
    <row r="753">
      <c r="A753" s="28" t="s">
        <v>24</v>
      </c>
      <c r="B753" s="36" t="s">
        <v>1415</v>
      </c>
      <c r="C753" s="17" t="s">
        <v>30</v>
      </c>
      <c r="D753" s="32">
        <v>5519</v>
      </c>
      <c r="E753" s="28" t="s">
        <v>1474</v>
      </c>
    </row>
    <row r="754">
      <c r="A754" s="28" t="s">
        <v>42</v>
      </c>
      <c r="B754" s="36" t="s">
        <v>1417</v>
      </c>
      <c r="C754" s="17" t="s">
        <v>30</v>
      </c>
      <c r="D754" s="32">
        <v>8676</v>
      </c>
      <c r="E754" s="28" t="s">
        <v>1475</v>
      </c>
    </row>
    <row r="755">
      <c r="A755" s="28" t="s">
        <v>69</v>
      </c>
      <c r="B755" s="36" t="s">
        <v>1419</v>
      </c>
      <c r="C755" s="17" t="s">
        <v>30</v>
      </c>
      <c r="D755" s="32">
        <v>15433</v>
      </c>
      <c r="E755" s="28" t="s">
        <v>1476</v>
      </c>
    </row>
    <row r="756">
      <c r="A756" s="28" t="s">
        <v>72</v>
      </c>
      <c r="B756" s="36" t="s">
        <v>1421</v>
      </c>
      <c r="C756" s="17" t="s">
        <v>30</v>
      </c>
      <c r="D756" s="32">
        <v>16255</v>
      </c>
      <c r="E756" s="28" t="s">
        <v>1477</v>
      </c>
    </row>
    <row r="757">
      <c r="A757" s="28" t="s">
        <v>75</v>
      </c>
      <c r="B757" s="36" t="s">
        <v>1423</v>
      </c>
      <c r="C757" s="17" t="s">
        <v>30</v>
      </c>
      <c r="D757" s="32">
        <v>20779</v>
      </c>
      <c r="E757" s="28" t="s">
        <v>1478</v>
      </c>
    </row>
    <row r="758">
      <c r="A758" s="28" t="s">
        <v>204</v>
      </c>
      <c r="B758" s="36" t="s">
        <v>1425</v>
      </c>
      <c r="C758" s="17" t="s">
        <v>30</v>
      </c>
      <c r="D758" s="32">
        <v>22307</v>
      </c>
      <c r="E758" s="28" t="s">
        <v>1479</v>
      </c>
    </row>
    <row r="759">
      <c r="A759" s="28" t="s">
        <v>419</v>
      </c>
      <c r="B759" s="36" t="s">
        <v>1427</v>
      </c>
      <c r="C759" s="17" t="s">
        <v>30</v>
      </c>
      <c r="D759" s="32">
        <v>2581</v>
      </c>
      <c r="E759" s="28" t="s">
        <v>1480</v>
      </c>
    </row>
    <row r="760" ht="126" customHeight="1">
      <c r="A760" s="32">
        <v>3907</v>
      </c>
      <c r="B760" s="36" t="s">
        <v>1481</v>
      </c>
      <c r="D760" s="28"/>
      <c r="E760" s="32" t="s">
        <v>1482</v>
      </c>
    </row>
    <row r="761">
      <c r="A761" s="28" t="s">
        <v>20</v>
      </c>
      <c r="B761" s="36" t="s">
        <v>1413</v>
      </c>
      <c r="C761" s="17" t="s">
        <v>30</v>
      </c>
      <c r="D761" s="32">
        <v>4306</v>
      </c>
      <c r="E761" s="28" t="s">
        <v>1483</v>
      </c>
    </row>
    <row r="762">
      <c r="A762" s="28" t="s">
        <v>24</v>
      </c>
      <c r="B762" s="36" t="s">
        <v>1415</v>
      </c>
      <c r="C762" s="17" t="s">
        <v>30</v>
      </c>
      <c r="D762" s="32">
        <v>5152</v>
      </c>
      <c r="E762" s="28" t="s">
        <v>1484</v>
      </c>
    </row>
    <row r="763">
      <c r="A763" s="28" t="s">
        <v>42</v>
      </c>
      <c r="B763" s="36" t="s">
        <v>1417</v>
      </c>
      <c r="C763" s="17" t="s">
        <v>30</v>
      </c>
      <c r="D763" s="32">
        <v>7941</v>
      </c>
      <c r="E763" s="28" t="s">
        <v>1485</v>
      </c>
    </row>
    <row r="764">
      <c r="A764" s="28" t="s">
        <v>69</v>
      </c>
      <c r="B764" s="36" t="s">
        <v>1419</v>
      </c>
      <c r="C764" s="17" t="s">
        <v>30</v>
      </c>
      <c r="D764" s="32">
        <v>12018</v>
      </c>
      <c r="E764" s="28" t="s">
        <v>1486</v>
      </c>
    </row>
    <row r="765">
      <c r="A765" s="28" t="s">
        <v>72</v>
      </c>
      <c r="B765" s="36" t="s">
        <v>1421</v>
      </c>
      <c r="C765" s="17" t="s">
        <v>30</v>
      </c>
      <c r="D765" s="32">
        <v>12425</v>
      </c>
      <c r="E765" s="28" t="s">
        <v>1487</v>
      </c>
    </row>
    <row r="766">
      <c r="A766" s="28" t="s">
        <v>75</v>
      </c>
      <c r="B766" s="36" t="s">
        <v>1423</v>
      </c>
      <c r="C766" s="17" t="s">
        <v>30</v>
      </c>
      <c r="D766" s="32">
        <v>14331</v>
      </c>
      <c r="E766" s="28" t="s">
        <v>1488</v>
      </c>
    </row>
    <row r="767">
      <c r="A767" s="28" t="s">
        <v>204</v>
      </c>
      <c r="B767" s="36" t="s">
        <v>1425</v>
      </c>
      <c r="C767" s="17" t="s">
        <v>30</v>
      </c>
      <c r="D767" s="32">
        <v>15102</v>
      </c>
      <c r="E767" s="28" t="s">
        <v>1489</v>
      </c>
    </row>
    <row r="768" ht="102.75" customHeight="1">
      <c r="A768" s="32">
        <v>3908</v>
      </c>
      <c r="B768" s="36" t="s">
        <v>1490</v>
      </c>
      <c r="D768" s="28"/>
      <c r="E768" s="32" t="s">
        <v>1491</v>
      </c>
    </row>
    <row r="769" ht="25.5">
      <c r="A769" s="28" t="s">
        <v>20</v>
      </c>
      <c r="B769" s="36" t="s">
        <v>1413</v>
      </c>
      <c r="C769" s="28" t="s">
        <v>1205</v>
      </c>
      <c r="D769" s="32">
        <v>66096</v>
      </c>
      <c r="E769" s="28" t="s">
        <v>1492</v>
      </c>
    </row>
    <row r="770" ht="35.25" customHeight="1">
      <c r="A770" s="28" t="s">
        <v>24</v>
      </c>
      <c r="B770" s="36" t="s">
        <v>1415</v>
      </c>
      <c r="C770" s="28" t="s">
        <v>1205</v>
      </c>
      <c r="D770" s="32">
        <v>80784</v>
      </c>
      <c r="E770" s="28" t="s">
        <v>1493</v>
      </c>
    </row>
    <row r="771" ht="35.25" customHeight="1">
      <c r="A771" s="28" t="s">
        <v>42</v>
      </c>
      <c r="B771" s="36" t="s">
        <v>1417</v>
      </c>
      <c r="C771" s="28" t="s">
        <v>1205</v>
      </c>
      <c r="D771" s="32">
        <v>110160</v>
      </c>
      <c r="E771" s="28" t="s">
        <v>1494</v>
      </c>
    </row>
    <row r="772" ht="25.5">
      <c r="A772" s="28" t="s">
        <v>69</v>
      </c>
      <c r="B772" s="36" t="s">
        <v>1419</v>
      </c>
      <c r="C772" s="28" t="s">
        <v>1205</v>
      </c>
      <c r="D772" s="32">
        <v>139536</v>
      </c>
      <c r="E772" s="28" t="s">
        <v>1495</v>
      </c>
    </row>
    <row r="773" ht="25.5">
      <c r="A773" s="28" t="s">
        <v>72</v>
      </c>
      <c r="B773" s="36" t="s">
        <v>1421</v>
      </c>
      <c r="C773" s="28" t="s">
        <v>1205</v>
      </c>
      <c r="D773" s="32">
        <v>168912</v>
      </c>
      <c r="E773" s="28" t="s">
        <v>1496</v>
      </c>
    </row>
    <row r="774" ht="25.5">
      <c r="A774" s="28" t="s">
        <v>75</v>
      </c>
      <c r="B774" s="36" t="s">
        <v>1423</v>
      </c>
      <c r="C774" s="28" t="s">
        <v>1205</v>
      </c>
      <c r="D774" s="32">
        <v>205632</v>
      </c>
      <c r="E774" s="28" t="s">
        <v>1497</v>
      </c>
    </row>
    <row r="775" ht="25.5">
      <c r="A775" s="28" t="s">
        <v>204</v>
      </c>
      <c r="B775" s="36" t="s">
        <v>1425</v>
      </c>
      <c r="C775" s="28" t="s">
        <v>1205</v>
      </c>
      <c r="D775" s="32">
        <v>257040</v>
      </c>
      <c r="E775" s="28" t="s">
        <v>1498</v>
      </c>
    </row>
    <row r="776" ht="25.5">
      <c r="A776" s="28" t="s">
        <v>419</v>
      </c>
      <c r="B776" s="36" t="s">
        <v>1427</v>
      </c>
      <c r="C776" s="28" t="s">
        <v>1499</v>
      </c>
      <c r="D776" s="32">
        <v>29376</v>
      </c>
      <c r="E776" s="28" t="s">
        <v>1500</v>
      </c>
    </row>
    <row r="777" s="8" customFormat="1" ht="138" customHeight="1">
      <c r="A777" s="76">
        <v>3909</v>
      </c>
      <c r="B777" s="77" t="s">
        <v>1501</v>
      </c>
      <c r="C777" s="78" t="s">
        <v>1502</v>
      </c>
      <c r="D777" s="76">
        <v>584</v>
      </c>
      <c r="E777" s="76" t="s">
        <v>1503</v>
      </c>
    </row>
    <row r="778" ht="90.75" customHeight="1">
      <c r="A778" s="32">
        <v>3910</v>
      </c>
      <c r="B778" s="36" t="s">
        <v>1504</v>
      </c>
      <c r="D778" s="28"/>
      <c r="E778" s="32" t="s">
        <v>1505</v>
      </c>
    </row>
    <row r="779" ht="25.5">
      <c r="A779" s="28" t="s">
        <v>20</v>
      </c>
      <c r="B779" s="36" t="s">
        <v>1413</v>
      </c>
      <c r="C779" s="28" t="s">
        <v>1205</v>
      </c>
      <c r="D779" s="32">
        <v>13586</v>
      </c>
      <c r="E779" s="28" t="s">
        <v>1506</v>
      </c>
    </row>
    <row r="780" ht="25.5">
      <c r="A780" s="28" t="s">
        <v>24</v>
      </c>
      <c r="B780" s="36" t="s">
        <v>1415</v>
      </c>
      <c r="C780" s="28" t="s">
        <v>1205</v>
      </c>
      <c r="D780" s="32">
        <v>16891</v>
      </c>
      <c r="E780" s="28" t="s">
        <v>1507</v>
      </c>
    </row>
    <row r="781" ht="25.5">
      <c r="A781" s="28" t="s">
        <v>42</v>
      </c>
      <c r="B781" s="36" t="s">
        <v>1417</v>
      </c>
      <c r="C781" s="28" t="s">
        <v>1205</v>
      </c>
      <c r="D781" s="32">
        <v>22032</v>
      </c>
      <c r="E781" s="28" t="s">
        <v>1508</v>
      </c>
    </row>
    <row r="782" ht="25.5">
      <c r="A782" s="28" t="s">
        <v>69</v>
      </c>
      <c r="B782" s="36" t="s">
        <v>1419</v>
      </c>
      <c r="C782" s="28" t="s">
        <v>1205</v>
      </c>
      <c r="D782" s="32">
        <v>24676</v>
      </c>
      <c r="E782" s="28" t="s">
        <v>1509</v>
      </c>
    </row>
    <row r="783" ht="25.5">
      <c r="A783" s="28" t="s">
        <v>72</v>
      </c>
      <c r="B783" s="36" t="s">
        <v>1421</v>
      </c>
      <c r="C783" s="28" t="s">
        <v>1205</v>
      </c>
      <c r="D783" s="32">
        <v>27173</v>
      </c>
      <c r="E783" s="28" t="s">
        <v>1510</v>
      </c>
    </row>
    <row r="784" ht="25.5">
      <c r="A784" s="28" t="s">
        <v>75</v>
      </c>
      <c r="B784" s="36" t="s">
        <v>1423</v>
      </c>
      <c r="C784" s="28" t="s">
        <v>1205</v>
      </c>
      <c r="D784" s="32">
        <v>29376</v>
      </c>
      <c r="E784" s="28" t="s">
        <v>1511</v>
      </c>
    </row>
    <row r="785" ht="25.5">
      <c r="A785" s="28" t="s">
        <v>204</v>
      </c>
      <c r="B785" s="36" t="s">
        <v>1425</v>
      </c>
      <c r="C785" s="28" t="s">
        <v>1205</v>
      </c>
      <c r="D785" s="32">
        <v>33048</v>
      </c>
      <c r="E785" s="28" t="s">
        <v>1512</v>
      </c>
    </row>
    <row r="786" ht="25.5">
      <c r="A786" s="28" t="s">
        <v>419</v>
      </c>
      <c r="B786" s="36" t="s">
        <v>1427</v>
      </c>
      <c r="C786" s="28" t="s">
        <v>1499</v>
      </c>
      <c r="D786" s="32">
        <v>10282</v>
      </c>
      <c r="E786" s="28" t="s">
        <v>1513</v>
      </c>
    </row>
    <row r="787" ht="75.75" customHeight="1">
      <c r="A787" s="32">
        <v>3911</v>
      </c>
      <c r="B787" s="36" t="s">
        <v>1514</v>
      </c>
      <c r="D787" s="28"/>
      <c r="E787" s="32" t="s">
        <v>1515</v>
      </c>
    </row>
    <row r="788" ht="25.5">
      <c r="A788" s="28" t="s">
        <v>20</v>
      </c>
      <c r="B788" s="36" t="s">
        <v>1413</v>
      </c>
      <c r="C788" s="28" t="s">
        <v>1205</v>
      </c>
      <c r="D788" s="32">
        <v>1102</v>
      </c>
      <c r="E788" s="28" t="s">
        <v>1516</v>
      </c>
    </row>
    <row r="789" ht="25.5">
      <c r="A789" s="28" t="s">
        <v>24</v>
      </c>
      <c r="B789" s="36" t="s">
        <v>1415</v>
      </c>
      <c r="C789" s="28" t="s">
        <v>1205</v>
      </c>
      <c r="D789" s="32">
        <v>1469</v>
      </c>
      <c r="E789" s="28" t="s">
        <v>1517</v>
      </c>
    </row>
    <row r="790" ht="25.5">
      <c r="A790" s="28" t="s">
        <v>42</v>
      </c>
      <c r="B790" s="36" t="s">
        <v>1417</v>
      </c>
      <c r="C790" s="28" t="s">
        <v>1205</v>
      </c>
      <c r="D790" s="32">
        <v>2203</v>
      </c>
      <c r="E790" s="28" t="s">
        <v>1518</v>
      </c>
    </row>
    <row r="791" ht="25.5">
      <c r="A791" s="28" t="s">
        <v>69</v>
      </c>
      <c r="B791" s="36" t="s">
        <v>1419</v>
      </c>
      <c r="C791" s="28" t="s">
        <v>1205</v>
      </c>
      <c r="D791" s="32">
        <v>2570</v>
      </c>
      <c r="E791" s="28" t="s">
        <v>1519</v>
      </c>
    </row>
    <row r="792" ht="25.5">
      <c r="A792" s="28" t="s">
        <v>72</v>
      </c>
      <c r="B792" s="36" t="s">
        <v>1421</v>
      </c>
      <c r="C792" s="28" t="s">
        <v>1205</v>
      </c>
      <c r="D792" s="32">
        <v>2938</v>
      </c>
      <c r="E792" s="28" t="s">
        <v>1520</v>
      </c>
    </row>
    <row r="793" ht="25.5">
      <c r="A793" s="28" t="s">
        <v>75</v>
      </c>
      <c r="B793" s="36" t="s">
        <v>1423</v>
      </c>
      <c r="C793" s="28" t="s">
        <v>1205</v>
      </c>
      <c r="D793" s="32">
        <v>3672</v>
      </c>
      <c r="E793" s="28" t="s">
        <v>1521</v>
      </c>
    </row>
    <row r="794" ht="25.5">
      <c r="A794" s="28" t="s">
        <v>204</v>
      </c>
      <c r="B794" s="36" t="s">
        <v>1425</v>
      </c>
      <c r="C794" s="28" t="s">
        <v>1205</v>
      </c>
      <c r="D794" s="32">
        <v>4406</v>
      </c>
      <c r="E794" s="28" t="s">
        <v>1522</v>
      </c>
    </row>
    <row r="795" ht="25.5">
      <c r="A795" s="28" t="s">
        <v>419</v>
      </c>
      <c r="B795" s="36" t="s">
        <v>1427</v>
      </c>
      <c r="C795" s="28" t="s">
        <v>1205</v>
      </c>
      <c r="D795" s="32">
        <v>661</v>
      </c>
      <c r="E795" s="28" t="s">
        <v>1523</v>
      </c>
    </row>
    <row r="796" ht="26.25" customHeight="1">
      <c r="A796" s="32">
        <v>3912</v>
      </c>
      <c r="B796" s="36" t="s">
        <v>1524</v>
      </c>
      <c r="D796" s="28"/>
      <c r="E796" s="32" t="s">
        <v>1525</v>
      </c>
    </row>
    <row r="797" ht="25.5">
      <c r="A797" s="28" t="s">
        <v>20</v>
      </c>
      <c r="B797" s="36" t="s">
        <v>1413</v>
      </c>
      <c r="C797" s="28" t="s">
        <v>1205</v>
      </c>
      <c r="D797" s="32">
        <v>1102</v>
      </c>
      <c r="E797" s="28" t="s">
        <v>1526</v>
      </c>
    </row>
    <row r="798" ht="25.5">
      <c r="A798" s="28" t="s">
        <v>24</v>
      </c>
      <c r="B798" s="36" t="s">
        <v>1415</v>
      </c>
      <c r="C798" s="28" t="s">
        <v>1205</v>
      </c>
      <c r="D798" s="32">
        <v>1469</v>
      </c>
      <c r="E798" s="28" t="s">
        <v>1527</v>
      </c>
    </row>
    <row r="799" ht="25.5">
      <c r="A799" s="28" t="s">
        <v>42</v>
      </c>
      <c r="B799" s="36" t="s">
        <v>1417</v>
      </c>
      <c r="C799" s="28" t="s">
        <v>1205</v>
      </c>
      <c r="D799" s="32">
        <v>2203</v>
      </c>
      <c r="E799" s="28" t="s">
        <v>1528</v>
      </c>
    </row>
    <row r="800" ht="25.5">
      <c r="A800" s="28" t="s">
        <v>69</v>
      </c>
      <c r="B800" s="36" t="s">
        <v>1419</v>
      </c>
      <c r="C800" s="28" t="s">
        <v>1205</v>
      </c>
      <c r="D800" s="32">
        <v>3672</v>
      </c>
      <c r="E800" s="28" t="s">
        <v>1529</v>
      </c>
    </row>
    <row r="801" ht="25.5">
      <c r="A801" s="28" t="s">
        <v>72</v>
      </c>
      <c r="B801" s="36" t="s">
        <v>1421</v>
      </c>
      <c r="C801" s="28" t="s">
        <v>1205</v>
      </c>
      <c r="D801" s="32">
        <v>5508</v>
      </c>
      <c r="E801" s="28" t="s">
        <v>1530</v>
      </c>
    </row>
    <row r="802" ht="25.5">
      <c r="A802" s="28" t="s">
        <v>75</v>
      </c>
      <c r="B802" s="36" t="s">
        <v>1423</v>
      </c>
      <c r="C802" s="28" t="s">
        <v>1205</v>
      </c>
      <c r="D802" s="32">
        <v>6059</v>
      </c>
      <c r="E802" s="28" t="s">
        <v>1531</v>
      </c>
    </row>
    <row r="803" ht="25.5">
      <c r="A803" s="28" t="s">
        <v>204</v>
      </c>
      <c r="B803" s="36" t="s">
        <v>1425</v>
      </c>
      <c r="C803" s="28" t="s">
        <v>1205</v>
      </c>
      <c r="D803" s="32">
        <v>7344</v>
      </c>
      <c r="E803" s="28" t="s">
        <v>1532</v>
      </c>
    </row>
    <row r="804" ht="25.5">
      <c r="A804" s="28" t="s">
        <v>419</v>
      </c>
      <c r="B804" s="36" t="s">
        <v>1427</v>
      </c>
      <c r="C804" s="28" t="s">
        <v>1326</v>
      </c>
      <c r="D804" s="32">
        <v>441</v>
      </c>
      <c r="E804" s="28" t="s">
        <v>1533</v>
      </c>
    </row>
    <row r="805" s="6" customFormat="1" ht="77.25" customHeight="1">
      <c r="A805" s="64">
        <v>3913</v>
      </c>
      <c r="B805" s="81" t="s">
        <v>1534</v>
      </c>
      <c r="C805" s="66" t="s">
        <v>1298</v>
      </c>
      <c r="D805" s="64">
        <v>294</v>
      </c>
      <c r="E805" s="64" t="s">
        <v>1535</v>
      </c>
    </row>
    <row r="806" s="6" customFormat="1" ht="25.5">
      <c r="A806" s="64">
        <v>3914</v>
      </c>
      <c r="B806" s="81" t="s">
        <v>1536</v>
      </c>
      <c r="C806" s="66" t="s">
        <v>1298</v>
      </c>
      <c r="D806" s="64">
        <v>367</v>
      </c>
      <c r="E806" s="64" t="s">
        <v>1537</v>
      </c>
    </row>
    <row r="807" ht="25.5">
      <c r="A807" s="32">
        <v>3915</v>
      </c>
      <c r="B807" s="36" t="s">
        <v>1538</v>
      </c>
      <c r="C807" s="28" t="s">
        <v>1298</v>
      </c>
      <c r="D807" s="32">
        <v>58</v>
      </c>
      <c r="E807" s="32" t="s">
        <v>1539</v>
      </c>
    </row>
    <row r="808">
      <c r="A808" s="32">
        <v>3916</v>
      </c>
      <c r="B808" s="36" t="s">
        <v>1540</v>
      </c>
      <c r="C808" s="28"/>
      <c r="D808" s="28"/>
      <c r="E808" s="32" t="s">
        <v>1541</v>
      </c>
    </row>
    <row r="809" ht="25.5">
      <c r="A809" s="28" t="s">
        <v>20</v>
      </c>
      <c r="B809" s="36" t="s">
        <v>1542</v>
      </c>
      <c r="C809" s="28" t="s">
        <v>1298</v>
      </c>
      <c r="D809" s="32">
        <v>17</v>
      </c>
      <c r="E809" s="28" t="s">
        <v>1543</v>
      </c>
    </row>
    <row r="810" ht="25.5">
      <c r="A810" s="28" t="s">
        <v>24</v>
      </c>
      <c r="B810" s="36" t="s">
        <v>1544</v>
      </c>
      <c r="C810" s="28" t="s">
        <v>1298</v>
      </c>
      <c r="D810" s="32">
        <v>33</v>
      </c>
      <c r="E810" s="28" t="s">
        <v>1545</v>
      </c>
    </row>
    <row r="811">
      <c r="A811" s="28" t="s">
        <v>42</v>
      </c>
      <c r="B811" s="36" t="s">
        <v>1546</v>
      </c>
      <c r="C811" s="17" t="s">
        <v>1547</v>
      </c>
      <c r="D811" s="32">
        <v>170</v>
      </c>
      <c r="E811" s="28" t="s">
        <v>1548</v>
      </c>
    </row>
    <row r="812">
      <c r="A812" s="32">
        <v>3917</v>
      </c>
      <c r="B812" s="36" t="s">
        <v>1549</v>
      </c>
      <c r="D812" s="28"/>
      <c r="E812" s="32" t="s">
        <v>1550</v>
      </c>
    </row>
    <row r="813" ht="38.25">
      <c r="A813" s="28" t="s">
        <v>20</v>
      </c>
      <c r="B813" s="36" t="s">
        <v>1551</v>
      </c>
      <c r="C813" s="28" t="s">
        <v>1552</v>
      </c>
      <c r="D813" s="32">
        <v>320</v>
      </c>
      <c r="E813" s="28" t="s">
        <v>1553</v>
      </c>
    </row>
    <row r="814" ht="38.25">
      <c r="A814" s="28" t="s">
        <v>24</v>
      </c>
      <c r="B814" s="36" t="s">
        <v>1554</v>
      </c>
      <c r="C814" s="28" t="s">
        <v>1555</v>
      </c>
      <c r="D814" s="32">
        <v>140</v>
      </c>
      <c r="E814" s="28" t="s">
        <v>1556</v>
      </c>
    </row>
    <row r="815" ht="38.25">
      <c r="A815" s="28" t="s">
        <v>42</v>
      </c>
      <c r="B815" s="36" t="s">
        <v>1557</v>
      </c>
      <c r="C815" s="28" t="s">
        <v>1558</v>
      </c>
      <c r="D815" s="32">
        <v>105</v>
      </c>
      <c r="E815" s="28" t="s">
        <v>1559</v>
      </c>
    </row>
    <row r="816" ht="25.5">
      <c r="A816" s="28" t="s">
        <v>69</v>
      </c>
      <c r="B816" s="36" t="s">
        <v>1560</v>
      </c>
      <c r="C816" s="28" t="s">
        <v>1561</v>
      </c>
      <c r="D816" s="32">
        <v>243</v>
      </c>
      <c r="E816" s="28" t="s">
        <v>1562</v>
      </c>
    </row>
    <row r="817" ht="27" customHeight="1">
      <c r="A817" s="32">
        <v>3918</v>
      </c>
      <c r="B817" s="36" t="s">
        <v>1563</v>
      </c>
      <c r="D817" s="28"/>
      <c r="E817" s="32" t="s">
        <v>1564</v>
      </c>
    </row>
    <row r="818">
      <c r="A818" s="28" t="s">
        <v>20</v>
      </c>
      <c r="B818" s="36" t="s">
        <v>1565</v>
      </c>
      <c r="C818" s="17" t="s">
        <v>1566</v>
      </c>
      <c r="D818" s="32">
        <v>8</v>
      </c>
      <c r="E818" s="28" t="s">
        <v>1567</v>
      </c>
    </row>
    <row r="819">
      <c r="A819" s="28" t="s">
        <v>24</v>
      </c>
      <c r="B819" s="36" t="s">
        <v>1568</v>
      </c>
      <c r="C819" s="17" t="s">
        <v>1566</v>
      </c>
      <c r="D819" s="32">
        <v>35</v>
      </c>
      <c r="E819" s="28" t="s">
        <v>1569</v>
      </c>
    </row>
    <row r="820">
      <c r="A820" s="32">
        <v>3919</v>
      </c>
      <c r="B820" s="36" t="s">
        <v>1570</v>
      </c>
      <c r="D820" s="28"/>
      <c r="E820" s="32" t="s">
        <v>1571</v>
      </c>
    </row>
    <row r="821" ht="51.75" customHeight="1">
      <c r="A821" s="28" t="s">
        <v>20</v>
      </c>
      <c r="B821" s="36" t="s">
        <v>1572</v>
      </c>
      <c r="C821" s="28" t="s">
        <v>1573</v>
      </c>
      <c r="D821" s="32">
        <v>9391</v>
      </c>
      <c r="E821" s="28" t="s">
        <v>1574</v>
      </c>
    </row>
    <row r="822" ht="51">
      <c r="A822" s="28" t="s">
        <v>24</v>
      </c>
      <c r="B822" s="36" t="s">
        <v>1575</v>
      </c>
      <c r="C822" s="28" t="s">
        <v>1573</v>
      </c>
      <c r="D822" s="32">
        <v>9291</v>
      </c>
      <c r="E822" s="28" t="s">
        <v>1576</v>
      </c>
    </row>
    <row r="823" ht="25.5">
      <c r="A823" s="28" t="s">
        <v>42</v>
      </c>
      <c r="B823" s="36" t="s">
        <v>1577</v>
      </c>
      <c r="C823" s="17" t="s">
        <v>22</v>
      </c>
      <c r="D823" s="32">
        <v>4762</v>
      </c>
      <c r="E823" s="28" t="s">
        <v>1578</v>
      </c>
    </row>
    <row r="824" ht="25.5">
      <c r="A824" s="28" t="s">
        <v>69</v>
      </c>
      <c r="B824" s="36" t="s">
        <v>1579</v>
      </c>
      <c r="C824" s="28" t="s">
        <v>1580</v>
      </c>
      <c r="D824" s="32">
        <v>2268</v>
      </c>
      <c r="E824" s="28" t="s">
        <v>1581</v>
      </c>
    </row>
    <row r="825" ht="25.5">
      <c r="A825" s="32">
        <v>3920</v>
      </c>
      <c r="B825" s="36" t="s">
        <v>1582</v>
      </c>
      <c r="C825" s="17" t="s">
        <v>1583</v>
      </c>
      <c r="D825" s="32">
        <v>5679</v>
      </c>
      <c r="E825" s="32" t="s">
        <v>1584</v>
      </c>
    </row>
    <row r="826" ht="25.5">
      <c r="A826" s="32">
        <v>3921</v>
      </c>
      <c r="B826" s="36" t="s">
        <v>1585</v>
      </c>
      <c r="C826" s="28" t="s">
        <v>1561</v>
      </c>
      <c r="D826" s="32">
        <v>179</v>
      </c>
      <c r="E826" s="32" t="s">
        <v>1586</v>
      </c>
    </row>
    <row r="827">
      <c r="A827" s="32"/>
      <c r="B827" s="32"/>
      <c r="C827" s="32"/>
      <c r="D827" s="32"/>
      <c r="E827" s="32"/>
    </row>
    <row r="828" ht="12.75" customHeight="1">
      <c r="A828" s="34" t="s">
        <v>1587</v>
      </c>
      <c r="B828" s="34"/>
      <c r="C828" s="34"/>
      <c r="D828" s="34"/>
      <c r="E828" s="34"/>
    </row>
    <row r="829" ht="76.5">
      <c r="A829" s="32">
        <v>4001</v>
      </c>
      <c r="B829" s="27" t="s">
        <v>1588</v>
      </c>
      <c r="C829" s="28" t="s">
        <v>981</v>
      </c>
      <c r="D829" s="32">
        <v>56</v>
      </c>
      <c r="E829" s="32" t="s">
        <v>1589</v>
      </c>
    </row>
    <row r="830" ht="51">
      <c r="A830" s="32">
        <v>4002</v>
      </c>
      <c r="B830" s="27" t="s">
        <v>1590</v>
      </c>
      <c r="C830" s="28" t="s">
        <v>1591</v>
      </c>
      <c r="D830" s="32">
        <v>2091</v>
      </c>
      <c r="E830" s="32" t="s">
        <v>1592</v>
      </c>
    </row>
    <row r="831" ht="51">
      <c r="A831" s="32">
        <v>4003</v>
      </c>
      <c r="B831" s="27" t="s">
        <v>1593</v>
      </c>
      <c r="C831" s="28" t="s">
        <v>863</v>
      </c>
      <c r="D831" s="32">
        <v>2123</v>
      </c>
      <c r="E831" s="32" t="s">
        <v>1594</v>
      </c>
    </row>
    <row r="832">
      <c r="A832" s="32"/>
      <c r="B832" s="32"/>
      <c r="C832" s="32"/>
      <c r="D832" s="32"/>
      <c r="E832" s="32"/>
    </row>
    <row r="833" ht="12.75" customHeight="1">
      <c r="A833" s="34" t="s">
        <v>1595</v>
      </c>
      <c r="B833" s="34"/>
      <c r="C833" s="34"/>
      <c r="D833" s="34"/>
      <c r="E833" s="34"/>
    </row>
    <row r="834" ht="188.25" customHeight="1">
      <c r="A834" s="32">
        <v>4101</v>
      </c>
      <c r="B834" s="27" t="s">
        <v>1596</v>
      </c>
      <c r="C834" s="28" t="s">
        <v>30</v>
      </c>
      <c r="D834" s="32">
        <v>7832317</v>
      </c>
      <c r="E834" s="32" t="s">
        <v>1597</v>
      </c>
    </row>
    <row r="835" ht="38.25">
      <c r="A835" s="32">
        <v>4102</v>
      </c>
      <c r="B835" s="27" t="s">
        <v>1598</v>
      </c>
      <c r="C835" s="28" t="s">
        <v>1599</v>
      </c>
      <c r="D835" s="32">
        <v>71250</v>
      </c>
      <c r="E835" s="32" t="s">
        <v>1600</v>
      </c>
    </row>
    <row r="836" ht="63.75">
      <c r="A836" s="32">
        <v>4103</v>
      </c>
      <c r="B836" s="27" t="s">
        <v>1601</v>
      </c>
      <c r="C836" s="28" t="s">
        <v>1602</v>
      </c>
      <c r="D836" s="32">
        <v>674202</v>
      </c>
      <c r="E836" s="32" t="s">
        <v>1603</v>
      </c>
    </row>
    <row r="837" ht="75.75" customHeight="1">
      <c r="A837" s="32">
        <v>4104</v>
      </c>
      <c r="B837" s="27" t="s">
        <v>1604</v>
      </c>
      <c r="C837" s="28" t="s">
        <v>22</v>
      </c>
      <c r="D837" s="32">
        <v>226320</v>
      </c>
      <c r="E837" s="32" t="s">
        <v>1605</v>
      </c>
    </row>
    <row r="838" ht="38.25">
      <c r="A838" s="32">
        <v>4105</v>
      </c>
      <c r="B838" s="27" t="s">
        <v>1606</v>
      </c>
      <c r="C838" s="28" t="s">
        <v>943</v>
      </c>
      <c r="D838" s="32">
        <v>182900</v>
      </c>
      <c r="E838" s="32" t="s">
        <v>1607</v>
      </c>
    </row>
    <row r="839" ht="38.25">
      <c r="A839" s="32">
        <v>4106</v>
      </c>
      <c r="B839" s="27" t="s">
        <v>1608</v>
      </c>
      <c r="C839" s="28" t="s">
        <v>1609</v>
      </c>
      <c r="D839" s="32">
        <v>659159</v>
      </c>
      <c r="E839" s="32" t="s">
        <v>1610</v>
      </c>
    </row>
    <row r="840" ht="38.25">
      <c r="A840" s="32">
        <v>4107</v>
      </c>
      <c r="B840" s="27" t="s">
        <v>1611</v>
      </c>
      <c r="C840" s="28" t="s">
        <v>1612</v>
      </c>
      <c r="D840" s="32">
        <v>253418</v>
      </c>
      <c r="E840" s="32" t="s">
        <v>1613</v>
      </c>
    </row>
    <row r="841" ht="54.75" customHeight="1">
      <c r="A841" s="32">
        <v>4108</v>
      </c>
      <c r="B841" s="27" t="s">
        <v>1614</v>
      </c>
      <c r="C841" s="28" t="s">
        <v>1441</v>
      </c>
      <c r="D841" s="32">
        <v>1950</v>
      </c>
      <c r="E841" s="32" t="s">
        <v>1615</v>
      </c>
    </row>
    <row r="842" ht="28.5" customHeight="1">
      <c r="A842" s="32">
        <v>4109</v>
      </c>
      <c r="B842" s="27" t="s">
        <v>1616</v>
      </c>
      <c r="C842" s="28" t="s">
        <v>22</v>
      </c>
      <c r="D842" s="32">
        <v>25604</v>
      </c>
      <c r="E842" s="32" t="s">
        <v>1617</v>
      </c>
    </row>
    <row r="843" ht="25.5">
      <c r="A843" s="32">
        <v>4110</v>
      </c>
      <c r="B843" s="27" t="s">
        <v>1618</v>
      </c>
      <c r="C843" s="28" t="s">
        <v>1254</v>
      </c>
      <c r="D843" s="32">
        <v>1246</v>
      </c>
      <c r="E843" s="32" t="s">
        <v>1619</v>
      </c>
    </row>
    <row r="844" ht="38.25">
      <c r="A844" s="32">
        <v>4111</v>
      </c>
      <c r="B844" s="27" t="s">
        <v>1620</v>
      </c>
      <c r="C844" s="28" t="s">
        <v>1254</v>
      </c>
      <c r="D844" s="32">
        <v>1368</v>
      </c>
      <c r="E844" s="32" t="s">
        <v>1621</v>
      </c>
    </row>
    <row r="845" ht="53.25" customHeight="1">
      <c r="A845" s="32">
        <v>4112</v>
      </c>
      <c r="B845" s="27" t="s">
        <v>1622</v>
      </c>
      <c r="C845" s="28" t="s">
        <v>22</v>
      </c>
      <c r="D845" s="32">
        <v>126896</v>
      </c>
      <c r="E845" s="32" t="s">
        <v>1623</v>
      </c>
    </row>
    <row r="846" ht="76.5">
      <c r="A846" s="32">
        <v>4113</v>
      </c>
      <c r="B846" s="27" t="s">
        <v>1624</v>
      </c>
      <c r="C846" s="28" t="s">
        <v>844</v>
      </c>
      <c r="D846" s="32">
        <v>4098</v>
      </c>
      <c r="E846" s="32" t="s">
        <v>1625</v>
      </c>
    </row>
    <row r="847" ht="51">
      <c r="A847" s="32">
        <v>4114</v>
      </c>
      <c r="B847" s="27" t="s">
        <v>1626</v>
      </c>
      <c r="C847" s="28" t="s">
        <v>943</v>
      </c>
      <c r="D847" s="32">
        <v>354447</v>
      </c>
      <c r="E847" s="32" t="s">
        <v>1627</v>
      </c>
    </row>
    <row r="848">
      <c r="A848" s="32">
        <v>4115</v>
      </c>
      <c r="B848" s="27" t="s">
        <v>1628</v>
      </c>
      <c r="C848" s="28" t="s">
        <v>943</v>
      </c>
      <c r="D848" s="32">
        <v>11286</v>
      </c>
      <c r="E848" s="32" t="s">
        <v>1629</v>
      </c>
    </row>
    <row r="849">
      <c r="A849" s="32"/>
      <c r="B849" s="32"/>
      <c r="C849" s="32"/>
      <c r="D849" s="32"/>
      <c r="E849" s="32"/>
    </row>
    <row r="850" ht="12.75" customHeight="1">
      <c r="A850" s="34" t="s">
        <v>1630</v>
      </c>
      <c r="B850" s="34"/>
      <c r="C850" s="34"/>
      <c r="D850" s="34"/>
      <c r="E850" s="34"/>
    </row>
    <row r="851" ht="95.25" customHeight="1">
      <c r="A851" s="32">
        <v>4201</v>
      </c>
      <c r="B851" s="27" t="s">
        <v>1631</v>
      </c>
      <c r="C851" s="28" t="s">
        <v>30</v>
      </c>
      <c r="D851" s="32">
        <v>960520</v>
      </c>
      <c r="E851" s="32" t="s">
        <v>1632</v>
      </c>
    </row>
    <row r="852" ht="260.25" customHeight="1">
      <c r="A852" s="32">
        <v>4202</v>
      </c>
      <c r="B852" s="27" t="s">
        <v>1633</v>
      </c>
      <c r="C852" s="28" t="s">
        <v>30</v>
      </c>
      <c r="D852" s="32">
        <v>1261656</v>
      </c>
      <c r="E852" s="32" t="s">
        <v>1634</v>
      </c>
      <c r="I852" s="16" t="s">
        <v>1635</v>
      </c>
    </row>
    <row r="853" ht="177.75" customHeight="1">
      <c r="A853" s="32">
        <v>4203</v>
      </c>
      <c r="B853" s="27" t="s">
        <v>1636</v>
      </c>
      <c r="C853" s="28" t="s">
        <v>30</v>
      </c>
      <c r="D853" s="32">
        <v>1259269</v>
      </c>
      <c r="E853" s="32" t="s">
        <v>1637</v>
      </c>
    </row>
    <row r="854">
      <c r="A854" s="32"/>
      <c r="B854" s="32"/>
      <c r="C854" s="32"/>
      <c r="D854" s="32"/>
      <c r="E854" s="32"/>
    </row>
    <row r="855" ht="12.75" customHeight="1">
      <c r="A855" s="28" t="s">
        <v>1638</v>
      </c>
      <c r="B855" s="28"/>
      <c r="C855" s="28"/>
      <c r="D855" s="28"/>
      <c r="E855" s="28"/>
    </row>
    <row r="856" ht="255.75" customHeight="1">
      <c r="A856" s="32">
        <v>4301</v>
      </c>
      <c r="B856" s="27" t="s">
        <v>1639</v>
      </c>
      <c r="C856" s="28" t="s">
        <v>22</v>
      </c>
      <c r="D856" s="32">
        <v>261419</v>
      </c>
      <c r="E856" s="32" t="s">
        <v>1640</v>
      </c>
    </row>
    <row r="857" ht="51">
      <c r="A857" s="38">
        <v>4302</v>
      </c>
      <c r="B857" s="27" t="s">
        <v>1641</v>
      </c>
      <c r="C857" s="28" t="s">
        <v>22</v>
      </c>
      <c r="D857" s="32">
        <v>800672</v>
      </c>
      <c r="E857" s="32" t="s">
        <v>1642</v>
      </c>
    </row>
    <row r="858" ht="38.25">
      <c r="A858" s="38">
        <v>4303</v>
      </c>
      <c r="B858" s="27" t="s">
        <v>1643</v>
      </c>
      <c r="C858" s="28" t="s">
        <v>22</v>
      </c>
      <c r="D858" s="32">
        <v>6237</v>
      </c>
      <c r="E858" s="32" t="s">
        <v>1644</v>
      </c>
    </row>
    <row r="859" ht="25.5">
      <c r="A859" s="32">
        <v>4304</v>
      </c>
      <c r="B859" s="27" t="s">
        <v>1645</v>
      </c>
      <c r="C859" s="28" t="s">
        <v>22</v>
      </c>
      <c r="D859" s="32">
        <v>6269</v>
      </c>
      <c r="E859" s="32" t="s">
        <v>1646</v>
      </c>
    </row>
    <row r="860" ht="38.25">
      <c r="A860" s="38">
        <v>4305</v>
      </c>
      <c r="B860" s="27" t="s">
        <v>1647</v>
      </c>
      <c r="C860" s="28" t="s">
        <v>22</v>
      </c>
      <c r="D860" s="32">
        <v>8510</v>
      </c>
      <c r="E860" s="32" t="s">
        <v>1648</v>
      </c>
    </row>
    <row r="861" ht="51">
      <c r="A861" s="38">
        <v>4306</v>
      </c>
      <c r="B861" s="27" t="s">
        <v>1649</v>
      </c>
      <c r="C861" s="28" t="s">
        <v>22</v>
      </c>
      <c r="D861" s="32">
        <v>5889</v>
      </c>
      <c r="E861" s="32" t="s">
        <v>1650</v>
      </c>
    </row>
    <row r="862" s="6" customFormat="1" ht="51">
      <c r="A862" s="82">
        <v>4307</v>
      </c>
      <c r="B862" s="42" t="s">
        <v>1651</v>
      </c>
      <c r="C862" s="66" t="s">
        <v>22</v>
      </c>
      <c r="D862" s="64">
        <v>312061</v>
      </c>
      <c r="E862" s="64" t="s">
        <v>1652</v>
      </c>
      <c r="F862" s="83"/>
    </row>
    <row r="863" s="6" customFormat="1" ht="25.5">
      <c r="A863" s="64">
        <v>4308</v>
      </c>
      <c r="B863" s="42" t="s">
        <v>1653</v>
      </c>
      <c r="C863" s="66" t="s">
        <v>22</v>
      </c>
      <c r="D863" s="64">
        <v>67603</v>
      </c>
      <c r="E863" s="64" t="s">
        <v>1654</v>
      </c>
      <c r="F863" s="83"/>
    </row>
    <row r="864" s="9" customFormat="1" ht="25.5">
      <c r="A864" s="84">
        <v>4309</v>
      </c>
      <c r="B864" s="85" t="s">
        <v>1655</v>
      </c>
      <c r="C864" s="87" t="s">
        <v>1656</v>
      </c>
      <c r="D864" s="84">
        <v>1189</v>
      </c>
      <c r="E864" s="84" t="s">
        <v>1657</v>
      </c>
    </row>
    <row r="865" ht="63.75">
      <c r="A865" s="32">
        <v>4310</v>
      </c>
      <c r="B865" s="27" t="s">
        <v>1658</v>
      </c>
      <c r="C865" s="28" t="s">
        <v>22</v>
      </c>
      <c r="D865" s="32">
        <v>10558</v>
      </c>
      <c r="E865" s="32" t="s">
        <v>1659</v>
      </c>
    </row>
    <row r="866" ht="25.5">
      <c r="A866" s="32">
        <v>4311</v>
      </c>
      <c r="B866" s="27" t="s">
        <v>1660</v>
      </c>
      <c r="C866" s="28" t="s">
        <v>22</v>
      </c>
      <c r="D866" s="32">
        <v>9595</v>
      </c>
      <c r="E866" s="32" t="s">
        <v>1661</v>
      </c>
    </row>
    <row r="867" ht="25.5">
      <c r="A867" s="32">
        <v>4312</v>
      </c>
      <c r="B867" s="27" t="s">
        <v>1662</v>
      </c>
      <c r="C867" s="28" t="s">
        <v>22</v>
      </c>
      <c r="D867" s="32">
        <v>9520</v>
      </c>
      <c r="E867" s="32" t="s">
        <v>1663</v>
      </c>
    </row>
    <row r="868" ht="25.5">
      <c r="A868" s="32">
        <v>4313</v>
      </c>
      <c r="B868" s="27" t="s">
        <v>1664</v>
      </c>
      <c r="C868" s="28" t="s">
        <v>22</v>
      </c>
      <c r="D868" s="32">
        <v>3808</v>
      </c>
      <c r="E868" s="32" t="s">
        <v>1665</v>
      </c>
    </row>
    <row r="869" ht="103.5" customHeight="1">
      <c r="A869" s="32">
        <v>4314</v>
      </c>
      <c r="B869" s="27" t="s">
        <v>1666</v>
      </c>
      <c r="C869" s="28" t="s">
        <v>1667</v>
      </c>
      <c r="D869" s="32">
        <v>60016</v>
      </c>
      <c r="E869" s="32" t="s">
        <v>1668</v>
      </c>
    </row>
    <row r="870">
      <c r="A870" s="32">
        <v>4315</v>
      </c>
      <c r="B870" s="27" t="s">
        <v>1669</v>
      </c>
      <c r="C870" s="28" t="s">
        <v>22</v>
      </c>
      <c r="D870" s="32">
        <v>8171</v>
      </c>
      <c r="E870" s="32" t="s">
        <v>1670</v>
      </c>
    </row>
    <row r="871" ht="25.5">
      <c r="A871" s="32">
        <v>4316</v>
      </c>
      <c r="B871" s="27" t="s">
        <v>1671</v>
      </c>
      <c r="C871" s="28" t="s">
        <v>22</v>
      </c>
      <c r="D871" s="32">
        <v>8800</v>
      </c>
      <c r="E871" s="32" t="s">
        <v>1672</v>
      </c>
    </row>
    <row r="872">
      <c r="A872" s="32"/>
      <c r="B872" s="32"/>
      <c r="C872" s="32"/>
      <c r="D872" s="32"/>
      <c r="E872" s="32"/>
    </row>
    <row r="873" ht="12.75" customHeight="1">
      <c r="A873" s="28" t="s">
        <v>1673</v>
      </c>
      <c r="B873" s="28"/>
      <c r="C873" s="28"/>
      <c r="D873" s="28"/>
      <c r="E873" s="28"/>
    </row>
    <row r="874" ht="90" customHeight="1">
      <c r="A874" s="32">
        <v>4401</v>
      </c>
      <c r="B874" s="27" t="s">
        <v>1674</v>
      </c>
      <c r="C874" s="28" t="s">
        <v>943</v>
      </c>
      <c r="D874" s="32">
        <v>18699</v>
      </c>
      <c r="E874" s="32" t="s">
        <v>1675</v>
      </c>
    </row>
    <row r="875" ht="38.25">
      <c r="A875" s="32">
        <v>4402</v>
      </c>
      <c r="B875" s="27" t="s">
        <v>1676</v>
      </c>
      <c r="C875" s="28" t="s">
        <v>1677</v>
      </c>
      <c r="D875" s="32">
        <v>424</v>
      </c>
      <c r="E875" s="32" t="s">
        <v>1678</v>
      </c>
    </row>
    <row r="876" ht="25.5">
      <c r="A876" s="32">
        <v>4403</v>
      </c>
      <c r="B876" s="27" t="s">
        <v>1679</v>
      </c>
      <c r="C876" s="28"/>
      <c r="D876" s="28"/>
      <c r="E876" s="32" t="s">
        <v>1680</v>
      </c>
    </row>
    <row r="877" ht="19.5" customHeight="1">
      <c r="A877" s="28" t="s">
        <v>20</v>
      </c>
      <c r="B877" s="27" t="s">
        <v>1681</v>
      </c>
      <c r="C877" s="28" t="s">
        <v>704</v>
      </c>
      <c r="D877" s="32">
        <v>907</v>
      </c>
      <c r="E877" s="28" t="s">
        <v>1682</v>
      </c>
    </row>
    <row r="878" ht="19.5" customHeight="1">
      <c r="A878" s="28" t="s">
        <v>24</v>
      </c>
      <c r="B878" s="27" t="s">
        <v>1683</v>
      </c>
      <c r="C878" s="28" t="s">
        <v>704</v>
      </c>
      <c r="D878" s="32">
        <v>625</v>
      </c>
      <c r="E878" s="28" t="s">
        <v>1684</v>
      </c>
    </row>
    <row r="879" ht="38.25">
      <c r="A879" s="32">
        <v>4404</v>
      </c>
      <c r="B879" s="27" t="s">
        <v>1685</v>
      </c>
      <c r="C879" s="28" t="s">
        <v>943</v>
      </c>
      <c r="D879" s="32">
        <v>72290</v>
      </c>
      <c r="E879" s="32" t="s">
        <v>1686</v>
      </c>
    </row>
    <row r="880">
      <c r="A880" s="32">
        <v>4405</v>
      </c>
      <c r="B880" s="27" t="s">
        <v>1687</v>
      </c>
      <c r="C880" s="28"/>
      <c r="D880" s="28"/>
      <c r="E880" s="32" t="s">
        <v>1688</v>
      </c>
    </row>
    <row r="881">
      <c r="A881" s="28" t="s">
        <v>20</v>
      </c>
      <c r="B881" s="27" t="s">
        <v>1689</v>
      </c>
      <c r="C881" s="28" t="s">
        <v>943</v>
      </c>
      <c r="D881" s="32">
        <v>3894</v>
      </c>
      <c r="E881" s="28" t="s">
        <v>1690</v>
      </c>
    </row>
    <row r="882">
      <c r="A882" s="28" t="s">
        <v>24</v>
      </c>
      <c r="B882" s="27" t="s">
        <v>1691</v>
      </c>
      <c r="C882" s="28" t="s">
        <v>943</v>
      </c>
      <c r="D882" s="32">
        <v>3245</v>
      </c>
      <c r="E882" s="28" t="s">
        <v>1692</v>
      </c>
    </row>
    <row r="883">
      <c r="A883" s="28" t="s">
        <v>42</v>
      </c>
      <c r="B883" s="27" t="s">
        <v>1693</v>
      </c>
      <c r="C883" s="28" t="s">
        <v>943</v>
      </c>
      <c r="D883" s="32">
        <v>7788</v>
      </c>
      <c r="E883" s="28" t="s">
        <v>1694</v>
      </c>
    </row>
    <row r="884">
      <c r="A884" s="28" t="s">
        <v>69</v>
      </c>
      <c r="B884" s="27" t="s">
        <v>1695</v>
      </c>
      <c r="C884" s="28" t="s">
        <v>943</v>
      </c>
      <c r="D884" s="32">
        <v>3245</v>
      </c>
      <c r="E884" s="28" t="s">
        <v>1696</v>
      </c>
    </row>
    <row r="885" ht="105.75" customHeight="1">
      <c r="A885" s="32">
        <v>4406</v>
      </c>
      <c r="B885" s="27" t="s">
        <v>1697</v>
      </c>
      <c r="C885" s="28" t="s">
        <v>1254</v>
      </c>
      <c r="D885" s="32">
        <v>784</v>
      </c>
      <c r="E885" s="32" t="s">
        <v>1698</v>
      </c>
    </row>
    <row r="886" ht="25.5">
      <c r="A886" s="32">
        <v>4407</v>
      </c>
      <c r="B886" s="27" t="s">
        <v>1699</v>
      </c>
      <c r="C886" s="28" t="s">
        <v>1254</v>
      </c>
      <c r="D886" s="32">
        <v>640</v>
      </c>
      <c r="E886" s="32" t="s">
        <v>1700</v>
      </c>
    </row>
    <row r="887" ht="25.5">
      <c r="A887" s="32">
        <v>4408</v>
      </c>
      <c r="B887" s="27" t="s">
        <v>1701</v>
      </c>
      <c r="C887" s="28" t="s">
        <v>1702</v>
      </c>
      <c r="D887" s="32">
        <v>4102</v>
      </c>
      <c r="E887" s="32" t="s">
        <v>1703</v>
      </c>
    </row>
    <row r="888" ht="64.5" customHeight="1">
      <c r="A888" s="32">
        <v>4409</v>
      </c>
      <c r="B888" s="27" t="s">
        <v>1704</v>
      </c>
      <c r="C888" s="28" t="s">
        <v>1705</v>
      </c>
      <c r="D888" s="32">
        <v>64951</v>
      </c>
      <c r="E888" s="32" t="s">
        <v>1706</v>
      </c>
    </row>
    <row r="889">
      <c r="A889" s="32">
        <v>4410</v>
      </c>
      <c r="B889" s="27" t="s">
        <v>1707</v>
      </c>
      <c r="C889" s="28" t="s">
        <v>943</v>
      </c>
      <c r="D889" s="32">
        <v>3309</v>
      </c>
      <c r="E889" s="32" t="s">
        <v>1708</v>
      </c>
    </row>
    <row r="890">
      <c r="A890" s="32"/>
      <c r="B890" s="32"/>
      <c r="C890" s="32"/>
      <c r="D890" s="32"/>
      <c r="E890" s="32"/>
    </row>
    <row r="891" ht="12.75" customHeight="1">
      <c r="A891" s="28" t="s">
        <v>1709</v>
      </c>
      <c r="B891" s="28"/>
      <c r="C891" s="28"/>
      <c r="D891" s="28"/>
      <c r="E891" s="28"/>
    </row>
    <row r="892" ht="52.5" customHeight="1">
      <c r="A892" s="32">
        <v>4501</v>
      </c>
      <c r="B892" s="27" t="s">
        <v>1710</v>
      </c>
      <c r="C892" s="28"/>
      <c r="D892" s="28"/>
      <c r="E892" s="32" t="s">
        <v>1711</v>
      </c>
    </row>
    <row r="893" ht="65.25" customHeight="1">
      <c r="A893" s="28" t="s">
        <v>20</v>
      </c>
      <c r="B893" s="27" t="s">
        <v>1712</v>
      </c>
      <c r="C893" s="28" t="s">
        <v>30</v>
      </c>
      <c r="D893" s="32">
        <v>1808</v>
      </c>
      <c r="E893" s="28" t="s">
        <v>1713</v>
      </c>
    </row>
    <row r="894" ht="63.75">
      <c r="A894" s="28" t="s">
        <v>24</v>
      </c>
      <c r="B894" s="27" t="s">
        <v>1714</v>
      </c>
      <c r="C894" s="28" t="s">
        <v>30</v>
      </c>
      <c r="D894" s="32">
        <v>7232</v>
      </c>
      <c r="E894" s="28" t="s">
        <v>1715</v>
      </c>
    </row>
    <row r="895" ht="63.75">
      <c r="A895" s="28" t="s">
        <v>42</v>
      </c>
      <c r="B895" s="27" t="s">
        <v>1716</v>
      </c>
      <c r="C895" s="28" t="s">
        <v>943</v>
      </c>
      <c r="D895" s="32">
        <v>2275</v>
      </c>
      <c r="E895" s="28" t="s">
        <v>1717</v>
      </c>
    </row>
    <row r="896" ht="38.25">
      <c r="A896" s="28" t="s">
        <v>69</v>
      </c>
      <c r="B896" s="27" t="s">
        <v>1718</v>
      </c>
      <c r="C896" s="28" t="s">
        <v>943</v>
      </c>
      <c r="D896" s="32">
        <v>1196</v>
      </c>
      <c r="E896" s="28" t="s">
        <v>1719</v>
      </c>
    </row>
    <row r="897" ht="90.75" customHeight="1">
      <c r="A897" s="28" t="s">
        <v>72</v>
      </c>
      <c r="B897" s="27" t="s">
        <v>1720</v>
      </c>
      <c r="C897" s="28" t="s">
        <v>943</v>
      </c>
      <c r="D897" s="32">
        <v>1518</v>
      </c>
      <c r="E897" s="28" t="s">
        <v>1721</v>
      </c>
    </row>
    <row r="898" ht="38.25">
      <c r="A898" s="28" t="s">
        <v>75</v>
      </c>
      <c r="B898" s="27" t="s">
        <v>1722</v>
      </c>
      <c r="C898" s="28" t="s">
        <v>943</v>
      </c>
      <c r="D898" s="32">
        <v>1342</v>
      </c>
      <c r="E898" s="28" t="s">
        <v>1723</v>
      </c>
    </row>
    <row r="899" ht="25.5">
      <c r="A899" s="28" t="s">
        <v>204</v>
      </c>
      <c r="B899" s="27" t="s">
        <v>1724</v>
      </c>
      <c r="C899" s="28" t="s">
        <v>1725</v>
      </c>
      <c r="D899" s="32">
        <v>1497</v>
      </c>
      <c r="E899" s="28" t="s">
        <v>1726</v>
      </c>
    </row>
    <row r="900" ht="55.5" customHeight="1">
      <c r="A900" s="28"/>
      <c r="B900" s="27" t="s">
        <v>1727</v>
      </c>
      <c r="C900" s="28"/>
      <c r="D900" s="28"/>
      <c r="E900" s="28"/>
    </row>
    <row r="901" ht="51">
      <c r="A901" s="28" t="s">
        <v>419</v>
      </c>
      <c r="B901" s="27" t="s">
        <v>1728</v>
      </c>
      <c r="C901" s="28" t="s">
        <v>30</v>
      </c>
      <c r="D901" s="32">
        <v>3979</v>
      </c>
      <c r="E901" s="28" t="s">
        <v>1729</v>
      </c>
    </row>
    <row r="902" ht="51">
      <c r="A902" s="28" t="s">
        <v>422</v>
      </c>
      <c r="B902" s="27" t="s">
        <v>1730</v>
      </c>
      <c r="C902" s="28" t="s">
        <v>943</v>
      </c>
      <c r="D902" s="32">
        <v>4200</v>
      </c>
      <c r="E902" s="28" t="s">
        <v>1731</v>
      </c>
    </row>
    <row r="903" ht="63.75">
      <c r="A903" s="28" t="s">
        <v>499</v>
      </c>
      <c r="B903" s="27" t="s">
        <v>1732</v>
      </c>
      <c r="C903" s="28" t="s">
        <v>30</v>
      </c>
      <c r="D903" s="32">
        <v>955</v>
      </c>
      <c r="E903" s="28" t="s">
        <v>1733</v>
      </c>
    </row>
    <row r="904" ht="63.75">
      <c r="A904" s="28" t="s">
        <v>502</v>
      </c>
      <c r="B904" s="27" t="s">
        <v>1734</v>
      </c>
      <c r="C904" s="28" t="s">
        <v>943</v>
      </c>
      <c r="D904" s="32">
        <v>2333</v>
      </c>
      <c r="E904" s="28" t="s">
        <v>1735</v>
      </c>
    </row>
    <row r="905" ht="38.25">
      <c r="A905" s="28" t="s">
        <v>818</v>
      </c>
      <c r="B905" s="27" t="s">
        <v>1736</v>
      </c>
      <c r="C905" s="28" t="s">
        <v>943</v>
      </c>
      <c r="D905" s="32">
        <v>1167</v>
      </c>
      <c r="E905" s="28" t="s">
        <v>1737</v>
      </c>
    </row>
    <row r="906" ht="77.25" customHeight="1">
      <c r="A906" s="28" t="s">
        <v>702</v>
      </c>
      <c r="B906" s="27" t="s">
        <v>1738</v>
      </c>
      <c r="C906" s="28" t="s">
        <v>943</v>
      </c>
      <c r="D906" s="32">
        <v>1662</v>
      </c>
      <c r="E906" s="28" t="s">
        <v>1739</v>
      </c>
    </row>
    <row r="907" ht="38.25">
      <c r="A907" s="28" t="s">
        <v>706</v>
      </c>
      <c r="B907" s="27" t="s">
        <v>1740</v>
      </c>
      <c r="C907" s="28" t="s">
        <v>943</v>
      </c>
      <c r="D907" s="32">
        <v>2042</v>
      </c>
      <c r="E907" s="28" t="s">
        <v>1741</v>
      </c>
    </row>
    <row r="908" ht="51" customHeight="1">
      <c r="A908" s="28" t="s">
        <v>709</v>
      </c>
      <c r="B908" s="27" t="s">
        <v>1742</v>
      </c>
      <c r="C908" s="28" t="s">
        <v>943</v>
      </c>
      <c r="D908" s="32">
        <v>121</v>
      </c>
      <c r="E908" s="28" t="s">
        <v>1743</v>
      </c>
    </row>
    <row r="909" ht="25.5">
      <c r="A909" s="28" t="s">
        <v>712</v>
      </c>
      <c r="B909" s="27" t="s">
        <v>1744</v>
      </c>
      <c r="C909" s="28" t="s">
        <v>1167</v>
      </c>
      <c r="D909" s="32">
        <v>6999</v>
      </c>
      <c r="E909" s="28" t="s">
        <v>1745</v>
      </c>
    </row>
    <row r="910" ht="91.5" customHeight="1">
      <c r="A910" s="28" t="s">
        <v>715</v>
      </c>
      <c r="B910" s="27" t="s">
        <v>1746</v>
      </c>
      <c r="C910" s="28" t="s">
        <v>30</v>
      </c>
      <c r="D910" s="32">
        <v>4083</v>
      </c>
      <c r="E910" s="28" t="s">
        <v>1747</v>
      </c>
    </row>
    <row r="911" ht="63.75">
      <c r="A911" s="28" t="s">
        <v>718</v>
      </c>
      <c r="B911" s="27" t="s">
        <v>1748</v>
      </c>
      <c r="C911" s="28" t="s">
        <v>30</v>
      </c>
      <c r="D911" s="32">
        <v>9565</v>
      </c>
      <c r="E911" s="28" t="s">
        <v>1749</v>
      </c>
    </row>
    <row r="912" ht="65.25" customHeight="1">
      <c r="A912" s="28" t="s">
        <v>1750</v>
      </c>
      <c r="B912" s="27" t="s">
        <v>1751</v>
      </c>
      <c r="C912" s="28" t="s">
        <v>30</v>
      </c>
      <c r="D912" s="32">
        <v>4550</v>
      </c>
      <c r="E912" s="28" t="s">
        <v>1752</v>
      </c>
    </row>
    <row r="913">
      <c r="A913" s="28" t="s">
        <v>1753</v>
      </c>
      <c r="B913" s="27" t="s">
        <v>1754</v>
      </c>
      <c r="C913" s="28" t="s">
        <v>943</v>
      </c>
      <c r="D913" s="32">
        <v>65</v>
      </c>
      <c r="E913" s="28" t="s">
        <v>1755</v>
      </c>
    </row>
    <row r="914">
      <c r="A914" s="28" t="s">
        <v>1756</v>
      </c>
      <c r="B914" s="27" t="s">
        <v>1757</v>
      </c>
      <c r="C914" s="28" t="s">
        <v>943</v>
      </c>
      <c r="D914" s="32">
        <v>89</v>
      </c>
      <c r="E914" s="28" t="s">
        <v>1758</v>
      </c>
    </row>
    <row r="915" ht="51">
      <c r="A915" s="28" t="s">
        <v>1759</v>
      </c>
      <c r="B915" s="27" t="s">
        <v>1760</v>
      </c>
      <c r="C915" s="28" t="s">
        <v>1761</v>
      </c>
      <c r="D915" s="32">
        <v>11</v>
      </c>
      <c r="E915" s="28" t="s">
        <v>1762</v>
      </c>
    </row>
    <row r="916">
      <c r="A916" s="28" t="s">
        <v>1763</v>
      </c>
      <c r="B916" s="27" t="s">
        <v>1764</v>
      </c>
      <c r="C916" s="28" t="s">
        <v>943</v>
      </c>
      <c r="D916" s="32">
        <v>478</v>
      </c>
      <c r="E916" s="28" t="s">
        <v>1765</v>
      </c>
    </row>
    <row r="917">
      <c r="A917" s="28"/>
      <c r="B917" s="28"/>
      <c r="C917" s="28"/>
      <c r="D917" s="28"/>
      <c r="E917" s="28"/>
    </row>
    <row r="918" ht="12.75" customHeight="1">
      <c r="A918" s="28" t="s">
        <v>1766</v>
      </c>
      <c r="B918" s="28"/>
      <c r="C918" s="28"/>
      <c r="D918" s="28"/>
      <c r="E918" s="28"/>
    </row>
    <row r="919" ht="25.5">
      <c r="A919" s="32">
        <v>4601</v>
      </c>
      <c r="B919" s="27" t="s">
        <v>1767</v>
      </c>
      <c r="C919" s="28" t="s">
        <v>943</v>
      </c>
      <c r="D919" s="32">
        <v>922</v>
      </c>
      <c r="E919" s="32" t="s">
        <v>1768</v>
      </c>
    </row>
    <row r="920" ht="130.5" customHeight="1">
      <c r="A920" s="32">
        <v>4602</v>
      </c>
      <c r="B920" s="27" t="s">
        <v>1769</v>
      </c>
      <c r="C920" s="28" t="s">
        <v>1770</v>
      </c>
      <c r="D920" s="32">
        <v>1449</v>
      </c>
      <c r="E920" s="32" t="s">
        <v>1771</v>
      </c>
    </row>
    <row r="921" ht="45" customHeight="1">
      <c r="A921" s="32">
        <v>4603</v>
      </c>
      <c r="B921" s="27" t="s">
        <v>1772</v>
      </c>
      <c r="C921" s="28" t="s">
        <v>943</v>
      </c>
      <c r="D921" s="32">
        <v>9558</v>
      </c>
      <c r="E921" s="32" t="s">
        <v>1773</v>
      </c>
    </row>
    <row r="922" ht="25.5">
      <c r="A922" s="32">
        <v>4604</v>
      </c>
      <c r="B922" s="27" t="s">
        <v>1774</v>
      </c>
      <c r="C922" s="28" t="s">
        <v>1775</v>
      </c>
      <c r="D922" s="32">
        <v>2737</v>
      </c>
      <c r="E922" s="32" t="s">
        <v>1776</v>
      </c>
    </row>
    <row r="923" ht="25.5">
      <c r="A923" s="32">
        <v>4605</v>
      </c>
      <c r="B923" s="27" t="s">
        <v>1777</v>
      </c>
      <c r="C923" s="28" t="s">
        <v>30</v>
      </c>
      <c r="D923" s="32">
        <v>1729</v>
      </c>
      <c r="E923" s="32" t="s">
        <v>1778</v>
      </c>
    </row>
    <row r="924" ht="39.75" customHeight="1">
      <c r="A924" s="32">
        <v>4606</v>
      </c>
      <c r="B924" s="27" t="s">
        <v>1779</v>
      </c>
      <c r="C924" s="28" t="s">
        <v>943</v>
      </c>
      <c r="D924" s="32">
        <v>340</v>
      </c>
      <c r="E924" s="32" t="s">
        <v>1780</v>
      </c>
    </row>
    <row r="925" s="6" customFormat="1" ht="25.5">
      <c r="A925" s="64">
        <v>4607</v>
      </c>
      <c r="B925" s="42" t="s">
        <v>1781</v>
      </c>
      <c r="C925" s="66" t="s">
        <v>943</v>
      </c>
      <c r="D925" s="64">
        <v>375</v>
      </c>
      <c r="E925" s="64" t="s">
        <v>1782</v>
      </c>
    </row>
    <row r="926" ht="155.25" customHeight="1">
      <c r="A926" s="32">
        <v>4608</v>
      </c>
      <c r="B926" s="27" t="s">
        <v>1783</v>
      </c>
      <c r="C926" s="28" t="s">
        <v>1167</v>
      </c>
      <c r="D926" s="32">
        <v>2670</v>
      </c>
      <c r="E926" s="32" t="s">
        <v>1784</v>
      </c>
    </row>
    <row r="927" ht="76.5">
      <c r="A927" s="32">
        <v>4609</v>
      </c>
      <c r="B927" s="27" t="s">
        <v>1785</v>
      </c>
      <c r="C927" s="28" t="s">
        <v>943</v>
      </c>
      <c r="D927" s="32">
        <v>3922</v>
      </c>
      <c r="E927" s="32" t="s">
        <v>1786</v>
      </c>
    </row>
    <row r="928" ht="51">
      <c r="A928" s="32">
        <v>4610</v>
      </c>
      <c r="B928" s="27" t="s">
        <v>1787</v>
      </c>
      <c r="C928" s="28" t="s">
        <v>943</v>
      </c>
      <c r="D928" s="32">
        <v>3292</v>
      </c>
      <c r="E928" s="32" t="s">
        <v>1788</v>
      </c>
    </row>
    <row r="929" ht="18" customHeight="1">
      <c r="A929" s="32">
        <v>4611</v>
      </c>
      <c r="B929" s="27" t="s">
        <v>1789</v>
      </c>
      <c r="C929" s="28"/>
      <c r="D929" s="28"/>
      <c r="E929" s="32" t="s">
        <v>1790</v>
      </c>
    </row>
    <row r="930" ht="67.5" customHeight="1">
      <c r="A930" s="28" t="s">
        <v>20</v>
      </c>
      <c r="B930" s="27" t="s">
        <v>1791</v>
      </c>
      <c r="C930" s="28" t="s">
        <v>943</v>
      </c>
      <c r="D930" s="32">
        <v>2046</v>
      </c>
      <c r="E930" s="28" t="s">
        <v>1792</v>
      </c>
    </row>
    <row r="931" ht="17.25" customHeight="1">
      <c r="A931" s="28" t="s">
        <v>24</v>
      </c>
      <c r="B931" s="27" t="s">
        <v>1793</v>
      </c>
      <c r="C931" s="28" t="s">
        <v>943</v>
      </c>
      <c r="D931" s="32">
        <v>222</v>
      </c>
      <c r="E931" s="28" t="s">
        <v>1794</v>
      </c>
    </row>
    <row r="932" ht="38.25">
      <c r="A932" s="28" t="s">
        <v>42</v>
      </c>
      <c r="B932" s="27" t="s">
        <v>1795</v>
      </c>
      <c r="C932" s="28" t="s">
        <v>943</v>
      </c>
      <c r="D932" s="32">
        <v>325</v>
      </c>
      <c r="E932" s="28" t="s">
        <v>1796</v>
      </c>
    </row>
    <row r="933" ht="89.25">
      <c r="A933" s="32">
        <v>4612</v>
      </c>
      <c r="B933" s="27" t="s">
        <v>1797</v>
      </c>
      <c r="C933" s="28" t="s">
        <v>943</v>
      </c>
      <c r="D933" s="32">
        <v>7739</v>
      </c>
      <c r="E933" s="32" t="s">
        <v>1798</v>
      </c>
    </row>
    <row r="934" ht="90" customHeight="1">
      <c r="A934" s="32">
        <v>4613</v>
      </c>
      <c r="B934" s="27" t="s">
        <v>1799</v>
      </c>
      <c r="C934" s="28" t="s">
        <v>943</v>
      </c>
      <c r="D934" s="32">
        <v>17545</v>
      </c>
      <c r="E934" s="32" t="s">
        <v>1800</v>
      </c>
    </row>
    <row r="935" ht="17.25" customHeight="1">
      <c r="A935" s="28"/>
      <c r="B935" s="90" t="s">
        <v>1801</v>
      </c>
      <c r="C935" s="28"/>
      <c r="D935" s="28"/>
      <c r="E935" s="28"/>
    </row>
    <row r="936">
      <c r="A936" s="32">
        <v>4614</v>
      </c>
      <c r="B936" s="27" t="s">
        <v>1802</v>
      </c>
      <c r="C936" s="28" t="s">
        <v>293</v>
      </c>
      <c r="D936" s="32">
        <v>7410</v>
      </c>
      <c r="E936" s="32" t="s">
        <v>1803</v>
      </c>
    </row>
    <row r="937" ht="76.5">
      <c r="A937" s="32">
        <v>4615</v>
      </c>
      <c r="B937" s="27" t="s">
        <v>1804</v>
      </c>
      <c r="C937" s="28" t="s">
        <v>1805</v>
      </c>
      <c r="D937" s="32">
        <v>10956</v>
      </c>
      <c r="E937" s="32" t="s">
        <v>1806</v>
      </c>
    </row>
    <row r="938">
      <c r="A938" s="32">
        <v>4616</v>
      </c>
      <c r="B938" s="27" t="s">
        <v>1807</v>
      </c>
      <c r="C938" s="28" t="s">
        <v>428</v>
      </c>
      <c r="D938" s="32">
        <v>1750</v>
      </c>
      <c r="E938" s="32" t="s">
        <v>1808</v>
      </c>
    </row>
    <row r="939" ht="76.5">
      <c r="A939" s="32">
        <v>4617</v>
      </c>
      <c r="B939" s="27" t="s">
        <v>1809</v>
      </c>
      <c r="C939" s="28" t="s">
        <v>943</v>
      </c>
      <c r="D939" s="32">
        <v>6344</v>
      </c>
      <c r="E939" s="32" t="s">
        <v>1810</v>
      </c>
    </row>
    <row r="940" ht="63.75">
      <c r="A940" s="32">
        <v>4618</v>
      </c>
      <c r="B940" s="27" t="s">
        <v>1811</v>
      </c>
      <c r="C940" s="28" t="s">
        <v>943</v>
      </c>
      <c r="D940" s="32">
        <v>9398</v>
      </c>
      <c r="E940" s="32" t="s">
        <v>1812</v>
      </c>
    </row>
    <row r="941" ht="51">
      <c r="A941" s="32">
        <v>4619</v>
      </c>
      <c r="B941" s="27" t="s">
        <v>1813</v>
      </c>
      <c r="C941" s="28" t="s">
        <v>943</v>
      </c>
      <c r="D941" s="32">
        <v>23712</v>
      </c>
      <c r="E941" s="32" t="s">
        <v>1814</v>
      </c>
    </row>
    <row r="942">
      <c r="A942" s="32">
        <v>4620</v>
      </c>
      <c r="B942" s="27" t="s">
        <v>1815</v>
      </c>
      <c r="C942" s="28" t="s">
        <v>1167</v>
      </c>
      <c r="D942" s="32">
        <v>21512</v>
      </c>
      <c r="E942" s="32" t="s">
        <v>1816</v>
      </c>
    </row>
    <row r="943">
      <c r="A943" s="32">
        <v>4621</v>
      </c>
      <c r="B943" s="27" t="s">
        <v>1817</v>
      </c>
      <c r="C943" s="28" t="s">
        <v>1167</v>
      </c>
      <c r="D943" s="32">
        <v>7769</v>
      </c>
      <c r="E943" s="32" t="s">
        <v>1818</v>
      </c>
    </row>
    <row r="944" ht="25.5">
      <c r="A944" s="32">
        <v>4622</v>
      </c>
      <c r="B944" s="27" t="s">
        <v>1819</v>
      </c>
      <c r="C944" s="28" t="s">
        <v>1820</v>
      </c>
      <c r="D944" s="32">
        <v>102</v>
      </c>
      <c r="E944" s="32" t="s">
        <v>1821</v>
      </c>
    </row>
    <row r="945" ht="38.25">
      <c r="A945" s="32">
        <v>4623</v>
      </c>
      <c r="B945" s="27" t="s">
        <v>1822</v>
      </c>
      <c r="C945" s="28" t="s">
        <v>844</v>
      </c>
      <c r="D945" s="32">
        <v>48</v>
      </c>
      <c r="E945" s="32" t="s">
        <v>1823</v>
      </c>
    </row>
    <row r="946" s="6" customFormat="1" ht="25.5">
      <c r="A946" s="64">
        <v>4624</v>
      </c>
      <c r="B946" s="42" t="s">
        <v>1824</v>
      </c>
      <c r="C946" s="66" t="s">
        <v>943</v>
      </c>
      <c r="D946" s="64">
        <v>83721</v>
      </c>
      <c r="E946" s="64" t="s">
        <v>1825</v>
      </c>
    </row>
    <row r="947" ht="25.5">
      <c r="A947" s="32">
        <v>4625</v>
      </c>
      <c r="B947" s="27" t="s">
        <v>1826</v>
      </c>
      <c r="C947" s="28" t="s">
        <v>30</v>
      </c>
      <c r="D947" s="32">
        <v>104042</v>
      </c>
      <c r="E947" s="32" t="s">
        <v>1827</v>
      </c>
    </row>
    <row r="948" ht="38.25">
      <c r="A948" s="32">
        <v>4626</v>
      </c>
      <c r="B948" s="27" t="s">
        <v>1828</v>
      </c>
      <c r="C948" s="28" t="s">
        <v>943</v>
      </c>
      <c r="D948" s="32">
        <v>16625</v>
      </c>
      <c r="E948" s="32" t="s">
        <v>1829</v>
      </c>
    </row>
    <row r="949" ht="140.25">
      <c r="A949" s="32">
        <v>4627</v>
      </c>
      <c r="B949" s="27" t="s">
        <v>1830</v>
      </c>
      <c r="C949" s="28" t="s">
        <v>943</v>
      </c>
      <c r="D949" s="32">
        <v>41962</v>
      </c>
      <c r="E949" s="32" t="s">
        <v>1831</v>
      </c>
    </row>
    <row r="950" ht="114.75">
      <c r="A950" s="32">
        <v>4628</v>
      </c>
      <c r="B950" s="27" t="s">
        <v>1832</v>
      </c>
      <c r="C950" s="28" t="s">
        <v>943</v>
      </c>
      <c r="D950" s="32">
        <v>311694</v>
      </c>
      <c r="E950" s="32" t="s">
        <v>1833</v>
      </c>
    </row>
    <row r="951" ht="25.5">
      <c r="A951" s="32">
        <v>4629</v>
      </c>
      <c r="B951" s="27" t="s">
        <v>1834</v>
      </c>
      <c r="C951" s="28" t="s">
        <v>943</v>
      </c>
      <c r="D951" s="32">
        <v>43247</v>
      </c>
      <c r="E951" s="32" t="s">
        <v>1835</v>
      </c>
    </row>
    <row r="952" ht="327.75" customHeight="1">
      <c r="A952" s="32">
        <v>4630</v>
      </c>
      <c r="B952" s="27" t="s">
        <v>1836</v>
      </c>
      <c r="C952" s="28" t="s">
        <v>943</v>
      </c>
      <c r="D952" s="32">
        <v>274869</v>
      </c>
      <c r="E952" s="32" t="s">
        <v>1837</v>
      </c>
    </row>
    <row r="953" ht="25.5">
      <c r="A953" s="32">
        <v>4631</v>
      </c>
      <c r="B953" s="27" t="s">
        <v>1838</v>
      </c>
      <c r="C953" s="28" t="s">
        <v>943</v>
      </c>
      <c r="D953" s="32">
        <v>51411</v>
      </c>
      <c r="E953" s="32" t="s">
        <v>1839</v>
      </c>
    </row>
    <row r="954" ht="25.5">
      <c r="A954" s="32">
        <v>4632</v>
      </c>
      <c r="B954" s="27" t="s">
        <v>1840</v>
      </c>
      <c r="C954" s="28" t="s">
        <v>943</v>
      </c>
      <c r="D954" s="32">
        <v>71031</v>
      </c>
      <c r="E954" s="32" t="s">
        <v>1841</v>
      </c>
    </row>
    <row r="955" ht="38.25">
      <c r="A955" s="32">
        <v>4633</v>
      </c>
      <c r="B955" s="27" t="s">
        <v>1842</v>
      </c>
      <c r="C955" s="28" t="s">
        <v>943</v>
      </c>
      <c r="D955" s="32">
        <v>80730</v>
      </c>
      <c r="E955" s="32" t="s">
        <v>1843</v>
      </c>
    </row>
    <row r="956" ht="114.75">
      <c r="A956" s="32">
        <v>4634</v>
      </c>
      <c r="B956" s="27" t="s">
        <v>1844</v>
      </c>
      <c r="C956" s="28" t="s">
        <v>943</v>
      </c>
      <c r="D956" s="32">
        <v>118752</v>
      </c>
      <c r="E956" s="32" t="s">
        <v>1845</v>
      </c>
    </row>
    <row r="957">
      <c r="A957" s="28"/>
      <c r="B957" s="41" t="s">
        <v>1846</v>
      </c>
      <c r="C957" s="28"/>
      <c r="D957" s="28"/>
      <c r="E957" s="32" t="s">
        <v>1847</v>
      </c>
    </row>
    <row r="958">
      <c r="A958" s="32">
        <v>4635</v>
      </c>
      <c r="B958" s="27" t="s">
        <v>1848</v>
      </c>
      <c r="C958" s="28" t="s">
        <v>30</v>
      </c>
      <c r="D958" s="32">
        <v>426</v>
      </c>
      <c r="E958" s="32" t="s">
        <v>1849</v>
      </c>
    </row>
    <row r="959" ht="25.5">
      <c r="A959" s="32">
        <v>4636</v>
      </c>
      <c r="B959" s="27" t="s">
        <v>1850</v>
      </c>
      <c r="C959" s="28" t="s">
        <v>943</v>
      </c>
      <c r="D959" s="32">
        <v>3700</v>
      </c>
      <c r="E959" s="32" t="s">
        <v>1851</v>
      </c>
    </row>
    <row r="960" ht="38.25">
      <c r="A960" s="32">
        <v>4637</v>
      </c>
      <c r="B960" s="27" t="s">
        <v>1852</v>
      </c>
      <c r="C960" s="28" t="s">
        <v>943</v>
      </c>
      <c r="D960" s="32">
        <v>1142</v>
      </c>
      <c r="E960" s="32" t="s">
        <v>1853</v>
      </c>
    </row>
    <row r="961" ht="51">
      <c r="A961" s="32">
        <v>4638</v>
      </c>
      <c r="B961" s="27" t="s">
        <v>1854</v>
      </c>
      <c r="C961" s="28"/>
      <c r="D961" s="28"/>
      <c r="E961" s="32" t="s">
        <v>1855</v>
      </c>
    </row>
    <row r="962" ht="25.5">
      <c r="A962" s="28" t="s">
        <v>20</v>
      </c>
      <c r="B962" s="27" t="s">
        <v>1856</v>
      </c>
      <c r="C962" s="28" t="s">
        <v>943</v>
      </c>
      <c r="D962" s="32">
        <v>249</v>
      </c>
      <c r="E962" s="28" t="s">
        <v>1857</v>
      </c>
    </row>
    <row r="963" ht="25.5">
      <c r="A963" s="28" t="s">
        <v>24</v>
      </c>
      <c r="B963" s="27" t="s">
        <v>1858</v>
      </c>
      <c r="C963" s="28" t="s">
        <v>943</v>
      </c>
      <c r="D963" s="32">
        <v>870</v>
      </c>
      <c r="E963" s="28" t="s">
        <v>1859</v>
      </c>
    </row>
    <row r="964" ht="38.25">
      <c r="A964" s="28" t="s">
        <v>42</v>
      </c>
      <c r="B964" s="27" t="s">
        <v>1860</v>
      </c>
      <c r="C964" s="28" t="s">
        <v>895</v>
      </c>
      <c r="D964" s="32">
        <v>7703</v>
      </c>
      <c r="E964" s="28" t="s">
        <v>1861</v>
      </c>
    </row>
    <row r="965" ht="38.25">
      <c r="A965" s="28" t="s">
        <v>69</v>
      </c>
      <c r="B965" s="27" t="s">
        <v>1862</v>
      </c>
      <c r="C965" s="28" t="s">
        <v>895</v>
      </c>
      <c r="D965" s="32">
        <v>10041</v>
      </c>
      <c r="E965" s="28" t="s">
        <v>1863</v>
      </c>
    </row>
    <row r="966" ht="38.25">
      <c r="A966" s="28" t="s">
        <v>72</v>
      </c>
      <c r="B966" s="27" t="s">
        <v>1864</v>
      </c>
      <c r="C966" s="28" t="s">
        <v>1865</v>
      </c>
      <c r="D966" s="32">
        <v>916</v>
      </c>
      <c r="E966" s="28" t="s">
        <v>1866</v>
      </c>
    </row>
    <row r="967">
      <c r="A967" s="32">
        <v>4639</v>
      </c>
      <c r="B967" s="27" t="s">
        <v>1867</v>
      </c>
      <c r="C967" s="28" t="s">
        <v>943</v>
      </c>
      <c r="D967" s="32">
        <v>1011</v>
      </c>
      <c r="E967" s="32" t="s">
        <v>1868</v>
      </c>
    </row>
    <row r="968" ht="76.5">
      <c r="A968" s="32">
        <v>4640</v>
      </c>
      <c r="B968" s="27" t="s">
        <v>1869</v>
      </c>
      <c r="C968" s="28" t="s">
        <v>943</v>
      </c>
      <c r="D968" s="32">
        <v>41930</v>
      </c>
      <c r="E968" s="32" t="s">
        <v>1870</v>
      </c>
    </row>
    <row r="969" ht="38.25">
      <c r="A969" s="32">
        <v>4641</v>
      </c>
      <c r="B969" s="27" t="s">
        <v>1871</v>
      </c>
      <c r="C969" s="28" t="s">
        <v>943</v>
      </c>
      <c r="D969" s="32">
        <v>19303</v>
      </c>
      <c r="E969" s="32" t="s">
        <v>1872</v>
      </c>
    </row>
    <row r="970" ht="38.25">
      <c r="A970" s="32">
        <v>4642</v>
      </c>
      <c r="B970" s="27" t="s">
        <v>1873</v>
      </c>
      <c r="C970" s="28" t="s">
        <v>943</v>
      </c>
      <c r="D970" s="32">
        <v>30887</v>
      </c>
      <c r="E970" s="32" t="s">
        <v>1874</v>
      </c>
    </row>
    <row r="971">
      <c r="A971" s="32">
        <v>4643</v>
      </c>
      <c r="B971" s="27" t="s">
        <v>1875</v>
      </c>
      <c r="C971" s="28" t="s">
        <v>943</v>
      </c>
      <c r="D971" s="32">
        <v>3000</v>
      </c>
      <c r="E971" s="32" t="s">
        <v>1876</v>
      </c>
    </row>
    <row r="972">
      <c r="A972" s="32"/>
      <c r="B972" s="32"/>
      <c r="C972" s="32"/>
      <c r="D972" s="32"/>
      <c r="E972" s="32"/>
    </row>
    <row r="973" ht="12.75" customHeight="1">
      <c r="A973" s="28" t="s">
        <v>1877</v>
      </c>
      <c r="B973" s="28"/>
      <c r="C973" s="28"/>
      <c r="D973" s="28"/>
      <c r="E973" s="28"/>
    </row>
    <row r="974" ht="89.25">
      <c r="A974" s="32">
        <v>4701</v>
      </c>
      <c r="B974" s="27" t="s">
        <v>1878</v>
      </c>
      <c r="C974" s="28" t="s">
        <v>30</v>
      </c>
      <c r="D974" s="32">
        <v>3813170</v>
      </c>
      <c r="E974" s="32" t="s">
        <v>1879</v>
      </c>
    </row>
    <row r="975" ht="38.25">
      <c r="A975" s="32">
        <v>4702</v>
      </c>
      <c r="B975" s="27" t="s">
        <v>1880</v>
      </c>
      <c r="C975" s="28" t="s">
        <v>30</v>
      </c>
      <c r="D975" s="32">
        <v>1025892</v>
      </c>
      <c r="E975" s="32" t="s">
        <v>1881</v>
      </c>
    </row>
    <row r="976" s="6" customFormat="1" ht="89.25">
      <c r="A976" s="64">
        <v>4703</v>
      </c>
      <c r="B976" s="42" t="s">
        <v>1882</v>
      </c>
      <c r="C976" s="66" t="s">
        <v>30</v>
      </c>
      <c r="D976" s="64">
        <v>2578300</v>
      </c>
      <c r="E976" s="64" t="s">
        <v>1883</v>
      </c>
    </row>
    <row r="977" ht="63.75">
      <c r="A977" s="32">
        <v>4704</v>
      </c>
      <c r="B977" s="27" t="s">
        <v>1884</v>
      </c>
      <c r="C977" s="28" t="s">
        <v>30</v>
      </c>
      <c r="D977" s="32">
        <v>1017750</v>
      </c>
      <c r="E977" s="32" t="s">
        <v>1885</v>
      </c>
    </row>
    <row r="978">
      <c r="A978" s="32">
        <v>4705</v>
      </c>
      <c r="B978" s="27" t="s">
        <v>1886</v>
      </c>
      <c r="C978" s="28"/>
      <c r="D978" s="28"/>
      <c r="E978" s="32" t="s">
        <v>1887</v>
      </c>
    </row>
    <row r="979" ht="76.5">
      <c r="A979" s="28" t="s">
        <v>20</v>
      </c>
      <c r="B979" s="27" t="s">
        <v>1888</v>
      </c>
      <c r="C979" s="28" t="s">
        <v>30</v>
      </c>
      <c r="D979" s="32">
        <v>3935300</v>
      </c>
      <c r="E979" s="28" t="s">
        <v>1889</v>
      </c>
    </row>
    <row r="980" ht="25.5">
      <c r="A980" s="28" t="s">
        <v>24</v>
      </c>
      <c r="B980" s="27" t="s">
        <v>1890</v>
      </c>
      <c r="C980" s="28" t="s">
        <v>30</v>
      </c>
      <c r="D980" s="32">
        <v>1302720</v>
      </c>
      <c r="E980" s="28" t="s">
        <v>1891</v>
      </c>
    </row>
    <row r="981" ht="25.5">
      <c r="A981" s="32">
        <v>4706</v>
      </c>
      <c r="B981" s="27" t="s">
        <v>1892</v>
      </c>
      <c r="C981" s="28" t="s">
        <v>30</v>
      </c>
      <c r="D981" s="32">
        <v>3830811</v>
      </c>
      <c r="E981" s="32" t="s">
        <v>1893</v>
      </c>
    </row>
    <row r="982" ht="25.5">
      <c r="A982" s="32">
        <v>4707</v>
      </c>
      <c r="B982" s="27" t="s">
        <v>1894</v>
      </c>
      <c r="C982" s="28" t="s">
        <v>30</v>
      </c>
      <c r="D982" s="32">
        <v>882050</v>
      </c>
      <c r="E982" s="32" t="s">
        <v>1895</v>
      </c>
    </row>
    <row r="983" ht="25.5">
      <c r="A983" s="32">
        <v>4708</v>
      </c>
      <c r="B983" s="27" t="s">
        <v>1896</v>
      </c>
      <c r="C983" s="28" t="s">
        <v>30</v>
      </c>
      <c r="D983" s="32">
        <v>1723390</v>
      </c>
      <c r="E983" s="32" t="s">
        <v>1897</v>
      </c>
    </row>
    <row r="984" ht="25.5">
      <c r="A984" s="32">
        <v>4709</v>
      </c>
      <c r="B984" s="27" t="s">
        <v>1898</v>
      </c>
      <c r="C984" s="28" t="s">
        <v>30</v>
      </c>
      <c r="D984" s="32">
        <v>7192100</v>
      </c>
      <c r="E984" s="32" t="s">
        <v>1899</v>
      </c>
    </row>
    <row r="985" ht="25.5">
      <c r="A985" s="32">
        <v>4710</v>
      </c>
      <c r="B985" s="27" t="s">
        <v>1900</v>
      </c>
      <c r="C985" s="28" t="s">
        <v>30</v>
      </c>
      <c r="D985" s="32">
        <v>240144</v>
      </c>
      <c r="E985" s="32" t="s">
        <v>1901</v>
      </c>
    </row>
    <row r="986" ht="25.5">
      <c r="A986" s="32">
        <v>4711</v>
      </c>
      <c r="B986" s="27" t="s">
        <v>1902</v>
      </c>
      <c r="C986" s="28" t="s">
        <v>30</v>
      </c>
      <c r="D986" s="32">
        <v>240144</v>
      </c>
      <c r="E986" s="32" t="s">
        <v>1903</v>
      </c>
    </row>
    <row r="987" ht="38.25">
      <c r="A987" s="32">
        <v>4712</v>
      </c>
      <c r="B987" s="27" t="s">
        <v>1904</v>
      </c>
      <c r="C987" s="28" t="s">
        <v>829</v>
      </c>
      <c r="D987" s="32">
        <v>33294</v>
      </c>
      <c r="E987" s="32" t="s">
        <v>1905</v>
      </c>
    </row>
    <row r="988" ht="315.75" customHeight="1">
      <c r="A988" s="32">
        <v>4713</v>
      </c>
      <c r="B988" s="27" t="s">
        <v>1906</v>
      </c>
      <c r="C988" s="28" t="s">
        <v>943</v>
      </c>
      <c r="D988" s="32">
        <v>1709726</v>
      </c>
      <c r="E988" s="32" t="s">
        <v>1907</v>
      </c>
    </row>
    <row r="989">
      <c r="A989" s="32"/>
      <c r="B989" s="27"/>
      <c r="C989" s="28"/>
      <c r="D989" s="32"/>
      <c r="E989" s="32"/>
    </row>
    <row r="995" s="10" customFormat="1" ht="36" customHeight="1">
      <c r="A995" s="163"/>
      <c r="B995" s="164"/>
      <c r="C995" s="163"/>
      <c r="D995" s="94"/>
      <c r="E995" s="97"/>
      <c r="F995" s="163"/>
      <c r="G995" s="98"/>
      <c r="H995" s="165"/>
      <c r="I995" s="166"/>
      <c r="J995" s="166"/>
      <c r="K995" s="166"/>
      <c r="L995" s="91"/>
      <c r="M995" s="166"/>
      <c r="N995" s="166"/>
      <c r="O995" s="14"/>
      <c r="Q995" s="99"/>
      <c r="R995" s="99"/>
      <c r="S995" s="99"/>
      <c r="T995" s="100"/>
      <c r="U995" s="167"/>
    </row>
    <row r="996" s="10" customFormat="1" ht="36" customHeight="1">
      <c r="A996" s="163"/>
      <c r="B996" s="168"/>
      <c r="C996" s="163"/>
      <c r="D996" s="169"/>
      <c r="E996" s="97"/>
      <c r="F996" s="163"/>
      <c r="G996" s="169"/>
      <c r="H996" s="165"/>
      <c r="I996" s="166"/>
      <c r="J996" s="166"/>
      <c r="K996" s="166"/>
      <c r="L996" s="91"/>
      <c r="M996" s="166"/>
      <c r="N996" s="166"/>
      <c r="O996" s="14"/>
      <c r="Q996" s="99"/>
      <c r="R996" s="104"/>
      <c r="S996" s="99"/>
      <c r="T996" s="105"/>
      <c r="U996" s="167"/>
    </row>
    <row r="997" s="10" customFormat="1" ht="36" customHeight="1">
      <c r="A997" s="163"/>
      <c r="B997" s="168"/>
      <c r="C997" s="163"/>
      <c r="D997" s="169"/>
      <c r="E997" s="170"/>
      <c r="F997" s="163"/>
      <c r="G997" s="169"/>
      <c r="H997" s="165"/>
      <c r="I997" s="166"/>
      <c r="J997" s="166"/>
      <c r="K997" s="166"/>
      <c r="L997" s="91"/>
      <c r="M997" s="166"/>
      <c r="N997" s="166"/>
      <c r="O997" s="14"/>
      <c r="Q997" s="171"/>
      <c r="R997" s="171"/>
      <c r="S997" s="99"/>
      <c r="T997" s="172"/>
      <c r="U997" s="167"/>
      <c r="V997" s="167"/>
      <c r="W997" s="173"/>
      <c r="X997" s="167"/>
      <c r="Y997" s="167"/>
      <c r="Z997" s="167"/>
      <c r="AA997" s="167"/>
      <c r="AB997" s="167"/>
      <c r="AC997" s="167"/>
      <c r="AD997" s="167"/>
      <c r="AE997" s="167"/>
      <c r="AF997" s="167"/>
      <c r="AG997" s="167"/>
      <c r="AH997" s="167"/>
      <c r="AI997" s="167"/>
      <c r="AJ997" s="167"/>
      <c r="AK997" s="167"/>
      <c r="AL997" s="167"/>
      <c r="AM997" s="167"/>
      <c r="AN997" s="167"/>
      <c r="AO997" s="167"/>
      <c r="AP997" s="167"/>
      <c r="AQ997" s="167"/>
      <c r="AR997" s="167"/>
      <c r="AS997" s="167"/>
      <c r="AT997" s="167"/>
      <c r="AU997" s="167"/>
      <c r="AV997" s="167"/>
      <c r="AW997" s="167"/>
      <c r="AX997" s="167"/>
      <c r="AY997" s="167"/>
      <c r="AZ997" s="167"/>
      <c r="BA997" s="167"/>
      <c r="BB997" s="167"/>
      <c r="BC997" s="167"/>
      <c r="BD997" s="167"/>
      <c r="BE997" s="167"/>
      <c r="BF997" s="167"/>
      <c r="BG997" s="167"/>
      <c r="BH997" s="167"/>
      <c r="BI997" s="167"/>
      <c r="BJ997" s="167"/>
      <c r="BK997" s="167"/>
      <c r="BL997" s="167"/>
      <c r="BM997" s="167"/>
      <c r="BN997" s="167"/>
      <c r="BO997" s="167"/>
      <c r="BP997" s="167"/>
      <c r="BQ997" s="167"/>
      <c r="BR997" s="167"/>
      <c r="BS997" s="167"/>
      <c r="BT997" s="167"/>
      <c r="BU997" s="167"/>
      <c r="BV997" s="167"/>
      <c r="BW997" s="167"/>
      <c r="BX997" s="167"/>
      <c r="BY997" s="167"/>
      <c r="BZ997" s="167"/>
      <c r="CA997" s="167"/>
      <c r="CB997" s="167"/>
      <c r="CC997" s="167"/>
      <c r="CD997" s="167"/>
      <c r="CE997" s="167"/>
      <c r="CF997" s="167"/>
      <c r="CG997" s="167"/>
      <c r="CH997" s="167"/>
      <c r="CI997" s="167"/>
      <c r="CJ997" s="167"/>
      <c r="CK997" s="167"/>
      <c r="CL997" s="167"/>
      <c r="CM997" s="167"/>
      <c r="CN997" s="167"/>
      <c r="CO997" s="167"/>
      <c r="CP997" s="167"/>
      <c r="CQ997" s="167"/>
      <c r="CR997" s="167"/>
      <c r="CS997" s="167"/>
      <c r="CT997" s="167"/>
      <c r="CU997" s="167"/>
      <c r="CV997" s="167"/>
      <c r="CW997" s="167"/>
      <c r="CX997" s="167"/>
      <c r="CY997" s="167"/>
      <c r="CZ997" s="167"/>
      <c r="DA997" s="167"/>
      <c r="DB997" s="167"/>
      <c r="DC997" s="167"/>
      <c r="DD997" s="167"/>
      <c r="DE997" s="167"/>
      <c r="DF997" s="167"/>
      <c r="DG997" s="167"/>
      <c r="DH997" s="167"/>
      <c r="DI997" s="167"/>
      <c r="DJ997" s="167"/>
      <c r="DK997" s="167"/>
      <c r="DL997" s="167"/>
      <c r="DM997" s="167"/>
      <c r="DN997" s="167"/>
      <c r="DO997" s="167"/>
      <c r="DP997" s="167"/>
      <c r="DQ997" s="167"/>
      <c r="DR997" s="167"/>
      <c r="DS997" s="167"/>
      <c r="DT997" s="167"/>
      <c r="DU997" s="167"/>
      <c r="DV997" s="167"/>
      <c r="DW997" s="167"/>
      <c r="DX997" s="167"/>
      <c r="DY997" s="167"/>
      <c r="DZ997" s="167"/>
      <c r="EA997" s="167"/>
      <c r="EB997" s="167"/>
      <c r="EC997" s="167"/>
      <c r="ED997" s="167"/>
      <c r="EE997" s="167"/>
      <c r="EF997" s="167"/>
      <c r="EG997" s="167"/>
      <c r="EH997" s="167"/>
      <c r="EI997" s="167"/>
      <c r="EJ997" s="167"/>
      <c r="EK997" s="167"/>
      <c r="EL997" s="167"/>
      <c r="EM997" s="167"/>
      <c r="EN997" s="167"/>
      <c r="EO997" s="167"/>
      <c r="EP997" s="167"/>
      <c r="EQ997" s="167"/>
      <c r="ER997" s="167"/>
      <c r="ES997" s="167"/>
      <c r="ET997" s="167"/>
      <c r="EU997" s="167"/>
      <c r="EV997" s="167"/>
      <c r="EW997" s="167"/>
      <c r="EX997" s="167"/>
      <c r="EY997" s="167"/>
      <c r="EZ997" s="167"/>
      <c r="FA997" s="167"/>
      <c r="FB997" s="167"/>
      <c r="FC997" s="167"/>
      <c r="FD997" s="167"/>
      <c r="FE997" s="167"/>
      <c r="FF997" s="167"/>
      <c r="FG997" s="167"/>
      <c r="FH997" s="167"/>
      <c r="FI997" s="167"/>
      <c r="FJ997" s="167"/>
      <c r="FK997" s="167"/>
      <c r="FL997" s="167"/>
      <c r="FM997" s="167"/>
      <c r="FN997" s="167"/>
      <c r="FO997" s="167"/>
      <c r="FP997" s="167"/>
      <c r="FQ997" s="167"/>
      <c r="FR997" s="167"/>
      <c r="FS997" s="167"/>
      <c r="FT997" s="167"/>
      <c r="FU997" s="167"/>
      <c r="FV997" s="167"/>
      <c r="FW997" s="167"/>
      <c r="FX997" s="167"/>
      <c r="FY997" s="167"/>
      <c r="FZ997" s="167"/>
      <c r="GA997" s="167"/>
      <c r="GB997" s="167"/>
      <c r="GC997" s="167"/>
      <c r="GD997" s="167"/>
      <c r="GE997" s="167"/>
      <c r="GF997" s="167"/>
      <c r="GG997" s="167"/>
      <c r="GH997" s="167"/>
      <c r="GI997" s="167"/>
      <c r="GJ997" s="167"/>
      <c r="GK997" s="167"/>
      <c r="GL997" s="167"/>
      <c r="GM997" s="167"/>
      <c r="GN997" s="167"/>
      <c r="GO997" s="167"/>
      <c r="GP997" s="167"/>
      <c r="GQ997" s="167"/>
      <c r="GR997" s="167"/>
      <c r="GS997" s="167"/>
      <c r="GT997" s="167"/>
      <c r="GU997" s="167"/>
      <c r="GV997" s="167"/>
      <c r="GW997" s="167"/>
      <c r="GX997" s="167"/>
      <c r="GY997" s="167"/>
    </row>
    <row r="998" s="10" customFormat="1" ht="36" customHeight="1">
      <c r="A998" s="163"/>
      <c r="B998" s="168"/>
      <c r="C998" s="163"/>
      <c r="D998" s="169"/>
      <c r="E998" s="97"/>
      <c r="F998" s="163"/>
      <c r="G998" s="169"/>
      <c r="H998" s="165"/>
      <c r="I998" s="166"/>
      <c r="J998" s="166"/>
      <c r="K998" s="166"/>
      <c r="L998" s="91"/>
      <c r="M998" s="166"/>
      <c r="N998" s="166"/>
      <c r="O998" s="14"/>
      <c r="Q998" s="99"/>
      <c r="R998" s="99"/>
      <c r="S998" s="99"/>
      <c r="T998" s="105"/>
      <c r="U998" s="110"/>
    </row>
    <row r="999" s="10" customFormat="1" ht="36" customHeight="1">
      <c r="A999" s="163"/>
      <c r="B999" s="164"/>
      <c r="C999" s="163"/>
      <c r="D999" s="174"/>
      <c r="E999" s="97"/>
      <c r="F999" s="163"/>
      <c r="G999" s="174"/>
      <c r="H999" s="165"/>
      <c r="I999" s="166"/>
      <c r="J999" s="166"/>
      <c r="K999" s="166"/>
      <c r="L999" s="91"/>
      <c r="M999" s="166"/>
      <c r="N999" s="166"/>
      <c r="O999" s="14"/>
      <c r="Q999" s="99"/>
      <c r="R999" s="99"/>
      <c r="S999" s="99"/>
      <c r="T999" s="110"/>
      <c r="U999" s="110"/>
    </row>
    <row r="1000" s="11" customFormat="1">
      <c r="A1000" s="175"/>
      <c r="B1000" s="176"/>
      <c r="C1000" s="175"/>
      <c r="D1000" s="177"/>
      <c r="E1000" s="178"/>
      <c r="F1000" s="118"/>
      <c r="G1000" s="118"/>
      <c r="H1000" s="11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c r="AJ1000" s="179"/>
      <c r="AK1000" s="179"/>
      <c r="AL1000" s="179"/>
      <c r="AM1000" s="179"/>
      <c r="AN1000" s="179"/>
      <c r="AO1000" s="179"/>
      <c r="AP1000" s="179"/>
      <c r="AQ1000" s="179"/>
      <c r="AR1000" s="179"/>
      <c r="AS1000" s="179"/>
      <c r="AT1000" s="179"/>
      <c r="AU1000" s="179"/>
      <c r="AV1000" s="179"/>
      <c r="AW1000" s="179"/>
      <c r="AX1000" s="179"/>
      <c r="AY1000" s="179"/>
      <c r="AZ1000" s="179"/>
      <c r="BA1000" s="179"/>
      <c r="BB1000" s="179"/>
      <c r="BC1000" s="179"/>
      <c r="BD1000" s="179"/>
      <c r="BE1000" s="179"/>
      <c r="BF1000" s="179"/>
      <c r="BG1000" s="179"/>
      <c r="BH1000" s="179"/>
      <c r="BI1000" s="179"/>
      <c r="BJ1000" s="179"/>
      <c r="BK1000" s="179"/>
      <c r="BL1000" s="179"/>
      <c r="BM1000" s="179"/>
      <c r="BN1000" s="179"/>
      <c r="BO1000" s="179"/>
      <c r="BP1000" s="179"/>
      <c r="BQ1000" s="179"/>
      <c r="BR1000" s="179"/>
      <c r="BS1000" s="179"/>
      <c r="BT1000" s="179"/>
      <c r="BU1000" s="179"/>
      <c r="BV1000" s="179"/>
      <c r="BW1000" s="179"/>
      <c r="BX1000" s="179"/>
      <c r="BY1000" s="179"/>
      <c r="BZ1000" s="179"/>
      <c r="CA1000" s="179"/>
      <c r="CB1000" s="179"/>
      <c r="CC1000" s="179"/>
      <c r="CD1000" s="179"/>
      <c r="CE1000" s="179"/>
      <c r="CF1000" s="179"/>
      <c r="CG1000" s="179"/>
      <c r="CH1000" s="179"/>
      <c r="CI1000" s="179"/>
      <c r="CJ1000" s="179"/>
      <c r="CK1000" s="179"/>
      <c r="CL1000" s="179"/>
      <c r="CM1000" s="179"/>
      <c r="CN1000" s="179"/>
      <c r="CO1000" s="179"/>
      <c r="CP1000" s="179"/>
      <c r="CQ1000" s="179"/>
      <c r="CR1000" s="179"/>
      <c r="CS1000" s="179"/>
      <c r="CT1000" s="179"/>
      <c r="CU1000" s="179"/>
      <c r="CV1000" s="179"/>
      <c r="CW1000" s="179"/>
      <c r="CX1000" s="179"/>
      <c r="CY1000" s="179"/>
      <c r="CZ1000" s="179"/>
      <c r="DA1000" s="179"/>
      <c r="DB1000" s="179"/>
      <c r="DC1000" s="179"/>
      <c r="DD1000" s="179"/>
      <c r="DE1000" s="179"/>
      <c r="DF1000" s="179"/>
      <c r="DG1000" s="179"/>
      <c r="DH1000" s="179"/>
      <c r="DI1000" s="179"/>
      <c r="DJ1000" s="179"/>
      <c r="DK1000" s="179"/>
      <c r="DL1000" s="179"/>
      <c r="DM1000" s="179"/>
      <c r="DN1000" s="179"/>
      <c r="DO1000" s="179"/>
      <c r="DP1000" s="179"/>
      <c r="DQ1000" s="179"/>
      <c r="DR1000" s="179"/>
      <c r="DS1000" s="179"/>
      <c r="DT1000" s="179"/>
      <c r="DU1000" s="179"/>
      <c r="DV1000" s="179"/>
      <c r="DW1000" s="179"/>
      <c r="DX1000" s="179"/>
      <c r="DY1000" s="179"/>
      <c r="DZ1000" s="179"/>
      <c r="EA1000" s="179"/>
      <c r="EB1000" s="179"/>
      <c r="EC1000" s="179"/>
      <c r="ED1000" s="179"/>
      <c r="EE1000" s="179"/>
      <c r="EF1000" s="179"/>
      <c r="EG1000" s="179"/>
      <c r="EH1000" s="179"/>
      <c r="EI1000" s="179"/>
      <c r="EJ1000" s="179"/>
      <c r="EK1000" s="179"/>
      <c r="EL1000" s="179"/>
      <c r="EM1000" s="179"/>
      <c r="EN1000" s="179"/>
      <c r="EO1000" s="179"/>
      <c r="EP1000" s="179"/>
      <c r="EQ1000" s="179"/>
      <c r="ER1000" s="179"/>
      <c r="ES1000" s="179"/>
      <c r="ET1000" s="179"/>
      <c r="EU1000" s="179"/>
      <c r="EV1000" s="179"/>
      <c r="EW1000" s="179"/>
      <c r="EX1000" s="179"/>
      <c r="EY1000" s="179"/>
      <c r="EZ1000" s="179"/>
      <c r="FA1000" s="179"/>
      <c r="FB1000" s="179"/>
      <c r="FC1000" s="179"/>
      <c r="FD1000" s="179"/>
      <c r="FE1000" s="179"/>
      <c r="FF1000" s="179"/>
      <c r="FG1000" s="179"/>
      <c r="FH1000" s="179"/>
      <c r="FI1000" s="179"/>
      <c r="FJ1000" s="179"/>
      <c r="FK1000" s="179"/>
      <c r="FL1000" s="179"/>
      <c r="FM1000" s="179"/>
      <c r="FN1000" s="179"/>
      <c r="FO1000" s="179"/>
      <c r="FP1000" s="179"/>
      <c r="FQ1000" s="179"/>
      <c r="FR1000" s="179"/>
      <c r="FS1000" s="179"/>
      <c r="FT1000" s="179"/>
      <c r="FU1000" s="179"/>
      <c r="FV1000" s="179"/>
      <c r="FW1000" s="179"/>
      <c r="FX1000" s="179"/>
      <c r="FY1000" s="179"/>
      <c r="FZ1000" s="179"/>
      <c r="GA1000" s="179"/>
      <c r="GB1000" s="179"/>
      <c r="GC1000" s="179"/>
      <c r="GD1000" s="179"/>
      <c r="GE1000" s="179"/>
      <c r="GF1000" s="179"/>
      <c r="GG1000" s="179"/>
      <c r="GH1000" s="179"/>
      <c r="GI1000" s="179"/>
      <c r="GJ1000" s="179"/>
      <c r="GK1000" s="179"/>
      <c r="GL1000" s="179"/>
      <c r="GM1000" s="179"/>
      <c r="GN1000" s="179"/>
      <c r="GO1000" s="179"/>
      <c r="GP1000" s="179"/>
      <c r="GQ1000" s="179"/>
      <c r="GR1000" s="179"/>
      <c r="GS1000" s="179"/>
      <c r="GT1000" s="179"/>
      <c r="GU1000" s="179"/>
      <c r="GV1000" s="179"/>
      <c r="GW1000" s="179"/>
      <c r="GX1000" s="179"/>
      <c r="GY1000" s="179"/>
      <c r="GZ1000" s="179"/>
      <c r="HA1000" s="179"/>
      <c r="HB1000" s="179"/>
      <c r="HC1000" s="179"/>
      <c r="HD1000" s="179"/>
      <c r="HE1000" s="179"/>
      <c r="HF1000" s="179"/>
      <c r="HG1000" s="179"/>
      <c r="HH1000" s="179"/>
      <c r="HI1000" s="179"/>
      <c r="HJ1000" s="179"/>
      <c r="HK1000" s="179"/>
      <c r="HL1000" s="179"/>
      <c r="HM1000" s="179"/>
      <c r="HN1000" s="179"/>
      <c r="HO1000" s="179"/>
      <c r="HP1000" s="179"/>
    </row>
    <row r="1001" s="12" customFormat="1" ht="12">
      <c r="A1001" s="63"/>
      <c r="B1001" s="15"/>
      <c r="C1001" s="63"/>
      <c r="D1001" s="63"/>
      <c r="E1001" s="63"/>
      <c r="F1001" s="15"/>
      <c r="G1001" s="15"/>
      <c r="H1001" s="123"/>
      <c r="I1001" s="123"/>
      <c r="J1001" s="123"/>
      <c r="K1001" s="123"/>
      <c r="L1001" s="123"/>
      <c r="M1001" s="123"/>
      <c r="N1001" s="123"/>
      <c r="O1001" s="123"/>
      <c r="P1001" s="123"/>
      <c r="Q1001" s="123"/>
      <c r="R1001" s="123"/>
      <c r="S1001" s="123"/>
      <c r="T1001" s="123"/>
      <c r="U1001" s="123"/>
      <c r="V1001" s="123"/>
      <c r="W1001" s="123"/>
    </row>
    <row r="1002" s="10" customFormat="1" ht="12">
      <c r="A1002" s="163"/>
      <c r="B1002" s="164"/>
      <c r="C1002" s="163"/>
      <c r="D1002" s="174"/>
      <c r="E1002" s="180"/>
      <c r="F1002" s="163"/>
      <c r="G1002" s="174"/>
      <c r="H1002" s="165"/>
      <c r="I1002" s="166"/>
      <c r="J1002" s="166"/>
      <c r="K1002" s="166"/>
      <c r="L1002" s="91"/>
      <c r="M1002" s="166"/>
      <c r="N1002" s="166"/>
      <c r="O1002" s="14"/>
      <c r="Q1002" s="99"/>
      <c r="R1002" s="99"/>
      <c r="S1002" s="99"/>
      <c r="T1002" s="110"/>
      <c r="U1002" s="110"/>
    </row>
    <row r="1003" s="10" customFormat="1" ht="36" customHeight="1">
      <c r="A1003" s="163"/>
      <c r="B1003" s="164"/>
      <c r="C1003" s="163"/>
      <c r="D1003" s="174"/>
      <c r="E1003" s="180"/>
      <c r="F1003" s="163"/>
      <c r="G1003" s="174"/>
      <c r="H1003" s="165"/>
      <c r="I1003" s="166"/>
      <c r="J1003" s="166"/>
      <c r="K1003" s="166"/>
      <c r="L1003" s="91"/>
      <c r="M1003" s="166"/>
      <c r="N1003" s="166"/>
      <c r="O1003" s="14"/>
      <c r="Q1003" s="99"/>
      <c r="R1003" s="99"/>
      <c r="S1003" s="99"/>
      <c r="T1003" s="110"/>
      <c r="U1003" s="110"/>
    </row>
    <row r="1004" s="10" customFormat="1" ht="36" customHeight="1">
      <c r="A1004" s="163"/>
      <c r="B1004" s="164"/>
      <c r="C1004" s="163"/>
      <c r="D1004" s="174"/>
      <c r="E1004" s="180"/>
      <c r="F1004" s="163"/>
      <c r="G1004" s="174"/>
      <c r="H1004" s="165"/>
      <c r="I1004" s="166"/>
      <c r="J1004" s="166"/>
      <c r="K1004" s="166"/>
      <c r="L1004" s="91"/>
      <c r="M1004" s="166"/>
      <c r="N1004" s="166"/>
      <c r="O1004" s="14"/>
      <c r="Q1004" s="99"/>
      <c r="R1004" s="99"/>
      <c r="S1004" s="99"/>
      <c r="T1004" s="110"/>
      <c r="U1004" s="110"/>
    </row>
    <row r="1005" s="10" customFormat="1" ht="36" customHeight="1">
      <c r="A1005" s="163"/>
      <c r="B1005" s="164"/>
      <c r="C1005" s="163"/>
      <c r="D1005" s="174"/>
      <c r="E1005" s="180"/>
      <c r="F1005" s="163"/>
      <c r="G1005" s="174"/>
      <c r="H1005" s="165"/>
      <c r="I1005" s="166"/>
      <c r="J1005" s="166"/>
      <c r="K1005" s="166"/>
      <c r="L1005" s="91"/>
      <c r="M1005" s="166"/>
      <c r="N1005" s="166"/>
      <c r="O1005" s="14"/>
      <c r="Q1005" s="99"/>
      <c r="R1005" s="99"/>
      <c r="S1005" s="99"/>
      <c r="T1005" s="110"/>
      <c r="U1005" s="110"/>
    </row>
    <row r="1006" s="13" customFormat="1" ht="12">
      <c r="A1006" s="181"/>
      <c r="B1006" s="182"/>
      <c r="C1006" s="181"/>
      <c r="D1006" s="127"/>
      <c r="E1006" s="29"/>
      <c r="G1006" s="181"/>
      <c r="H1006" s="181"/>
    </row>
    <row r="1007" s="14" customFormat="1" ht="12">
      <c r="A1007" s="163"/>
      <c r="B1007" s="168"/>
      <c r="C1007" s="163"/>
      <c r="D1007" s="169"/>
      <c r="E1007" s="181"/>
      <c r="G1007" s="163"/>
      <c r="H1007" s="163"/>
    </row>
    <row r="1008" s="15" customFormat="1" ht="12">
      <c r="A1008" s="163"/>
      <c r="B1008" s="131"/>
      <c r="C1008" s="63"/>
      <c r="D1008" s="91"/>
      <c r="E1008" s="181"/>
      <c r="F1008" s="132"/>
      <c r="G1008" s="163"/>
      <c r="H1008" s="163"/>
    </row>
    <row r="1009" s="14" customFormat="1" ht="12">
      <c r="A1009" s="163"/>
      <c r="B1009" s="168"/>
      <c r="C1009" s="163"/>
      <c r="D1009" s="169"/>
      <c r="E1009" s="166"/>
      <c r="F1009" s="133"/>
      <c r="G1009" s="169"/>
      <c r="H1009" s="163"/>
      <c r="I1009" s="164"/>
      <c r="J1009" s="164"/>
      <c r="K1009" s="164"/>
      <c r="L1009" s="164"/>
      <c r="M1009" s="164"/>
      <c r="N1009" s="164"/>
      <c r="O1009" s="164"/>
      <c r="P1009" s="164"/>
      <c r="Q1009" s="164"/>
      <c r="R1009" s="164"/>
      <c r="S1009" s="164"/>
      <c r="T1009" s="164"/>
      <c r="U1009" s="164"/>
      <c r="V1009" s="164"/>
      <c r="W1009" s="164"/>
      <c r="X1009" s="164"/>
      <c r="Y1009" s="164"/>
      <c r="Z1009" s="164"/>
      <c r="AA1009" s="164"/>
      <c r="AB1009" s="164"/>
      <c r="AC1009" s="164"/>
      <c r="AD1009" s="164"/>
      <c r="AE1009" s="164"/>
      <c r="AF1009" s="164"/>
      <c r="AG1009" s="164"/>
      <c r="AH1009" s="164"/>
      <c r="AI1009" s="164"/>
      <c r="AJ1009" s="164"/>
      <c r="AK1009" s="164"/>
      <c r="AL1009" s="164"/>
      <c r="AM1009" s="164"/>
      <c r="AN1009" s="164"/>
      <c r="AO1009" s="164"/>
      <c r="AP1009" s="164"/>
      <c r="AQ1009" s="164"/>
      <c r="AR1009" s="164"/>
      <c r="AS1009" s="164"/>
      <c r="AT1009" s="164"/>
      <c r="AU1009" s="164"/>
      <c r="AV1009" s="164"/>
      <c r="AW1009" s="164"/>
      <c r="AX1009" s="164"/>
      <c r="AY1009" s="164"/>
      <c r="AZ1009" s="164"/>
      <c r="BA1009" s="164"/>
      <c r="BB1009" s="164"/>
      <c r="BC1009" s="164"/>
      <c r="BD1009" s="164"/>
      <c r="BE1009" s="164"/>
      <c r="BF1009" s="164"/>
      <c r="BG1009" s="164"/>
      <c r="BH1009" s="164"/>
      <c r="BI1009" s="164"/>
      <c r="BJ1009" s="164"/>
      <c r="BK1009" s="164"/>
      <c r="BL1009" s="164"/>
      <c r="BM1009" s="164"/>
      <c r="BN1009" s="164"/>
      <c r="BO1009" s="164"/>
      <c r="BP1009" s="164"/>
      <c r="BQ1009" s="164"/>
      <c r="BR1009" s="164"/>
      <c r="BS1009" s="164"/>
      <c r="BT1009" s="164"/>
      <c r="BU1009" s="164"/>
      <c r="BV1009" s="164"/>
      <c r="BW1009" s="164"/>
      <c r="BX1009" s="164"/>
      <c r="BY1009" s="164"/>
      <c r="BZ1009" s="164"/>
      <c r="CA1009" s="164"/>
      <c r="CB1009" s="164"/>
      <c r="CC1009" s="164"/>
      <c r="CD1009" s="164"/>
      <c r="CE1009" s="164"/>
      <c r="CF1009" s="164"/>
      <c r="CG1009" s="164"/>
      <c r="CH1009" s="164"/>
      <c r="CI1009" s="164"/>
      <c r="CJ1009" s="164"/>
      <c r="CK1009" s="164"/>
      <c r="CL1009" s="164"/>
      <c r="CM1009" s="164"/>
      <c r="CN1009" s="164"/>
      <c r="CO1009" s="164"/>
      <c r="CP1009" s="164"/>
      <c r="CQ1009" s="164"/>
      <c r="CR1009" s="164"/>
      <c r="CS1009" s="164"/>
      <c r="CT1009" s="164"/>
      <c r="CU1009" s="164"/>
      <c r="CV1009" s="164"/>
      <c r="CW1009" s="164"/>
      <c r="CX1009" s="164"/>
      <c r="CY1009" s="164"/>
      <c r="CZ1009" s="164"/>
      <c r="DA1009" s="164"/>
      <c r="DB1009" s="164"/>
      <c r="DC1009" s="164"/>
      <c r="DD1009" s="164"/>
      <c r="DE1009" s="164"/>
      <c r="DF1009" s="164"/>
      <c r="DG1009" s="164"/>
      <c r="DH1009" s="164"/>
      <c r="DI1009" s="164"/>
      <c r="DJ1009" s="164"/>
      <c r="DK1009" s="164"/>
      <c r="DL1009" s="164"/>
      <c r="DM1009" s="164"/>
      <c r="DN1009" s="164"/>
      <c r="DO1009" s="164"/>
      <c r="DP1009" s="164"/>
      <c r="DQ1009" s="164"/>
      <c r="DR1009" s="164"/>
      <c r="DS1009" s="164"/>
      <c r="DT1009" s="164"/>
      <c r="DU1009" s="164"/>
      <c r="DV1009" s="164"/>
      <c r="DW1009" s="164"/>
      <c r="DX1009" s="164"/>
      <c r="DY1009" s="164"/>
      <c r="DZ1009" s="164"/>
      <c r="EA1009" s="164"/>
      <c r="EB1009" s="164"/>
      <c r="EC1009" s="164"/>
      <c r="ED1009" s="164"/>
      <c r="EE1009" s="164"/>
      <c r="EF1009" s="164"/>
      <c r="EG1009" s="164"/>
      <c r="EH1009" s="164"/>
      <c r="EI1009" s="164"/>
      <c r="EJ1009" s="164"/>
      <c r="EK1009" s="164"/>
      <c r="EL1009" s="164"/>
      <c r="EM1009" s="164"/>
      <c r="EN1009" s="164"/>
      <c r="EO1009" s="164"/>
      <c r="EP1009" s="164"/>
      <c r="EQ1009" s="164"/>
      <c r="ER1009" s="164"/>
      <c r="ES1009" s="164"/>
      <c r="ET1009" s="164"/>
      <c r="EU1009" s="164"/>
      <c r="EV1009" s="164"/>
      <c r="EW1009" s="164"/>
      <c r="EX1009" s="164"/>
      <c r="EY1009" s="164"/>
      <c r="EZ1009" s="164"/>
      <c r="FA1009" s="164"/>
      <c r="FB1009" s="164"/>
      <c r="FC1009" s="164"/>
      <c r="FD1009" s="164"/>
      <c r="FE1009" s="164"/>
      <c r="FF1009" s="164"/>
      <c r="FG1009" s="164"/>
      <c r="FH1009" s="164"/>
      <c r="FI1009" s="164"/>
      <c r="FJ1009" s="164"/>
      <c r="FK1009" s="164"/>
      <c r="FL1009" s="164"/>
      <c r="FM1009" s="164"/>
      <c r="FN1009" s="164"/>
      <c r="FO1009" s="164"/>
      <c r="FP1009" s="164"/>
      <c r="FQ1009" s="164"/>
      <c r="FR1009" s="164"/>
      <c r="FS1009" s="164"/>
      <c r="FT1009" s="164"/>
      <c r="FU1009" s="164"/>
      <c r="FV1009" s="164"/>
      <c r="FW1009" s="164"/>
      <c r="FX1009" s="164"/>
      <c r="FY1009" s="164"/>
      <c r="FZ1009" s="164"/>
      <c r="GA1009" s="164"/>
      <c r="GB1009" s="164"/>
      <c r="GC1009" s="164"/>
      <c r="GD1009" s="164"/>
      <c r="GE1009" s="164"/>
      <c r="GF1009" s="164"/>
      <c r="GG1009" s="164"/>
      <c r="GH1009" s="164"/>
      <c r="GI1009" s="164"/>
      <c r="GJ1009" s="164"/>
      <c r="GK1009" s="164"/>
      <c r="GL1009" s="164"/>
      <c r="GM1009" s="164"/>
      <c r="GN1009" s="164"/>
      <c r="GO1009" s="164"/>
      <c r="GP1009" s="164"/>
      <c r="GQ1009" s="164"/>
      <c r="GR1009" s="164"/>
      <c r="GS1009" s="164"/>
      <c r="GT1009" s="164"/>
      <c r="GU1009" s="164"/>
      <c r="GV1009" s="164"/>
      <c r="GW1009" s="164"/>
      <c r="GX1009" s="164"/>
      <c r="GY1009" s="164"/>
      <c r="GZ1009" s="164"/>
      <c r="HA1009" s="164"/>
      <c r="HB1009" s="164"/>
      <c r="HC1009" s="164"/>
      <c r="HD1009" s="164"/>
      <c r="HE1009" s="164"/>
      <c r="HF1009" s="164"/>
      <c r="HG1009" s="164"/>
      <c r="HH1009" s="164"/>
      <c r="HI1009" s="164"/>
      <c r="HJ1009" s="164"/>
      <c r="HK1009" s="164"/>
      <c r="HL1009" s="164"/>
      <c r="HM1009" s="164"/>
      <c r="HN1009" s="164"/>
      <c r="HO1009" s="164"/>
      <c r="HP1009" s="164"/>
    </row>
    <row r="1010" s="14" customFormat="1" ht="12">
      <c r="A1010" s="163"/>
      <c r="B1010" s="168"/>
      <c r="C1010" s="163"/>
      <c r="D1010" s="166"/>
      <c r="E1010" s="183"/>
      <c r="G1010" s="163"/>
      <c r="H1010" s="163"/>
    </row>
    <row r="1011" s="14" customFormat="1" ht="12">
      <c r="A1011" s="163"/>
      <c r="B1011" s="164"/>
      <c r="C1011" s="163"/>
      <c r="D1011" s="174"/>
      <c r="E1011" s="183"/>
      <c r="G1011" s="163"/>
      <c r="H1011" s="163"/>
    </row>
  </sheetData>
  <mergeCells count="86">
    <mergeCell ref="A560:C560"/>
    <mergeCell ref="A566:C566"/>
    <mergeCell ref="A580:C580"/>
    <mergeCell ref="A628:C628"/>
    <mergeCell ref="A636:C636"/>
    <mergeCell ref="A652:C652"/>
    <mergeCell ref="A653:C653"/>
    <mergeCell ref="A662:C662"/>
    <mergeCell ref="A663:C663"/>
    <mergeCell ref="A702:C702"/>
    <mergeCell ref="A709:C709"/>
    <mergeCell ref="A828:E828"/>
    <mergeCell ref="A832:E832"/>
    <mergeCell ref="A833:E833"/>
    <mergeCell ref="A849:E849"/>
    <mergeCell ref="A850:E850"/>
    <mergeCell ref="A854:E854"/>
    <mergeCell ref="A855:E855"/>
    <mergeCell ref="A872:E872"/>
    <mergeCell ref="A873:E873"/>
    <mergeCell ref="A890:E890"/>
    <mergeCell ref="A891:E891"/>
    <mergeCell ref="A917:E917"/>
    <mergeCell ref="A918:E918"/>
    <mergeCell ref="A972:E972"/>
    <mergeCell ref="A635:C635"/>
    <mergeCell ref="A422:C422"/>
    <mergeCell ref="A477:C477"/>
    <mergeCell ref="A517:C517"/>
    <mergeCell ref="A533:C533"/>
    <mergeCell ref="A421:C421"/>
    <mergeCell ref="A476:C476"/>
    <mergeCell ref="A516:C516"/>
    <mergeCell ref="A532:C532"/>
    <mergeCell ref="A559:C559"/>
    <mergeCell ref="A565:C565"/>
    <mergeCell ref="A573:C573"/>
    <mergeCell ref="A579:C579"/>
    <mergeCell ref="A627:C627"/>
    <mergeCell ref="A574:C574"/>
    <mergeCell ref="A973:E973"/>
    <mergeCell ref="A988:A989"/>
    <mergeCell ref="C988:C989"/>
    <mergeCell ref="E988:E989"/>
    <mergeCell ref="A701:E701"/>
    <mergeCell ref="A708:E708"/>
    <mergeCell ref="A712:E712"/>
    <mergeCell ref="A713:E713"/>
    <mergeCell ref="A827:E827"/>
    <mergeCell ref="A265:C265"/>
    <mergeCell ref="A266:C266"/>
    <mergeCell ref="A273:C273"/>
    <mergeCell ref="A274:C274"/>
    <mergeCell ref="A279:C279"/>
    <mergeCell ref="A280:C280"/>
    <mergeCell ref="A305:C305"/>
    <mergeCell ref="A306:C306"/>
    <mergeCell ref="A312:C312"/>
    <mergeCell ref="A313:C313"/>
    <mergeCell ref="A326:C326"/>
    <mergeCell ref="A327:C327"/>
    <mergeCell ref="C368:C369"/>
    <mergeCell ref="E368:E369"/>
    <mergeCell ref="D368:D369"/>
    <mergeCell ref="B368:B369"/>
    <mergeCell ref="A368:A369"/>
    <mergeCell ref="E371:E372"/>
    <mergeCell ref="D371:D372"/>
    <mergeCell ref="C371:C372"/>
    <mergeCell ref="B371:B372"/>
    <mergeCell ref="A403:C403"/>
    <mergeCell ref="A404:C404"/>
    <mergeCell ref="B2:D2"/>
    <mergeCell ref="B58:D58"/>
    <mergeCell ref="A70:E70"/>
    <mergeCell ref="A71:E71"/>
    <mergeCell ref="A88:E88"/>
    <mergeCell ref="A89:E89"/>
    <mergeCell ref="A127:C127"/>
    <mergeCell ref="B128:D128"/>
    <mergeCell ref="A152:E152"/>
    <mergeCell ref="A153:E153"/>
    <mergeCell ref="A168:C168"/>
    <mergeCell ref="A169:C169"/>
    <mergeCell ref="A200:C200"/>
    <mergeCell ref="A201:C201"/>
  </mergeCells>
  <printOptions gridLines="1"/>
  <pageMargins left="0.5118055" right="0.4722222" top="0.6298611" bottom="0.5118055" header="0.3152778" footer="0.3152778"/>
  <pageSetup r:id="rId1" paperSize="9" orientation="portrait" scale="35"/>
  <headerFooter>
    <oddFooter>&amp;Z&amp;F&amp;RPage &amp;P</oddFooter>
  </headerFooter>
  <rowBreaks count="2" manualBreakCount="2">
    <brk id="339" man="1" max="4"/>
    <brk id="372" man="1" max="4"/>
  </rowBreaks>
  <colBreaks count="1" manualBreakCount="1">
    <brk id="5" man="1"/>
  </colBreaks>
</worksheet>
</file>

<file path=xl/worksheets/sheet5.xml><?xml version="1.0" encoding="utf-8"?>
<worksheet xmlns:r="http://schemas.openxmlformats.org/officeDocument/2006/relationships" xmlns="http://schemas.openxmlformats.org/spreadsheetml/2006/main">
  <sheetViews>
    <sheetView workbookViewId="0">
      <selection activeCell="A5" sqref="A5"/>
    </sheetView>
  </sheetViews>
  <sheetFormatPr defaultRowHeight="12.75"/>
  <sheetData/>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creator>Online2PDF.com</dc:creator>
  <cp:lastModifiedBy>JacobPK\JACOB</cp:lastModifiedBy>
  <cp:lastPrinted>2025-02-17T06:58:39Z</cp:lastPrinted>
  <dcterms:created xsi:type="dcterms:W3CDTF">2024-08-17T07:44:28Z</dcterms:created>
  <dcterms:modified xsi:type="dcterms:W3CDTF">2026-06-21T11:20:13Z</dcterms:modified>
</cp:coreProperties>
</file>