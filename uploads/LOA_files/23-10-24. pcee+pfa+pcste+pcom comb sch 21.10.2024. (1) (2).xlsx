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E0A15047-4AF1-44A8-AEE8-8D5049BEB6C4}" xr6:coauthVersionLast="47" xr6:coauthVersionMax="47" xr10:uidLastSave="{00000000-0000-0000-0000-000000000000}"/>
  <bookViews>
    <workbookView xWindow="780" yWindow="780" windowWidth="15360" windowHeight="15195" firstSheet="4" activeTab="4" xr2:uid="{00000000-000D-0000-FFFF-FFFF00000000}"/>
  </bookViews>
  <sheets>
    <sheet name="PCOM EST" sheetId="10" r:id="rId1"/>
    <sheet name="PCSTE SCH 21.10.2024" sheetId="11" r:id="rId2"/>
    <sheet name="Final with out Chrges 14-10-24" sheetId="9" r:id="rId3"/>
    <sheet name="PCEE+PFA+PCSTE+PCOM COMB SCH " sheetId="12" r:id="rId4"/>
    <sheet name="PCEE+PFA+PCSTE+PCOM COMB SC 22." sheetId="13" r:id="rId5"/>
    <sheet name="PCEE+PFA+PCSTE+PCOM COMB SCh F" sheetId="14" r:id="rId6"/>
    <sheet name="Sheet1" sheetId="15" r:id="rId7"/>
  </sheets>
  <externalReferences>
    <externalReference r:id="rId8"/>
  </externalReferences>
  <definedNames>
    <definedName name="_xlnm.Print_Area" localSheetId="2">'Final with out Chrges 14-10-24'!$A$1:$I$71</definedName>
    <definedName name="_xlnm.Print_Area" localSheetId="4">'PCEE+PFA+PCSTE+PCOM COMB SC 22.'!$A$1:$G$183</definedName>
    <definedName name="_xlnm.Print_Area" localSheetId="3">'PCEE+PFA+PCSTE+PCOM COMB SCH '!$A$1:$J$188</definedName>
    <definedName name="_xlnm.Print_Area" localSheetId="5">'PCEE+PFA+PCSTE+PCOM COMB SCh F'!$A$1:$G$168</definedName>
    <definedName name="_xlnm.Print_Area" localSheetId="1">'PCSTE SCH 21.10.2024'!$A$1:$I$84</definedName>
    <definedName name="_xlnm.Print_Titles" localSheetId="2">'Final with out Chrges 14-10-24'!$6:$7</definedName>
    <definedName name="_xlnm.Print_Titles" localSheetId="1">'PCSTE SCH 21.10.2024'!$4:$5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8" i="15" l="1"/>
  <c r="J158" i="15" s="1"/>
  <c r="G157" i="15"/>
  <c r="J157" i="15" s="1"/>
  <c r="G156" i="15"/>
  <c r="J156" i="15" s="1"/>
  <c r="G155" i="15"/>
  <c r="J155" i="15" s="1"/>
  <c r="G154" i="15"/>
  <c r="J154" i="15" s="1"/>
  <c r="G153" i="15"/>
  <c r="J153" i="15" s="1"/>
  <c r="G152" i="15"/>
  <c r="J152" i="15" s="1"/>
  <c r="G151" i="15"/>
  <c r="J151" i="15" s="1"/>
  <c r="G150" i="15"/>
  <c r="J150" i="15" s="1"/>
  <c r="G149" i="15"/>
  <c r="J149" i="15" s="1"/>
  <c r="G148" i="15"/>
  <c r="J148" i="15" s="1"/>
  <c r="G147" i="15"/>
  <c r="J147" i="15" s="1"/>
  <c r="G146" i="15"/>
  <c r="J146" i="15" s="1"/>
  <c r="G145" i="15"/>
  <c r="J145" i="15" s="1"/>
  <c r="G144" i="15"/>
  <c r="J144" i="15" s="1"/>
  <c r="G143" i="15"/>
  <c r="J143" i="15" s="1"/>
  <c r="G142" i="15"/>
  <c r="J142" i="15" s="1"/>
  <c r="G141" i="15"/>
  <c r="J141" i="15" s="1"/>
  <c r="G140" i="15"/>
  <c r="J140" i="15" s="1"/>
  <c r="G139" i="15"/>
  <c r="J139" i="15" s="1"/>
  <c r="G138" i="15"/>
  <c r="J138" i="15" s="1"/>
  <c r="G137" i="15"/>
  <c r="J137" i="15" s="1"/>
  <c r="G136" i="15"/>
  <c r="J136" i="15" s="1"/>
  <c r="G135" i="15"/>
  <c r="J135" i="15" s="1"/>
  <c r="G134" i="15"/>
  <c r="J134" i="15" s="1"/>
  <c r="G133" i="15"/>
  <c r="J133" i="15" s="1"/>
  <c r="G132" i="15"/>
  <c r="J132" i="15" s="1"/>
  <c r="G131" i="15"/>
  <c r="J131" i="15" s="1"/>
  <c r="G130" i="15"/>
  <c r="J130" i="15" s="1"/>
  <c r="G129" i="15"/>
  <c r="J129" i="15" s="1"/>
  <c r="G65" i="15"/>
  <c r="J65" i="15" s="1"/>
  <c r="G128" i="15"/>
  <c r="J128" i="15" s="1"/>
  <c r="G127" i="15"/>
  <c r="J127" i="15" s="1"/>
  <c r="G126" i="15"/>
  <c r="J126" i="15" s="1"/>
  <c r="E125" i="15"/>
  <c r="G124" i="15"/>
  <c r="J124" i="15" s="1"/>
  <c r="G123" i="15"/>
  <c r="J123" i="15" s="1"/>
  <c r="G122" i="15"/>
  <c r="J122" i="15" s="1"/>
  <c r="G121" i="15"/>
  <c r="J121" i="15" s="1"/>
  <c r="G120" i="15"/>
  <c r="J120" i="15" s="1"/>
  <c r="G119" i="15"/>
  <c r="J119" i="15" s="1"/>
  <c r="G118" i="15"/>
  <c r="J118" i="15" s="1"/>
  <c r="G117" i="15"/>
  <c r="J117" i="15" s="1"/>
  <c r="G116" i="15"/>
  <c r="J116" i="15" s="1"/>
  <c r="G115" i="15"/>
  <c r="J115" i="15" s="1"/>
  <c r="G94" i="15"/>
  <c r="J94" i="15" s="1"/>
  <c r="G93" i="15"/>
  <c r="J93" i="15" s="1"/>
  <c r="G92" i="15"/>
  <c r="J92" i="15" s="1"/>
  <c r="G91" i="15"/>
  <c r="J91" i="15" s="1"/>
  <c r="G114" i="15"/>
  <c r="J114" i="15" s="1"/>
  <c r="G113" i="15"/>
  <c r="J113" i="15" s="1"/>
  <c r="G112" i="15"/>
  <c r="J112" i="15" s="1"/>
  <c r="G111" i="15"/>
  <c r="J111" i="15" s="1"/>
  <c r="G110" i="15"/>
  <c r="J110" i="15" s="1"/>
  <c r="G109" i="15"/>
  <c r="J109" i="15" s="1"/>
  <c r="G108" i="15"/>
  <c r="J108" i="15" s="1"/>
  <c r="G107" i="15"/>
  <c r="J107" i="15" s="1"/>
  <c r="G95" i="15"/>
  <c r="J95" i="15" s="1"/>
  <c r="A109" i="15"/>
  <c r="A110" i="15" s="1"/>
  <c r="A111" i="15" s="1"/>
  <c r="A112" i="15" s="1"/>
  <c r="A113" i="15" s="1"/>
  <c r="A114" i="15" s="1"/>
  <c r="A116" i="15" s="1"/>
  <c r="A117" i="15" s="1"/>
  <c r="A118" i="15" s="1"/>
  <c r="A119" i="15" s="1"/>
  <c r="G106" i="15"/>
  <c r="J106" i="15" s="1"/>
  <c r="G90" i="15"/>
  <c r="J90" i="15" s="1"/>
  <c r="G89" i="15"/>
  <c r="J89" i="15" s="1"/>
  <c r="G88" i="15"/>
  <c r="J88" i="15" s="1"/>
  <c r="G105" i="15"/>
  <c r="J105" i="15" s="1"/>
  <c r="G87" i="15"/>
  <c r="J87" i="15" s="1"/>
  <c r="G86" i="15"/>
  <c r="J86" i="15" s="1"/>
  <c r="A87" i="15"/>
  <c r="A90" i="15" s="1"/>
  <c r="J85" i="15"/>
  <c r="G84" i="15"/>
  <c r="J84" i="15" s="1"/>
  <c r="G83" i="15"/>
  <c r="J83" i="15" s="1"/>
  <c r="G104" i="15"/>
  <c r="J104" i="15" s="1"/>
  <c r="G103" i="15"/>
  <c r="J103" i="15" s="1"/>
  <c r="J102" i="15"/>
  <c r="J101" i="15"/>
  <c r="G82" i="15"/>
  <c r="J82" i="15" s="1"/>
  <c r="G100" i="15"/>
  <c r="J100" i="15" s="1"/>
  <c r="G99" i="15"/>
  <c r="J99" i="15" s="1"/>
  <c r="G63" i="15"/>
  <c r="J63" i="15" s="1"/>
  <c r="G81" i="15"/>
  <c r="J81" i="15" s="1"/>
  <c r="G98" i="15"/>
  <c r="J98" i="15" s="1"/>
  <c r="G80" i="15"/>
  <c r="J80" i="15" s="1"/>
  <c r="G79" i="15"/>
  <c r="J79" i="15" s="1"/>
  <c r="G78" i="15"/>
  <c r="J78" i="15" s="1"/>
  <c r="A78" i="15"/>
  <c r="A79" i="15" s="1"/>
  <c r="A102" i="15" s="1"/>
  <c r="A103" i="15" s="1"/>
  <c r="A104" i="15" s="1"/>
  <c r="G77" i="15"/>
  <c r="J77" i="15" s="1"/>
  <c r="G76" i="15"/>
  <c r="J76" i="15" s="1"/>
  <c r="G75" i="15"/>
  <c r="J75" i="15" s="1"/>
  <c r="A75" i="15"/>
  <c r="A76" i="15" s="1"/>
  <c r="G74" i="15"/>
  <c r="J74" i="15" s="1"/>
  <c r="G73" i="15"/>
  <c r="J73" i="15" s="1"/>
  <c r="G72" i="15"/>
  <c r="J72" i="15" s="1"/>
  <c r="A72" i="15"/>
  <c r="A73" i="15" s="1"/>
  <c r="G71" i="15"/>
  <c r="J71" i="15" s="1"/>
  <c r="G70" i="15"/>
  <c r="J70" i="15" s="1"/>
  <c r="A70" i="15"/>
  <c r="G69" i="15"/>
  <c r="J69" i="15" s="1"/>
  <c r="G64" i="15"/>
  <c r="J64" i="15" s="1"/>
  <c r="G62" i="15"/>
  <c r="J62" i="15" s="1"/>
  <c r="A62" i="15"/>
  <c r="G61" i="15"/>
  <c r="J61" i="15" s="1"/>
  <c r="G60" i="15"/>
  <c r="J60" i="15" s="1"/>
  <c r="G59" i="15"/>
  <c r="J59" i="15" s="1"/>
  <c r="A59" i="15"/>
  <c r="A60" i="15" s="1"/>
  <c r="G58" i="15"/>
  <c r="J58" i="15" s="1"/>
  <c r="G57" i="15"/>
  <c r="J57" i="15" s="1"/>
  <c r="G56" i="15"/>
  <c r="J56" i="15" s="1"/>
  <c r="G55" i="15"/>
  <c r="J55" i="15" s="1"/>
  <c r="G54" i="15"/>
  <c r="J54" i="15" s="1"/>
  <c r="G53" i="15"/>
  <c r="J53" i="15" s="1"/>
  <c r="G52" i="15"/>
  <c r="J52" i="15" s="1"/>
  <c r="G51" i="15"/>
  <c r="J51" i="15" s="1"/>
  <c r="G50" i="15"/>
  <c r="J50" i="15" s="1"/>
  <c r="G49" i="15"/>
  <c r="J49" i="15" s="1"/>
  <c r="G48" i="15"/>
  <c r="J48" i="15" s="1"/>
  <c r="G47" i="15"/>
  <c r="J47" i="15" s="1"/>
  <c r="A47" i="15"/>
  <c r="A48" i="15" s="1"/>
  <c r="A49" i="15" s="1"/>
  <c r="A50" i="15" s="1"/>
  <c r="A51" i="15" s="1"/>
  <c r="A52" i="15" s="1"/>
  <c r="A53" i="15" s="1"/>
  <c r="A54" i="15" s="1"/>
  <c r="A55" i="15" s="1"/>
  <c r="A56" i="15" s="1"/>
  <c r="A57" i="15" s="1"/>
  <c r="G46" i="15"/>
  <c r="J46" i="15" s="1"/>
  <c r="G45" i="15"/>
  <c r="J45" i="15" s="1"/>
  <c r="G44" i="15"/>
  <c r="J44" i="15" s="1"/>
  <c r="G43" i="15"/>
  <c r="J43" i="15" s="1"/>
  <c r="A43" i="15"/>
  <c r="A44" i="15" s="1"/>
  <c r="A45" i="15" s="1"/>
  <c r="G42" i="15"/>
  <c r="J42" i="15" s="1"/>
  <c r="G41" i="15"/>
  <c r="J41" i="15" s="1"/>
  <c r="G40" i="15"/>
  <c r="J40" i="15" s="1"/>
  <c r="G39" i="15"/>
  <c r="J39" i="15" s="1"/>
  <c r="G38" i="15"/>
  <c r="J38" i="15" s="1"/>
  <c r="A38" i="15"/>
  <c r="G37" i="15"/>
  <c r="J37" i="15" s="1"/>
  <c r="G36" i="15"/>
  <c r="J36" i="15" s="1"/>
  <c r="G35" i="15"/>
  <c r="J35" i="15" s="1"/>
  <c r="G34" i="15"/>
  <c r="J34" i="15" s="1"/>
  <c r="G33" i="15"/>
  <c r="J33" i="15" s="1"/>
  <c r="A33" i="15"/>
  <c r="A34" i="15" s="1"/>
  <c r="A35" i="15" s="1"/>
  <c r="A36" i="15" s="1"/>
  <c r="G32" i="15"/>
  <c r="J32" i="15" s="1"/>
  <c r="G31" i="15"/>
  <c r="J31" i="15" s="1"/>
  <c r="G30" i="15"/>
  <c r="J30" i="15" s="1"/>
  <c r="G29" i="15"/>
  <c r="J29" i="15" s="1"/>
  <c r="G28" i="15"/>
  <c r="J28" i="15" s="1"/>
  <c r="G27" i="15"/>
  <c r="J27" i="15" s="1"/>
  <c r="A27" i="15"/>
  <c r="A28" i="15" s="1"/>
  <c r="A29" i="15" s="1"/>
  <c r="A30" i="15" s="1"/>
  <c r="A31" i="15" s="1"/>
  <c r="G26" i="15"/>
  <c r="J26" i="15" s="1"/>
  <c r="G25" i="15"/>
  <c r="J25" i="15" s="1"/>
  <c r="G24" i="15"/>
  <c r="J24" i="15" s="1"/>
  <c r="G23" i="15"/>
  <c r="J23" i="15" s="1"/>
  <c r="G22" i="15"/>
  <c r="J22" i="15" s="1"/>
  <c r="G21" i="15"/>
  <c r="J21" i="15" s="1"/>
  <c r="G20" i="15"/>
  <c r="J20" i="15" s="1"/>
  <c r="G19" i="15"/>
  <c r="J19" i="15" s="1"/>
  <c r="G18" i="15"/>
  <c r="J18" i="15" s="1"/>
  <c r="G17" i="15"/>
  <c r="J17" i="15" s="1"/>
  <c r="G16" i="15"/>
  <c r="J16" i="15" s="1"/>
  <c r="G15" i="15"/>
  <c r="J15" i="15" s="1"/>
  <c r="G14" i="15"/>
  <c r="J14" i="15" s="1"/>
  <c r="G13" i="15"/>
  <c r="J13" i="15" s="1"/>
  <c r="G12" i="15"/>
  <c r="J12" i="15" s="1"/>
  <c r="A12" i="15"/>
  <c r="A13" i="15" s="1"/>
  <c r="A14" i="15" s="1"/>
  <c r="A15" i="15" s="1"/>
  <c r="A16" i="15" s="1"/>
  <c r="A17" i="15" s="1"/>
  <c r="A18" i="15" s="1"/>
  <c r="A19" i="15" s="1"/>
  <c r="A20" i="15" s="1"/>
  <c r="A21" i="15" s="1"/>
  <c r="A22" i="15" s="1"/>
  <c r="A23" i="15" s="1"/>
  <c r="A24" i="15" s="1"/>
  <c r="A25" i="15" s="1"/>
  <c r="G11" i="15"/>
  <c r="J11" i="15" s="1"/>
  <c r="G7" i="15"/>
  <c r="J7" i="15" s="1"/>
  <c r="G6" i="15"/>
  <c r="J6" i="15" s="1"/>
  <c r="F142" i="14"/>
  <c r="J96" i="15" l="1"/>
  <c r="J66" i="15"/>
  <c r="J8" i="15"/>
  <c r="G125" i="15"/>
  <c r="J125" i="15" s="1"/>
  <c r="J159" i="15" s="1"/>
  <c r="Q224" i="12"/>
  <c r="P224" i="12"/>
  <c r="O224" i="12"/>
  <c r="N224" i="12"/>
  <c r="N226" i="12" s="1"/>
  <c r="G224" i="12"/>
  <c r="J224" i="12" s="1"/>
  <c r="A224" i="12"/>
  <c r="J161" i="15" l="1"/>
  <c r="A100" i="14"/>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69" i="14"/>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V193" i="14"/>
  <c r="F193" i="14"/>
  <c r="N192" i="14"/>
  <c r="V191" i="14"/>
  <c r="E191" i="14"/>
  <c r="F191" i="14" s="1"/>
  <c r="N187" i="14"/>
  <c r="V186" i="14"/>
  <c r="N186" i="14"/>
  <c r="E186" i="14"/>
  <c r="F186" i="14" s="1"/>
  <c r="V185" i="14"/>
  <c r="N185" i="14"/>
  <c r="E185" i="14"/>
  <c r="F185" i="14" s="1"/>
  <c r="A185" i="14"/>
  <c r="A186" i="14" s="1"/>
  <c r="V184" i="14"/>
  <c r="N184" i="14"/>
  <c r="E184" i="14"/>
  <c r="F184" i="14" s="1"/>
  <c r="V183" i="14"/>
  <c r="E183" i="14"/>
  <c r="F183" i="14" s="1"/>
  <c r="A183" i="14"/>
  <c r="A184" i="14" s="1"/>
  <c r="F176" i="14"/>
  <c r="O162" i="14"/>
  <c r="V159" i="14"/>
  <c r="N159" i="14"/>
  <c r="F159" i="14"/>
  <c r="V158" i="14"/>
  <c r="N158" i="14"/>
  <c r="F158" i="14"/>
  <c r="V157" i="14"/>
  <c r="N157" i="14"/>
  <c r="F157" i="14"/>
  <c r="V156" i="14"/>
  <c r="N156" i="14"/>
  <c r="F156" i="14"/>
  <c r="V155" i="14"/>
  <c r="N155" i="14"/>
  <c r="F155" i="14"/>
  <c r="V154" i="14"/>
  <c r="N154" i="14"/>
  <c r="F154" i="14"/>
  <c r="V153" i="14"/>
  <c r="N153" i="14"/>
  <c r="F153" i="14"/>
  <c r="V152" i="14"/>
  <c r="N152" i="14"/>
  <c r="F152" i="14"/>
  <c r="V151" i="14"/>
  <c r="N151" i="14"/>
  <c r="F151" i="14"/>
  <c r="V150" i="14"/>
  <c r="N150" i="14"/>
  <c r="F150" i="14"/>
  <c r="V149" i="14"/>
  <c r="N149" i="14"/>
  <c r="F149" i="14"/>
  <c r="V148" i="14"/>
  <c r="N148" i="14"/>
  <c r="F148" i="14"/>
  <c r="V147" i="14"/>
  <c r="N147" i="14"/>
  <c r="F147" i="14"/>
  <c r="V146" i="14"/>
  <c r="N146" i="14"/>
  <c r="F146" i="14"/>
  <c r="V145" i="14"/>
  <c r="N145" i="14"/>
  <c r="F145" i="14"/>
  <c r="V144" i="14"/>
  <c r="N144" i="14"/>
  <c r="F144" i="14"/>
  <c r="V143" i="14"/>
  <c r="N143" i="14"/>
  <c r="F143" i="14"/>
  <c r="V142" i="14"/>
  <c r="N142" i="14"/>
  <c r="V141" i="14"/>
  <c r="N141" i="14"/>
  <c r="F141" i="14"/>
  <c r="V140" i="14"/>
  <c r="N140" i="14"/>
  <c r="F140" i="14"/>
  <c r="V139" i="14"/>
  <c r="N139" i="14"/>
  <c r="F139" i="14"/>
  <c r="V138" i="14"/>
  <c r="N138" i="14"/>
  <c r="F138" i="14"/>
  <c r="V137" i="14"/>
  <c r="N137" i="14"/>
  <c r="F137" i="14"/>
  <c r="V136" i="14"/>
  <c r="N136" i="14"/>
  <c r="F136" i="14"/>
  <c r="V135" i="14"/>
  <c r="N135" i="14"/>
  <c r="F135" i="14"/>
  <c r="V134" i="14"/>
  <c r="N134" i="14"/>
  <c r="F134" i="14"/>
  <c r="V133" i="14"/>
  <c r="N133" i="14"/>
  <c r="F133" i="14"/>
  <c r="V132" i="14"/>
  <c r="N132" i="14"/>
  <c r="F132" i="14"/>
  <c r="V131" i="14"/>
  <c r="N131" i="14"/>
  <c r="F131" i="14"/>
  <c r="V130" i="14"/>
  <c r="N130" i="14"/>
  <c r="F130" i="14"/>
  <c r="V129" i="14"/>
  <c r="N129" i="14"/>
  <c r="F129" i="14"/>
  <c r="V128" i="14"/>
  <c r="N128" i="14"/>
  <c r="F128" i="14"/>
  <c r="V127" i="14"/>
  <c r="N127" i="14"/>
  <c r="F127" i="14"/>
  <c r="T126" i="14"/>
  <c r="V126" i="14" s="1"/>
  <c r="L126" i="14"/>
  <c r="F126" i="14"/>
  <c r="V125" i="14"/>
  <c r="N125" i="14"/>
  <c r="F125" i="14"/>
  <c r="V124" i="14"/>
  <c r="N124" i="14"/>
  <c r="F124" i="14"/>
  <c r="V123" i="14"/>
  <c r="N123" i="14"/>
  <c r="F123" i="14"/>
  <c r="V122" i="14"/>
  <c r="N122" i="14"/>
  <c r="F122" i="14"/>
  <c r="V121" i="14"/>
  <c r="N121" i="14"/>
  <c r="F121" i="14"/>
  <c r="V120" i="14"/>
  <c r="N120" i="14"/>
  <c r="F120" i="14"/>
  <c r="V119" i="14"/>
  <c r="N119" i="14"/>
  <c r="F119" i="14"/>
  <c r="V118" i="14"/>
  <c r="N118" i="14"/>
  <c r="F118" i="14"/>
  <c r="V117" i="14"/>
  <c r="N117" i="14"/>
  <c r="F117" i="14"/>
  <c r="V116" i="14"/>
  <c r="N116" i="14"/>
  <c r="F116" i="14"/>
  <c r="V115" i="14"/>
  <c r="N115" i="14"/>
  <c r="F115" i="14"/>
  <c r="V114" i="14"/>
  <c r="N114" i="14"/>
  <c r="F114" i="14"/>
  <c r="V113" i="14"/>
  <c r="N113" i="14"/>
  <c r="F113" i="14"/>
  <c r="V112" i="14"/>
  <c r="N112" i="14"/>
  <c r="F112" i="14"/>
  <c r="V111" i="14"/>
  <c r="N111" i="14"/>
  <c r="F111" i="14"/>
  <c r="V110" i="14"/>
  <c r="N110" i="14"/>
  <c r="F110" i="14"/>
  <c r="V109" i="14"/>
  <c r="N109" i="14"/>
  <c r="F109" i="14"/>
  <c r="V108" i="14"/>
  <c r="N108" i="14"/>
  <c r="F108" i="14"/>
  <c r="V107" i="14"/>
  <c r="N107" i="14"/>
  <c r="F107" i="14"/>
  <c r="V106" i="14"/>
  <c r="N106" i="14"/>
  <c r="C106" i="14"/>
  <c r="F106" i="14" s="1"/>
  <c r="V105" i="14"/>
  <c r="N105" i="14"/>
  <c r="F105" i="14"/>
  <c r="V104" i="14"/>
  <c r="N104" i="14"/>
  <c r="F104" i="14"/>
  <c r="V103" i="14"/>
  <c r="N103" i="14"/>
  <c r="F103" i="14"/>
  <c r="V102" i="14"/>
  <c r="N102" i="14"/>
  <c r="F102" i="14"/>
  <c r="V101" i="14"/>
  <c r="N101" i="14"/>
  <c r="F101" i="14"/>
  <c r="V100" i="14"/>
  <c r="N100" i="14"/>
  <c r="F100" i="14"/>
  <c r="V99" i="14"/>
  <c r="N99" i="14"/>
  <c r="C99" i="14"/>
  <c r="F99" i="14" s="1"/>
  <c r="V94" i="14"/>
  <c r="N94" i="14"/>
  <c r="F94" i="14"/>
  <c r="V93" i="14"/>
  <c r="N93" i="14"/>
  <c r="F93" i="14"/>
  <c r="V92" i="14"/>
  <c r="N92" i="14"/>
  <c r="F92" i="14"/>
  <c r="V91" i="14"/>
  <c r="N91" i="14"/>
  <c r="F91" i="14"/>
  <c r="V90" i="14"/>
  <c r="N90" i="14"/>
  <c r="F90" i="14"/>
  <c r="V89" i="14"/>
  <c r="N89" i="14"/>
  <c r="F89" i="14"/>
  <c r="V88" i="14"/>
  <c r="N88" i="14"/>
  <c r="F88" i="14"/>
  <c r="V87" i="14"/>
  <c r="N87" i="14"/>
  <c r="F87" i="14"/>
  <c r="V86" i="14"/>
  <c r="N86" i="14"/>
  <c r="F86" i="14"/>
  <c r="V85" i="14"/>
  <c r="N85" i="14"/>
  <c r="F85" i="14"/>
  <c r="V84" i="14"/>
  <c r="N84" i="14"/>
  <c r="C84" i="14"/>
  <c r="F84" i="14" s="1"/>
  <c r="V83" i="14"/>
  <c r="N83" i="14"/>
  <c r="F83" i="14"/>
  <c r="V82" i="14"/>
  <c r="N82" i="14"/>
  <c r="F82" i="14"/>
  <c r="V81" i="14"/>
  <c r="N81" i="14"/>
  <c r="F81" i="14"/>
  <c r="V80" i="14"/>
  <c r="N80" i="14"/>
  <c r="F80" i="14"/>
  <c r="V79" i="14"/>
  <c r="N79" i="14"/>
  <c r="F79" i="14"/>
  <c r="V78" i="14"/>
  <c r="N78" i="14"/>
  <c r="C78" i="14"/>
  <c r="F78" i="14" s="1"/>
  <c r="V77" i="14"/>
  <c r="N77" i="14"/>
  <c r="F77" i="14"/>
  <c r="V76" i="14"/>
  <c r="N76" i="14"/>
  <c r="F76" i="14"/>
  <c r="V75" i="14"/>
  <c r="N75" i="14"/>
  <c r="F75" i="14"/>
  <c r="V74" i="14"/>
  <c r="N74" i="14"/>
  <c r="F74" i="14"/>
  <c r="V73" i="14"/>
  <c r="N73" i="14"/>
  <c r="F73" i="14"/>
  <c r="V72" i="14"/>
  <c r="N72" i="14"/>
  <c r="F72" i="14"/>
  <c r="V71" i="14"/>
  <c r="N71" i="14"/>
  <c r="F71" i="14"/>
  <c r="V70" i="14"/>
  <c r="N70" i="14"/>
  <c r="F70" i="14"/>
  <c r="V69" i="14"/>
  <c r="N69" i="14"/>
  <c r="F69" i="14"/>
  <c r="V68" i="14"/>
  <c r="N68" i="14"/>
  <c r="F68" i="14"/>
  <c r="V65" i="14"/>
  <c r="N65" i="14"/>
  <c r="F65" i="14"/>
  <c r="V64" i="14"/>
  <c r="N64" i="14"/>
  <c r="F64" i="14"/>
  <c r="V63" i="14"/>
  <c r="N63" i="14"/>
  <c r="F63" i="14"/>
  <c r="V62" i="14"/>
  <c r="N62" i="14"/>
  <c r="F62" i="14"/>
  <c r="V61" i="14"/>
  <c r="N61" i="14"/>
  <c r="F61" i="14"/>
  <c r="V60" i="14"/>
  <c r="N60" i="14"/>
  <c r="F60" i="14"/>
  <c r="V59" i="14"/>
  <c r="N59" i="14"/>
  <c r="F59" i="14"/>
  <c r="V58" i="14"/>
  <c r="N58" i="14"/>
  <c r="F58" i="14"/>
  <c r="V57" i="14"/>
  <c r="N57" i="14"/>
  <c r="F57" i="14"/>
  <c r="V56" i="14"/>
  <c r="N56" i="14"/>
  <c r="F56" i="14"/>
  <c r="V55" i="14"/>
  <c r="N55" i="14"/>
  <c r="F55" i="14"/>
  <c r="V54" i="14"/>
  <c r="N54" i="14"/>
  <c r="F54" i="14"/>
  <c r="V53" i="14"/>
  <c r="N53" i="14"/>
  <c r="F53" i="14"/>
  <c r="V52" i="14"/>
  <c r="N52" i="14"/>
  <c r="F52" i="14"/>
  <c r="V51" i="14"/>
  <c r="N51" i="14"/>
  <c r="F51" i="14"/>
  <c r="V50" i="14"/>
  <c r="N50" i="14"/>
  <c r="F50" i="14"/>
  <c r="V49" i="14"/>
  <c r="N49" i="14"/>
  <c r="F49" i="14"/>
  <c r="V48" i="14"/>
  <c r="N48" i="14"/>
  <c r="F48" i="14"/>
  <c r="V47" i="14"/>
  <c r="N47" i="14"/>
  <c r="F47" i="14"/>
  <c r="V46" i="14"/>
  <c r="N46" i="14"/>
  <c r="F46" i="14"/>
  <c r="V45" i="14"/>
  <c r="N45" i="14"/>
  <c r="F45" i="14"/>
  <c r="V44" i="14"/>
  <c r="N44" i="14"/>
  <c r="F44" i="14"/>
  <c r="V43" i="14"/>
  <c r="N43" i="14"/>
  <c r="F43" i="14"/>
  <c r="V42" i="14"/>
  <c r="N42" i="14"/>
  <c r="F42" i="14"/>
  <c r="V41" i="14"/>
  <c r="N41" i="14"/>
  <c r="F41" i="14"/>
  <c r="V40" i="14"/>
  <c r="N40" i="14"/>
  <c r="F40" i="14"/>
  <c r="V39" i="14"/>
  <c r="N39" i="14"/>
  <c r="F39" i="14"/>
  <c r="V38" i="14"/>
  <c r="N38" i="14"/>
  <c r="F38" i="14"/>
  <c r="V37" i="14"/>
  <c r="N37" i="14"/>
  <c r="F37" i="14"/>
  <c r="V36" i="14"/>
  <c r="N36" i="14"/>
  <c r="F36" i="14"/>
  <c r="V35" i="14"/>
  <c r="N35" i="14"/>
  <c r="F35" i="14"/>
  <c r="V34" i="14"/>
  <c r="N34" i="14"/>
  <c r="F34" i="14"/>
  <c r="V33" i="14"/>
  <c r="N33" i="14"/>
  <c r="F33" i="14"/>
  <c r="V32" i="14"/>
  <c r="N32" i="14"/>
  <c r="F32" i="14"/>
  <c r="V31" i="14"/>
  <c r="N31" i="14"/>
  <c r="F31" i="14"/>
  <c r="V30" i="14"/>
  <c r="N30" i="14"/>
  <c r="F30" i="14"/>
  <c r="V29" i="14"/>
  <c r="N29" i="14"/>
  <c r="F29" i="14"/>
  <c r="V28" i="14"/>
  <c r="N28" i="14"/>
  <c r="F28" i="14"/>
  <c r="V27" i="14"/>
  <c r="N27" i="14"/>
  <c r="F27" i="14"/>
  <c r="V26" i="14"/>
  <c r="N26" i="14"/>
  <c r="F26" i="14"/>
  <c r="V25" i="14"/>
  <c r="N25" i="14"/>
  <c r="F25" i="14"/>
  <c r="V24" i="14"/>
  <c r="N24" i="14"/>
  <c r="F24" i="14"/>
  <c r="V23" i="14"/>
  <c r="N23" i="14"/>
  <c r="F23" i="14"/>
  <c r="V22" i="14"/>
  <c r="N22" i="14"/>
  <c r="F22" i="14"/>
  <c r="V21" i="14"/>
  <c r="N21" i="14"/>
  <c r="F21" i="14"/>
  <c r="V20" i="14"/>
  <c r="N20" i="14"/>
  <c r="F20" i="14"/>
  <c r="V19" i="14"/>
  <c r="N19" i="14"/>
  <c r="F19" i="14"/>
  <c r="V18" i="14"/>
  <c r="N18" i="14"/>
  <c r="F18" i="14"/>
  <c r="V17" i="14"/>
  <c r="N17" i="14"/>
  <c r="F17" i="14"/>
  <c r="V16" i="14"/>
  <c r="N16" i="14"/>
  <c r="F16" i="14"/>
  <c r="V15" i="14"/>
  <c r="N15" i="14"/>
  <c r="F15" i="14"/>
  <c r="V14" i="14"/>
  <c r="N14" i="14"/>
  <c r="F14" i="14"/>
  <c r="V13" i="14"/>
  <c r="N13" i="14"/>
  <c r="F13" i="14"/>
  <c r="V12" i="14"/>
  <c r="N12" i="14"/>
  <c r="F12" i="14"/>
  <c r="A12" i="14"/>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V11" i="14"/>
  <c r="N11" i="14"/>
  <c r="F11" i="14"/>
  <c r="V7" i="14"/>
  <c r="N7" i="14"/>
  <c r="F7" i="14"/>
  <c r="V6" i="14"/>
  <c r="N6" i="14"/>
  <c r="F6" i="14"/>
  <c r="O104" i="13"/>
  <c r="G212" i="12"/>
  <c r="I212" i="12"/>
  <c r="P212" i="12" s="1"/>
  <c r="C107" i="13"/>
  <c r="A139" i="14" l="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64" i="14"/>
  <c r="A65" i="14" s="1"/>
  <c r="F8" i="14"/>
  <c r="F174" i="14" s="1"/>
  <c r="O123" i="14"/>
  <c r="F161" i="14"/>
  <c r="F177" i="14" s="1"/>
  <c r="F66" i="14"/>
  <c r="F178" i="14" s="1"/>
  <c r="F96" i="14"/>
  <c r="O7" i="14"/>
  <c r="N126" i="14"/>
  <c r="J212" i="12"/>
  <c r="O212" i="12"/>
  <c r="Q212" i="12"/>
  <c r="N212" i="12"/>
  <c r="F163" i="14" l="1"/>
  <c r="F175" i="14"/>
  <c r="F179" i="14" s="1"/>
  <c r="I218" i="12" l="1"/>
  <c r="P218" i="12" s="1"/>
  <c r="G218" i="12"/>
  <c r="C117" i="13"/>
  <c r="C90" i="13"/>
  <c r="C81" i="13"/>
  <c r="I217" i="12"/>
  <c r="P217" i="12" s="1"/>
  <c r="G217" i="12"/>
  <c r="Q81" i="12"/>
  <c r="P81" i="12"/>
  <c r="O81" i="12"/>
  <c r="N81" i="12"/>
  <c r="G81" i="12"/>
  <c r="J81" i="12" s="1"/>
  <c r="Q80" i="12"/>
  <c r="P80" i="12"/>
  <c r="O80" i="12"/>
  <c r="N80" i="12"/>
  <c r="G80" i="12"/>
  <c r="J80" i="12" s="1"/>
  <c r="J217" i="12" l="1"/>
  <c r="J218" i="12"/>
  <c r="Q218" i="12"/>
  <c r="N218" i="12"/>
  <c r="O218" i="12"/>
  <c r="Q217" i="12"/>
  <c r="N217" i="12"/>
  <c r="O217" i="12"/>
  <c r="Q88" i="12" l="1"/>
  <c r="P88" i="12"/>
  <c r="O88" i="12"/>
  <c r="N88" i="12"/>
  <c r="G88" i="12"/>
  <c r="J88" i="12" s="1"/>
  <c r="I206" i="12"/>
  <c r="Q206" i="12" s="1"/>
  <c r="G206" i="12"/>
  <c r="I216" i="12"/>
  <c r="N216" i="12" s="1"/>
  <c r="Q87" i="12"/>
  <c r="P87" i="12"/>
  <c r="O87" i="12"/>
  <c r="N87" i="12"/>
  <c r="G87" i="12"/>
  <c r="J87" i="12" s="1"/>
  <c r="G216" i="12"/>
  <c r="J206" i="12" l="1"/>
  <c r="N206" i="12"/>
  <c r="O206" i="12"/>
  <c r="P206" i="12"/>
  <c r="O216" i="12"/>
  <c r="P216" i="12"/>
  <c r="Q216" i="12"/>
  <c r="Q219" i="12" s="1"/>
  <c r="J216" i="12"/>
  <c r="A66" i="13"/>
  <c r="Q65" i="12"/>
  <c r="P65" i="12"/>
  <c r="O65" i="12"/>
  <c r="N65" i="12"/>
  <c r="G65" i="12"/>
  <c r="J65" i="12" s="1"/>
  <c r="M174" i="13" l="1"/>
  <c r="K174" i="13"/>
  <c r="J174" i="13"/>
  <c r="O178" i="13"/>
  <c r="N173" i="13"/>
  <c r="N172" i="13"/>
  <c r="N171" i="13"/>
  <c r="N170" i="13"/>
  <c r="N169" i="13"/>
  <c r="N118" i="13"/>
  <c r="N64" i="13"/>
  <c r="N82" i="13"/>
  <c r="N168" i="13"/>
  <c r="N167" i="13"/>
  <c r="N166" i="13"/>
  <c r="N165" i="13"/>
  <c r="N108" i="13"/>
  <c r="N164" i="13"/>
  <c r="N163" i="13"/>
  <c r="N162" i="13"/>
  <c r="N161" i="13"/>
  <c r="N160" i="13"/>
  <c r="N159" i="13"/>
  <c r="N158" i="13"/>
  <c r="N157" i="13"/>
  <c r="N156" i="13"/>
  <c r="N155" i="13"/>
  <c r="N154" i="13"/>
  <c r="N153" i="13"/>
  <c r="N152" i="13"/>
  <c r="N151" i="13"/>
  <c r="N150" i="13"/>
  <c r="N149" i="13"/>
  <c r="N148" i="13"/>
  <c r="N147" i="13"/>
  <c r="N146" i="13"/>
  <c r="N145" i="13"/>
  <c r="N144" i="13"/>
  <c r="N143" i="13"/>
  <c r="N142" i="13"/>
  <c r="N67" i="13"/>
  <c r="N141" i="13"/>
  <c r="N83" i="13"/>
  <c r="N140" i="13"/>
  <c r="N139" i="13"/>
  <c r="N91" i="13"/>
  <c r="L138" i="13"/>
  <c r="L174" i="13" s="1"/>
  <c r="N66" i="13"/>
  <c r="N137" i="13"/>
  <c r="N136" i="13"/>
  <c r="N135" i="13"/>
  <c r="N134" i="13"/>
  <c r="N114" i="13"/>
  <c r="N112" i="13"/>
  <c r="N133" i="13"/>
  <c r="N132" i="13"/>
  <c r="N131" i="13"/>
  <c r="N130" i="13"/>
  <c r="N129" i="13"/>
  <c r="N128" i="13"/>
  <c r="N100" i="13"/>
  <c r="N99" i="13"/>
  <c r="N98" i="13"/>
  <c r="N88" i="13"/>
  <c r="N97" i="13"/>
  <c r="N127" i="13"/>
  <c r="N126" i="13"/>
  <c r="N125" i="13"/>
  <c r="N124" i="13"/>
  <c r="N123" i="13"/>
  <c r="N122" i="13"/>
  <c r="N121" i="13"/>
  <c r="N120" i="13"/>
  <c r="N101" i="13"/>
  <c r="N119" i="13"/>
  <c r="N96" i="13"/>
  <c r="N95" i="13"/>
  <c r="N94" i="13"/>
  <c r="N117" i="13"/>
  <c r="N93" i="13"/>
  <c r="N92" i="13"/>
  <c r="N90" i="13"/>
  <c r="N89" i="13"/>
  <c r="N87" i="13"/>
  <c r="N116" i="13"/>
  <c r="N115" i="13"/>
  <c r="N113" i="13"/>
  <c r="N111" i="13"/>
  <c r="N86" i="13"/>
  <c r="N110" i="13"/>
  <c r="N109" i="13"/>
  <c r="N65" i="13"/>
  <c r="N85" i="13"/>
  <c r="N107" i="13"/>
  <c r="N84" i="13"/>
  <c r="N81" i="13"/>
  <c r="N80" i="13"/>
  <c r="N79" i="13"/>
  <c r="N78" i="13"/>
  <c r="N77" i="13"/>
  <c r="N76" i="13"/>
  <c r="N75" i="13"/>
  <c r="N74" i="13"/>
  <c r="N73" i="13"/>
  <c r="N72" i="13"/>
  <c r="N71" i="13"/>
  <c r="O69" i="13"/>
  <c r="N63" i="13"/>
  <c r="N62" i="13"/>
  <c r="N61" i="13"/>
  <c r="N60" i="13"/>
  <c r="N59" i="13"/>
  <c r="N58" i="13"/>
  <c r="N57" i="13"/>
  <c r="N56" i="13"/>
  <c r="N55" i="13"/>
  <c r="N54" i="13"/>
  <c r="N53" i="13"/>
  <c r="N52" i="13"/>
  <c r="N51" i="13"/>
  <c r="N50" i="13"/>
  <c r="N49" i="13"/>
  <c r="N48" i="13"/>
  <c r="N47" i="13"/>
  <c r="N46" i="13"/>
  <c r="N45" i="13"/>
  <c r="N44" i="13"/>
  <c r="N43" i="13"/>
  <c r="N42" i="13"/>
  <c r="N41" i="13"/>
  <c r="N40" i="13"/>
  <c r="N39" i="13"/>
  <c r="N38" i="13"/>
  <c r="N37" i="13"/>
  <c r="N36" i="13"/>
  <c r="N35" i="13"/>
  <c r="N34" i="13"/>
  <c r="N33" i="13"/>
  <c r="N32" i="13"/>
  <c r="N31" i="13"/>
  <c r="N30" i="13"/>
  <c r="N29" i="13"/>
  <c r="N28" i="13"/>
  <c r="N27" i="13"/>
  <c r="N26" i="13"/>
  <c r="N25" i="13"/>
  <c r="N24" i="13"/>
  <c r="N23" i="13"/>
  <c r="N22" i="13"/>
  <c r="N21" i="13"/>
  <c r="N20" i="13"/>
  <c r="N19" i="13"/>
  <c r="N18" i="13"/>
  <c r="N17" i="13"/>
  <c r="N16" i="13"/>
  <c r="N15" i="13"/>
  <c r="N14" i="13"/>
  <c r="N13" i="13"/>
  <c r="N12" i="13"/>
  <c r="N11" i="13"/>
  <c r="N7" i="13"/>
  <c r="N207" i="13"/>
  <c r="N202" i="13"/>
  <c r="N201" i="13"/>
  <c r="N200" i="13"/>
  <c r="N199" i="13"/>
  <c r="N6" i="13"/>
  <c r="N138" i="13" l="1"/>
  <c r="N174" i="13"/>
  <c r="O174" i="13" s="1"/>
  <c r="V206" i="13"/>
  <c r="V201" i="13"/>
  <c r="V200" i="13"/>
  <c r="V199" i="13"/>
  <c r="V198" i="13"/>
  <c r="V174" i="13"/>
  <c r="V173" i="13"/>
  <c r="V172" i="13"/>
  <c r="V171" i="13"/>
  <c r="V170" i="13"/>
  <c r="V169" i="13"/>
  <c r="V118" i="13"/>
  <c r="V64" i="13"/>
  <c r="V82" i="13"/>
  <c r="V168" i="13"/>
  <c r="V167" i="13"/>
  <c r="V166" i="13"/>
  <c r="V165" i="13"/>
  <c r="V108" i="13"/>
  <c r="V164" i="13"/>
  <c r="V163" i="13"/>
  <c r="V162" i="13"/>
  <c r="V161" i="13"/>
  <c r="V160" i="13"/>
  <c r="V159" i="13"/>
  <c r="V158" i="13"/>
  <c r="V157" i="13"/>
  <c r="V156" i="13"/>
  <c r="V155" i="13"/>
  <c r="V154" i="13"/>
  <c r="V153" i="13"/>
  <c r="V152" i="13"/>
  <c r="V151" i="13"/>
  <c r="V150" i="13"/>
  <c r="V149" i="13"/>
  <c r="V148" i="13"/>
  <c r="V147" i="13"/>
  <c r="V146" i="13"/>
  <c r="V145" i="13"/>
  <c r="V144" i="13"/>
  <c r="V143" i="13"/>
  <c r="V142" i="13"/>
  <c r="V67" i="13"/>
  <c r="V141" i="13"/>
  <c r="V83" i="13"/>
  <c r="V140" i="13"/>
  <c r="V139" i="13"/>
  <c r="V91" i="13"/>
  <c r="V66" i="13"/>
  <c r="V137" i="13"/>
  <c r="V136" i="13"/>
  <c r="V135" i="13"/>
  <c r="V134" i="13"/>
  <c r="V114" i="13"/>
  <c r="V112" i="13"/>
  <c r="V133" i="13"/>
  <c r="V132" i="13"/>
  <c r="V131" i="13"/>
  <c r="V130" i="13"/>
  <c r="V129" i="13"/>
  <c r="V128" i="13"/>
  <c r="V100" i="13"/>
  <c r="V99" i="13"/>
  <c r="V98" i="13"/>
  <c r="V88" i="13"/>
  <c r="V97" i="13"/>
  <c r="V127" i="13"/>
  <c r="V126" i="13"/>
  <c r="V125" i="13"/>
  <c r="V124" i="13"/>
  <c r="V123" i="13"/>
  <c r="V122" i="13"/>
  <c r="V121" i="13"/>
  <c r="V120" i="13"/>
  <c r="V101" i="13"/>
  <c r="V119" i="13"/>
  <c r="V96" i="13"/>
  <c r="V95" i="13"/>
  <c r="V94" i="13"/>
  <c r="V117" i="13"/>
  <c r="V93" i="13"/>
  <c r="V92" i="13"/>
  <c r="V90" i="13"/>
  <c r="V89" i="13"/>
  <c r="V87" i="13"/>
  <c r="V116" i="13"/>
  <c r="V115" i="13"/>
  <c r="V113" i="13"/>
  <c r="V111" i="13"/>
  <c r="V86" i="13"/>
  <c r="V110" i="13"/>
  <c r="V109" i="13"/>
  <c r="V65" i="13"/>
  <c r="V85" i="13"/>
  <c r="V107" i="13"/>
  <c r="V84" i="13"/>
  <c r="V81" i="13"/>
  <c r="V80" i="13"/>
  <c r="V79" i="13"/>
  <c r="V78" i="13"/>
  <c r="V77" i="13"/>
  <c r="V76" i="13"/>
  <c r="V75" i="13"/>
  <c r="V74" i="13"/>
  <c r="V73" i="13"/>
  <c r="V72" i="13"/>
  <c r="V71" i="13"/>
  <c r="V63" i="13"/>
  <c r="V62" i="13"/>
  <c r="V61" i="13"/>
  <c r="V60" i="13"/>
  <c r="V59" i="13"/>
  <c r="V58" i="13"/>
  <c r="V57" i="13"/>
  <c r="V56" i="13"/>
  <c r="V55" i="13"/>
  <c r="V54" i="13"/>
  <c r="V53" i="13"/>
  <c r="V52" i="13"/>
  <c r="V51" i="13"/>
  <c r="V50" i="13"/>
  <c r="V49" i="13"/>
  <c r="V48" i="13"/>
  <c r="V47" i="13"/>
  <c r="V46" i="13"/>
  <c r="V45" i="13"/>
  <c r="V44" i="13"/>
  <c r="V43" i="13"/>
  <c r="V42" i="13"/>
  <c r="V41" i="13"/>
  <c r="V40" i="13"/>
  <c r="V39" i="13"/>
  <c r="V38" i="13"/>
  <c r="V37" i="13"/>
  <c r="V36" i="13"/>
  <c r="V35" i="13"/>
  <c r="V34" i="13"/>
  <c r="V33" i="13"/>
  <c r="V32" i="13"/>
  <c r="V31" i="13"/>
  <c r="V30" i="13"/>
  <c r="V29" i="13"/>
  <c r="V28" i="13"/>
  <c r="V27" i="13"/>
  <c r="V26" i="13"/>
  <c r="V25" i="13"/>
  <c r="V24" i="13"/>
  <c r="V23" i="13"/>
  <c r="V22" i="13"/>
  <c r="V21" i="13"/>
  <c r="V20" i="13"/>
  <c r="V19" i="13"/>
  <c r="V18" i="13"/>
  <c r="V17" i="13"/>
  <c r="V16" i="13"/>
  <c r="V15" i="13"/>
  <c r="V14" i="13"/>
  <c r="V13" i="13"/>
  <c r="V12" i="13"/>
  <c r="V11" i="13"/>
  <c r="V7" i="13"/>
  <c r="V208" i="13"/>
  <c r="V6" i="13"/>
  <c r="T138" i="13"/>
  <c r="V138" i="13" s="1"/>
  <c r="E206" i="13"/>
  <c r="E201" i="13"/>
  <c r="E200" i="13"/>
  <c r="A200" i="13"/>
  <c r="A201" i="13" s="1"/>
  <c r="E199" i="13"/>
  <c r="E198" i="13"/>
  <c r="A198" i="13"/>
  <c r="A199" i="13" s="1"/>
  <c r="F173" i="13"/>
  <c r="F172" i="13"/>
  <c r="F171" i="13"/>
  <c r="F170" i="13"/>
  <c r="F169" i="13"/>
  <c r="F118" i="13"/>
  <c r="F64" i="13"/>
  <c r="F82" i="13"/>
  <c r="F168" i="13"/>
  <c r="F167" i="13"/>
  <c r="A167" i="13"/>
  <c r="F166" i="13"/>
  <c r="F165" i="13"/>
  <c r="F108" i="13"/>
  <c r="F164" i="13"/>
  <c r="F163" i="13"/>
  <c r="F162" i="13"/>
  <c r="F161" i="13"/>
  <c r="F160" i="13"/>
  <c r="F159" i="13"/>
  <c r="F158" i="13"/>
  <c r="F157" i="13"/>
  <c r="F156" i="13"/>
  <c r="F155" i="13"/>
  <c r="F154" i="13"/>
  <c r="F153" i="13"/>
  <c r="F152" i="13"/>
  <c r="F151" i="13"/>
  <c r="F150" i="13"/>
  <c r="F149" i="13"/>
  <c r="F148" i="13"/>
  <c r="F147" i="13"/>
  <c r="F146" i="13"/>
  <c r="F145" i="13"/>
  <c r="F144" i="13"/>
  <c r="F143" i="13"/>
  <c r="F142" i="13"/>
  <c r="F67" i="13"/>
  <c r="F141" i="13"/>
  <c r="F83" i="13"/>
  <c r="F140" i="13"/>
  <c r="F139" i="13"/>
  <c r="F91" i="13"/>
  <c r="F66" i="13"/>
  <c r="F137" i="13"/>
  <c r="F136" i="13"/>
  <c r="F135" i="13"/>
  <c r="O135" i="13" s="1"/>
  <c r="F134" i="13"/>
  <c r="F114" i="13"/>
  <c r="F112" i="13"/>
  <c r="F133" i="13"/>
  <c r="F132" i="13"/>
  <c r="F131" i="13"/>
  <c r="F130" i="13"/>
  <c r="F129" i="13"/>
  <c r="F128" i="13"/>
  <c r="F100" i="13"/>
  <c r="F99" i="13"/>
  <c r="F98" i="13"/>
  <c r="F88" i="13"/>
  <c r="F97" i="13"/>
  <c r="F127" i="13"/>
  <c r="F126" i="13"/>
  <c r="F125" i="13"/>
  <c r="F124" i="13"/>
  <c r="F123" i="13"/>
  <c r="F122" i="13"/>
  <c r="F121" i="13"/>
  <c r="F120" i="13"/>
  <c r="F101" i="13"/>
  <c r="A101" i="13"/>
  <c r="A120" i="13" s="1"/>
  <c r="A121" i="13" s="1"/>
  <c r="A122" i="13" s="1"/>
  <c r="A123" i="13" s="1"/>
  <c r="A124" i="13" s="1"/>
  <c r="A125" i="13" s="1"/>
  <c r="A126" i="13" s="1"/>
  <c r="A127" i="13" s="1"/>
  <c r="A97" i="13" s="1"/>
  <c r="A88" i="13" s="1"/>
  <c r="A98" i="13" s="1"/>
  <c r="A99" i="13" s="1"/>
  <c r="A100" i="13" s="1"/>
  <c r="A128" i="13" s="1"/>
  <c r="A129" i="13" s="1"/>
  <c r="A130" i="13" s="1"/>
  <c r="A131" i="13" s="1"/>
  <c r="A132" i="13" s="1"/>
  <c r="F119" i="13"/>
  <c r="F96" i="13"/>
  <c r="F95" i="13"/>
  <c r="F94" i="13"/>
  <c r="F117" i="13"/>
  <c r="F93" i="13"/>
  <c r="F92" i="13"/>
  <c r="A92" i="13"/>
  <c r="A93" i="13" s="1"/>
  <c r="A117" i="13" s="1"/>
  <c r="A94" i="13" s="1"/>
  <c r="A95" i="13" s="1"/>
  <c r="A96" i="13" s="1"/>
  <c r="F90" i="13"/>
  <c r="F89" i="13"/>
  <c r="F87" i="13"/>
  <c r="F116" i="13"/>
  <c r="F115" i="13"/>
  <c r="F113" i="13"/>
  <c r="F111" i="13"/>
  <c r="F86" i="13"/>
  <c r="F110" i="13"/>
  <c r="F109" i="13"/>
  <c r="F65" i="13"/>
  <c r="F85" i="13"/>
  <c r="F107" i="13"/>
  <c r="F84" i="13"/>
  <c r="F81" i="13"/>
  <c r="F80" i="13"/>
  <c r="A80" i="13"/>
  <c r="A81" i="13" s="1"/>
  <c r="A84" i="13" s="1"/>
  <c r="A107" i="13" s="1"/>
  <c r="A85" i="13" s="1"/>
  <c r="A65" i="13" s="1"/>
  <c r="A109" i="13" s="1"/>
  <c r="A110" i="13" s="1"/>
  <c r="A86" i="13" s="1"/>
  <c r="A111" i="13" s="1"/>
  <c r="A113" i="13" s="1"/>
  <c r="A115" i="13" s="1"/>
  <c r="A116" i="13" s="1"/>
  <c r="A87" i="13" s="1"/>
  <c r="A89" i="13" s="1"/>
  <c r="F79" i="13"/>
  <c r="F78" i="13"/>
  <c r="F77" i="13"/>
  <c r="A77" i="13"/>
  <c r="A78" i="13" s="1"/>
  <c r="F76" i="13"/>
  <c r="F75" i="13"/>
  <c r="F74" i="13"/>
  <c r="A74" i="13"/>
  <c r="A75" i="13" s="1"/>
  <c r="F73" i="13"/>
  <c r="F72" i="13"/>
  <c r="A72" i="13"/>
  <c r="F71" i="13"/>
  <c r="F63" i="13"/>
  <c r="O63" i="13" s="1"/>
  <c r="F62" i="13"/>
  <c r="A62" i="13"/>
  <c r="F61" i="13"/>
  <c r="F60" i="13"/>
  <c r="F59" i="13"/>
  <c r="A59" i="13"/>
  <c r="A60" i="13" s="1"/>
  <c r="F58" i="13"/>
  <c r="F57" i="13"/>
  <c r="F56" i="13"/>
  <c r="F55" i="13"/>
  <c r="F54" i="13"/>
  <c r="F53" i="13"/>
  <c r="F52" i="13"/>
  <c r="F51" i="13"/>
  <c r="F50" i="13"/>
  <c r="F49" i="13"/>
  <c r="F48" i="13"/>
  <c r="F47" i="13"/>
  <c r="A47" i="13"/>
  <c r="A48" i="13" s="1"/>
  <c r="A49" i="13" s="1"/>
  <c r="A50" i="13" s="1"/>
  <c r="A51" i="13" s="1"/>
  <c r="A52" i="13" s="1"/>
  <c r="A53" i="13" s="1"/>
  <c r="A54" i="13" s="1"/>
  <c r="A55" i="13" s="1"/>
  <c r="A56" i="13" s="1"/>
  <c r="A57" i="13" s="1"/>
  <c r="F46" i="13"/>
  <c r="F45" i="13"/>
  <c r="F44" i="13"/>
  <c r="F43" i="13"/>
  <c r="A43" i="13"/>
  <c r="A44" i="13" s="1"/>
  <c r="A45" i="13" s="1"/>
  <c r="F42" i="13"/>
  <c r="F41" i="13"/>
  <c r="F40" i="13"/>
  <c r="F39" i="13"/>
  <c r="F38" i="13"/>
  <c r="A38" i="13"/>
  <c r="F37" i="13"/>
  <c r="F36" i="13"/>
  <c r="F35" i="13"/>
  <c r="F34" i="13"/>
  <c r="F33" i="13"/>
  <c r="A33" i="13"/>
  <c r="A34" i="13" s="1"/>
  <c r="A35" i="13" s="1"/>
  <c r="A36" i="13" s="1"/>
  <c r="F32" i="13"/>
  <c r="F31" i="13"/>
  <c r="F30" i="13"/>
  <c r="F29" i="13"/>
  <c r="F28" i="13"/>
  <c r="F27" i="13"/>
  <c r="A27" i="13"/>
  <c r="A28" i="13" s="1"/>
  <c r="A29" i="13" s="1"/>
  <c r="A30" i="13" s="1"/>
  <c r="A31" i="13" s="1"/>
  <c r="F26" i="13"/>
  <c r="F25" i="13"/>
  <c r="F24" i="13"/>
  <c r="F23" i="13"/>
  <c r="F22" i="13"/>
  <c r="F21" i="13"/>
  <c r="F20" i="13"/>
  <c r="F19" i="13"/>
  <c r="F18" i="13"/>
  <c r="F17" i="13"/>
  <c r="F16" i="13"/>
  <c r="F15" i="13"/>
  <c r="F14" i="13"/>
  <c r="F13" i="13"/>
  <c r="F12" i="13"/>
  <c r="A12" i="13"/>
  <c r="A13" i="13" s="1"/>
  <c r="A14" i="13" s="1"/>
  <c r="A15" i="13" s="1"/>
  <c r="A16" i="13" s="1"/>
  <c r="A17" i="13" s="1"/>
  <c r="A18" i="13" s="1"/>
  <c r="A19" i="13" s="1"/>
  <c r="A20" i="13" s="1"/>
  <c r="A21" i="13" s="1"/>
  <c r="A22" i="13" s="1"/>
  <c r="A23" i="13" s="1"/>
  <c r="A24" i="13" s="1"/>
  <c r="A25" i="13" s="1"/>
  <c r="F11" i="13"/>
  <c r="F7" i="13"/>
  <c r="O7" i="13" s="1"/>
  <c r="F208" i="13"/>
  <c r="F6" i="13"/>
  <c r="F103" i="13" l="1"/>
  <c r="F68" i="13"/>
  <c r="F8" i="13"/>
  <c r="F201" i="13"/>
  <c r="F138" i="13"/>
  <c r="F177" i="13" s="1"/>
  <c r="F198" i="13"/>
  <c r="F199" i="13"/>
  <c r="F200" i="13"/>
  <c r="F206" i="13"/>
  <c r="I211" i="12"/>
  <c r="Q211" i="12" s="1"/>
  <c r="G211" i="12"/>
  <c r="Q7" i="12"/>
  <c r="P7" i="12"/>
  <c r="O7" i="12"/>
  <c r="N7" i="12"/>
  <c r="G7" i="12"/>
  <c r="J7" i="12" s="1"/>
  <c r="I205" i="12"/>
  <c r="Q205" i="12" s="1"/>
  <c r="G205" i="12"/>
  <c r="I204" i="12"/>
  <c r="Q204" i="12" s="1"/>
  <c r="G204" i="12"/>
  <c r="A204" i="12"/>
  <c r="A205" i="12" s="1"/>
  <c r="Q169" i="12"/>
  <c r="P169" i="12"/>
  <c r="O169" i="12"/>
  <c r="N169" i="12"/>
  <c r="G169" i="12"/>
  <c r="J169" i="12" s="1"/>
  <c r="A169" i="12"/>
  <c r="I203" i="12"/>
  <c r="O203" i="12" s="1"/>
  <c r="G203" i="12"/>
  <c r="I202" i="12"/>
  <c r="Q202" i="12" s="1"/>
  <c r="G202" i="12"/>
  <c r="A202" i="12"/>
  <c r="A203" i="12" s="1"/>
  <c r="R185" i="12"/>
  <c r="Q180" i="12"/>
  <c r="P180" i="12"/>
  <c r="O180" i="12"/>
  <c r="N180" i="12"/>
  <c r="Q179" i="12"/>
  <c r="P179" i="12"/>
  <c r="O179" i="12"/>
  <c r="N179" i="12"/>
  <c r="Q178" i="12"/>
  <c r="P178" i="12"/>
  <c r="O178" i="12"/>
  <c r="N178" i="12"/>
  <c r="Q177" i="12"/>
  <c r="P177" i="12"/>
  <c r="O177" i="12"/>
  <c r="N177" i="12"/>
  <c r="Q176" i="12"/>
  <c r="P176" i="12"/>
  <c r="O176" i="12"/>
  <c r="N176" i="12"/>
  <c r="Q175" i="12"/>
  <c r="P175" i="12"/>
  <c r="O175" i="12"/>
  <c r="N175" i="12"/>
  <c r="Q174" i="12"/>
  <c r="P174" i="12"/>
  <c r="O174" i="12"/>
  <c r="N174" i="12"/>
  <c r="Q173" i="12"/>
  <c r="P173" i="12"/>
  <c r="O173" i="12"/>
  <c r="N173" i="12"/>
  <c r="Q104" i="12"/>
  <c r="P104" i="12"/>
  <c r="O104" i="12"/>
  <c r="N104" i="12"/>
  <c r="Q172" i="12"/>
  <c r="P172" i="12"/>
  <c r="O172" i="12"/>
  <c r="N172" i="12"/>
  <c r="Q171" i="12"/>
  <c r="P171" i="12"/>
  <c r="O171" i="12"/>
  <c r="N171" i="12"/>
  <c r="Q170" i="12"/>
  <c r="P170" i="12"/>
  <c r="O170" i="12"/>
  <c r="N170" i="12"/>
  <c r="Q168" i="12"/>
  <c r="P168" i="12"/>
  <c r="O168" i="12"/>
  <c r="N168" i="12"/>
  <c r="Q167" i="12"/>
  <c r="P167" i="12"/>
  <c r="O167" i="12"/>
  <c r="N167" i="12"/>
  <c r="Q84" i="12"/>
  <c r="P84" i="12"/>
  <c r="O84" i="12"/>
  <c r="N84" i="12"/>
  <c r="Q166" i="12"/>
  <c r="P166" i="12"/>
  <c r="O166" i="12"/>
  <c r="N166" i="12"/>
  <c r="Q165" i="12"/>
  <c r="P165" i="12"/>
  <c r="O165" i="12"/>
  <c r="N165" i="12"/>
  <c r="Q164" i="12"/>
  <c r="P164" i="12"/>
  <c r="O164" i="12"/>
  <c r="N164" i="12"/>
  <c r="Q163" i="12"/>
  <c r="P163" i="12"/>
  <c r="O163" i="12"/>
  <c r="N163" i="12"/>
  <c r="Q162" i="12"/>
  <c r="P162" i="12"/>
  <c r="O162" i="12"/>
  <c r="N162" i="12"/>
  <c r="Q161" i="12"/>
  <c r="P161" i="12"/>
  <c r="O161" i="12"/>
  <c r="N161" i="12"/>
  <c r="Q160" i="12"/>
  <c r="P160" i="12"/>
  <c r="O160" i="12"/>
  <c r="N160" i="12"/>
  <c r="Q159" i="12"/>
  <c r="P159" i="12"/>
  <c r="O159" i="12"/>
  <c r="N159" i="12"/>
  <c r="Q158" i="12"/>
  <c r="P158" i="12"/>
  <c r="O158" i="12"/>
  <c r="N158" i="12"/>
  <c r="Q157" i="12"/>
  <c r="P157" i="12"/>
  <c r="O157" i="12"/>
  <c r="N157" i="12"/>
  <c r="Q156" i="12"/>
  <c r="P156" i="12"/>
  <c r="O156" i="12"/>
  <c r="N156" i="12"/>
  <c r="Q155" i="12"/>
  <c r="P155" i="12"/>
  <c r="O155" i="12"/>
  <c r="N155" i="12"/>
  <c r="Q98" i="12"/>
  <c r="P98" i="12"/>
  <c r="O98" i="12"/>
  <c r="N98" i="12"/>
  <c r="Q154" i="12"/>
  <c r="P154" i="12"/>
  <c r="O154" i="12"/>
  <c r="N154" i="12"/>
  <c r="Q153" i="12"/>
  <c r="P153" i="12"/>
  <c r="O153" i="12"/>
  <c r="N153" i="12"/>
  <c r="Q152" i="12"/>
  <c r="P152" i="12"/>
  <c r="O152" i="12"/>
  <c r="N152" i="12"/>
  <c r="Q151" i="12"/>
  <c r="P151" i="12"/>
  <c r="O151" i="12"/>
  <c r="N151" i="12"/>
  <c r="Q150" i="12"/>
  <c r="P150" i="12"/>
  <c r="O150" i="12"/>
  <c r="N150" i="12"/>
  <c r="Q149" i="12"/>
  <c r="P149" i="12"/>
  <c r="O149" i="12"/>
  <c r="N149" i="12"/>
  <c r="Q148" i="12"/>
  <c r="P148" i="12"/>
  <c r="O148" i="12"/>
  <c r="N148" i="12"/>
  <c r="Q147" i="12"/>
  <c r="P147" i="12"/>
  <c r="O147" i="12"/>
  <c r="N147" i="12"/>
  <c r="Q146" i="12"/>
  <c r="P146" i="12"/>
  <c r="O146" i="12"/>
  <c r="N146" i="12"/>
  <c r="Q145" i="12"/>
  <c r="P145" i="12"/>
  <c r="O145" i="12"/>
  <c r="N145" i="12"/>
  <c r="Q144" i="12"/>
  <c r="P144" i="12"/>
  <c r="O144" i="12"/>
  <c r="N144" i="12"/>
  <c r="Q143" i="12"/>
  <c r="P143" i="12"/>
  <c r="O143" i="12"/>
  <c r="N143" i="12"/>
  <c r="Q142" i="12"/>
  <c r="P142" i="12"/>
  <c r="O142" i="12"/>
  <c r="N142" i="12"/>
  <c r="Q141" i="12"/>
  <c r="P141" i="12"/>
  <c r="O141" i="12"/>
  <c r="N141" i="12"/>
  <c r="Q140" i="12"/>
  <c r="P140" i="12"/>
  <c r="O140" i="12"/>
  <c r="N140" i="12"/>
  <c r="Q139" i="12"/>
  <c r="P139" i="12"/>
  <c r="O139" i="12"/>
  <c r="N139" i="12"/>
  <c r="Q138" i="12"/>
  <c r="O138" i="12"/>
  <c r="N138" i="12"/>
  <c r="Q137" i="12"/>
  <c r="P137" i="12"/>
  <c r="O137" i="12"/>
  <c r="N137" i="12"/>
  <c r="Q136" i="12"/>
  <c r="P136" i="12"/>
  <c r="O136" i="12"/>
  <c r="N136" i="12"/>
  <c r="Q135" i="12"/>
  <c r="P135" i="12"/>
  <c r="O135" i="12"/>
  <c r="N135" i="12"/>
  <c r="Q134" i="12"/>
  <c r="P134" i="12"/>
  <c r="O134" i="12"/>
  <c r="N134" i="12"/>
  <c r="Q132" i="12"/>
  <c r="P132" i="12"/>
  <c r="O132" i="12"/>
  <c r="N132" i="12"/>
  <c r="Q131" i="12"/>
  <c r="P131" i="12"/>
  <c r="O131" i="12"/>
  <c r="N131" i="12"/>
  <c r="Q130" i="12"/>
  <c r="P130" i="12"/>
  <c r="O130" i="12"/>
  <c r="N130" i="12"/>
  <c r="Q129" i="12"/>
  <c r="P129" i="12"/>
  <c r="O129" i="12"/>
  <c r="N129" i="12"/>
  <c r="Q128" i="12"/>
  <c r="P128" i="12"/>
  <c r="O128" i="12"/>
  <c r="N128" i="12"/>
  <c r="Q127" i="12"/>
  <c r="P127" i="12"/>
  <c r="O127" i="12"/>
  <c r="N127" i="12"/>
  <c r="Q126" i="12"/>
  <c r="P126" i="12"/>
  <c r="O126" i="12"/>
  <c r="N126" i="12"/>
  <c r="Q125" i="12"/>
  <c r="P125" i="12"/>
  <c r="O125" i="12"/>
  <c r="N125" i="12"/>
  <c r="Q124" i="12"/>
  <c r="P124" i="12"/>
  <c r="O124" i="12"/>
  <c r="N124" i="12"/>
  <c r="Q123" i="12"/>
  <c r="P123" i="12"/>
  <c r="O123" i="12"/>
  <c r="N123" i="12"/>
  <c r="Q122" i="12"/>
  <c r="P122" i="12"/>
  <c r="O122" i="12"/>
  <c r="N122" i="12"/>
  <c r="Q121" i="12"/>
  <c r="P121" i="12"/>
  <c r="O121" i="12"/>
  <c r="N121" i="12"/>
  <c r="Q120" i="12"/>
  <c r="P120" i="12"/>
  <c r="O120" i="12"/>
  <c r="N120" i="12"/>
  <c r="Q97" i="12"/>
  <c r="P97" i="12"/>
  <c r="O97" i="12"/>
  <c r="N97" i="12"/>
  <c r="Q119" i="12"/>
  <c r="P119" i="12"/>
  <c r="O119" i="12"/>
  <c r="N119" i="12"/>
  <c r="Q118" i="12"/>
  <c r="P118" i="12"/>
  <c r="O118" i="12"/>
  <c r="N118" i="12"/>
  <c r="Q117" i="12"/>
  <c r="P117" i="12"/>
  <c r="O117" i="12"/>
  <c r="N117" i="12"/>
  <c r="Q116" i="12"/>
  <c r="P116" i="12"/>
  <c r="O116" i="12"/>
  <c r="N116" i="12"/>
  <c r="Q115" i="12"/>
  <c r="P115" i="12"/>
  <c r="O115" i="12"/>
  <c r="N115" i="12"/>
  <c r="Q114" i="12"/>
  <c r="P114" i="12"/>
  <c r="O114" i="12"/>
  <c r="N114" i="12"/>
  <c r="Q113" i="12"/>
  <c r="P113" i="12"/>
  <c r="O113" i="12"/>
  <c r="N113" i="12"/>
  <c r="Q112" i="12"/>
  <c r="P112" i="12"/>
  <c r="O112" i="12"/>
  <c r="N112" i="12"/>
  <c r="Q111" i="12"/>
  <c r="P111" i="12"/>
  <c r="O111" i="12"/>
  <c r="N111" i="12"/>
  <c r="Q110" i="12"/>
  <c r="P110" i="12"/>
  <c r="O110" i="12"/>
  <c r="N110" i="12"/>
  <c r="Q109" i="12"/>
  <c r="P109" i="12"/>
  <c r="O109" i="12"/>
  <c r="N109" i="12"/>
  <c r="Q108" i="12"/>
  <c r="P108" i="12"/>
  <c r="O108" i="12"/>
  <c r="N108" i="12"/>
  <c r="Q107" i="12"/>
  <c r="P107" i="12"/>
  <c r="O107" i="12"/>
  <c r="N107" i="12"/>
  <c r="Q106" i="12"/>
  <c r="P106" i="12"/>
  <c r="O106" i="12"/>
  <c r="N106" i="12"/>
  <c r="Q103" i="12"/>
  <c r="P103" i="12"/>
  <c r="O103" i="12"/>
  <c r="N103" i="12"/>
  <c r="Q102" i="12"/>
  <c r="P102" i="12"/>
  <c r="O102" i="12"/>
  <c r="N102" i="12"/>
  <c r="Q101" i="12"/>
  <c r="P101" i="12"/>
  <c r="O101" i="12"/>
  <c r="N101" i="12"/>
  <c r="Q100" i="12"/>
  <c r="P100" i="12"/>
  <c r="O100" i="12"/>
  <c r="N100" i="12"/>
  <c r="Q99" i="12"/>
  <c r="P99" i="12"/>
  <c r="O99" i="12"/>
  <c r="N99" i="12"/>
  <c r="Q96" i="12"/>
  <c r="P96" i="12"/>
  <c r="O96" i="12"/>
  <c r="N96" i="12"/>
  <c r="Q95" i="12"/>
  <c r="P95" i="12"/>
  <c r="O95" i="12"/>
  <c r="N95" i="12"/>
  <c r="Q94" i="12"/>
  <c r="P94" i="12"/>
  <c r="O94" i="12"/>
  <c r="N94" i="12"/>
  <c r="Q93" i="12"/>
  <c r="P93" i="12"/>
  <c r="O93" i="12"/>
  <c r="N93" i="12"/>
  <c r="Q92" i="12"/>
  <c r="P92" i="12"/>
  <c r="O92" i="12"/>
  <c r="N92" i="12"/>
  <c r="Q91" i="12"/>
  <c r="P91" i="12"/>
  <c r="O91" i="12"/>
  <c r="N91" i="12"/>
  <c r="Q90" i="12"/>
  <c r="P90" i="12"/>
  <c r="O90" i="12"/>
  <c r="N90" i="12"/>
  <c r="Q89" i="12"/>
  <c r="P89" i="12"/>
  <c r="O89" i="12"/>
  <c r="N89" i="12"/>
  <c r="Q86" i="12"/>
  <c r="P86" i="12"/>
  <c r="O86" i="12"/>
  <c r="N86" i="12"/>
  <c r="Q85" i="12"/>
  <c r="P85" i="12"/>
  <c r="O85" i="12"/>
  <c r="N85" i="12"/>
  <c r="Q83" i="12"/>
  <c r="P83" i="12"/>
  <c r="O83" i="12"/>
  <c r="N83" i="12"/>
  <c r="Q82" i="12"/>
  <c r="P82" i="12"/>
  <c r="O82" i="12"/>
  <c r="N82" i="12"/>
  <c r="Q79" i="12"/>
  <c r="P79" i="12"/>
  <c r="O79" i="12"/>
  <c r="N79" i="12"/>
  <c r="Q78" i="12"/>
  <c r="P78" i="12"/>
  <c r="O78" i="12"/>
  <c r="N78" i="12"/>
  <c r="Q77" i="12"/>
  <c r="P77" i="12"/>
  <c r="O77" i="12"/>
  <c r="N77" i="12"/>
  <c r="Q76" i="12"/>
  <c r="P76" i="12"/>
  <c r="O76" i="12"/>
  <c r="N76" i="12"/>
  <c r="Q75" i="12"/>
  <c r="P75" i="12"/>
  <c r="O75" i="12"/>
  <c r="N75" i="12"/>
  <c r="Q74" i="12"/>
  <c r="P74" i="12"/>
  <c r="O74" i="12"/>
  <c r="N74" i="12"/>
  <c r="Q73" i="12"/>
  <c r="P73" i="12"/>
  <c r="O73" i="12"/>
  <c r="N73" i="12"/>
  <c r="Q72" i="12"/>
  <c r="P72" i="12"/>
  <c r="O72" i="12"/>
  <c r="N72" i="12"/>
  <c r="Q71" i="12"/>
  <c r="P71" i="12"/>
  <c r="O71" i="12"/>
  <c r="N71" i="12"/>
  <c r="Q70" i="12"/>
  <c r="P70" i="12"/>
  <c r="O70" i="12"/>
  <c r="N70" i="12"/>
  <c r="Q69" i="12"/>
  <c r="P69" i="12"/>
  <c r="O69" i="12"/>
  <c r="N69" i="12"/>
  <c r="Q68" i="12"/>
  <c r="P68" i="12"/>
  <c r="O68" i="12"/>
  <c r="N68" i="12"/>
  <c r="Q67" i="12"/>
  <c r="P67" i="12"/>
  <c r="O67" i="12"/>
  <c r="N67" i="12"/>
  <c r="Q64" i="12"/>
  <c r="P64" i="12"/>
  <c r="O64" i="12"/>
  <c r="N64" i="12"/>
  <c r="Q63" i="12"/>
  <c r="P63" i="12"/>
  <c r="O63" i="12"/>
  <c r="N63" i="12"/>
  <c r="Q62" i="12"/>
  <c r="P62" i="12"/>
  <c r="O62" i="12"/>
  <c r="N62" i="12"/>
  <c r="Q61" i="12"/>
  <c r="P61" i="12"/>
  <c r="O61" i="12"/>
  <c r="N61" i="12"/>
  <c r="Q60" i="12"/>
  <c r="P60" i="12"/>
  <c r="O60" i="12"/>
  <c r="N60" i="12"/>
  <c r="Q59" i="12"/>
  <c r="P59" i="12"/>
  <c r="O59" i="12"/>
  <c r="N59" i="12"/>
  <c r="Q58" i="12"/>
  <c r="P58" i="12"/>
  <c r="O58" i="12"/>
  <c r="N58" i="12"/>
  <c r="Q57" i="12"/>
  <c r="P57" i="12"/>
  <c r="O57" i="12"/>
  <c r="N57" i="12"/>
  <c r="Q56" i="12"/>
  <c r="P56" i="12"/>
  <c r="O56" i="12"/>
  <c r="N56" i="12"/>
  <c r="Q55" i="12"/>
  <c r="P55" i="12"/>
  <c r="O55" i="12"/>
  <c r="N55" i="12"/>
  <c r="Q54" i="12"/>
  <c r="P54" i="12"/>
  <c r="O54" i="12"/>
  <c r="N54" i="12"/>
  <c r="Q53" i="12"/>
  <c r="P53" i="12"/>
  <c r="O53" i="12"/>
  <c r="N53" i="12"/>
  <c r="Q52" i="12"/>
  <c r="P52" i="12"/>
  <c r="O52" i="12"/>
  <c r="N52" i="12"/>
  <c r="Q51" i="12"/>
  <c r="P51" i="12"/>
  <c r="O51" i="12"/>
  <c r="N51" i="12"/>
  <c r="Q50" i="12"/>
  <c r="P50" i="12"/>
  <c r="O50" i="12"/>
  <c r="N50" i="12"/>
  <c r="Q49" i="12"/>
  <c r="P49" i="12"/>
  <c r="O49" i="12"/>
  <c r="N49" i="12"/>
  <c r="Q48" i="12"/>
  <c r="P48" i="12"/>
  <c r="O48" i="12"/>
  <c r="N48" i="12"/>
  <c r="Q47" i="12"/>
  <c r="P47" i="12"/>
  <c r="O47" i="12"/>
  <c r="N47" i="12"/>
  <c r="Q46" i="12"/>
  <c r="P46" i="12"/>
  <c r="O46" i="12"/>
  <c r="N46" i="12"/>
  <c r="Q45" i="12"/>
  <c r="P45" i="12"/>
  <c r="O45" i="12"/>
  <c r="N45" i="12"/>
  <c r="Q44" i="12"/>
  <c r="P44" i="12"/>
  <c r="O44" i="12"/>
  <c r="N44" i="12"/>
  <c r="Q43" i="12"/>
  <c r="P43" i="12"/>
  <c r="O43" i="12"/>
  <c r="N43" i="12"/>
  <c r="Q42" i="12"/>
  <c r="P42" i="12"/>
  <c r="O42" i="12"/>
  <c r="N42" i="12"/>
  <c r="Q41" i="12"/>
  <c r="P41" i="12"/>
  <c r="O41" i="12"/>
  <c r="N41" i="12"/>
  <c r="Q40" i="12"/>
  <c r="P40" i="12"/>
  <c r="O40" i="12"/>
  <c r="N40" i="12"/>
  <c r="Q39" i="12"/>
  <c r="P39" i="12"/>
  <c r="O39" i="12"/>
  <c r="N39" i="12"/>
  <c r="Q38" i="12"/>
  <c r="P38" i="12"/>
  <c r="O38" i="12"/>
  <c r="N38" i="12"/>
  <c r="Q37" i="12"/>
  <c r="P37" i="12"/>
  <c r="O37" i="12"/>
  <c r="N37" i="12"/>
  <c r="Q36" i="12"/>
  <c r="P36" i="12"/>
  <c r="O36" i="12"/>
  <c r="N36" i="12"/>
  <c r="Q35" i="12"/>
  <c r="P35" i="12"/>
  <c r="O35" i="12"/>
  <c r="N35" i="12"/>
  <c r="Q34" i="12"/>
  <c r="P34" i="12"/>
  <c r="O34" i="12"/>
  <c r="N34" i="12"/>
  <c r="Q33" i="12"/>
  <c r="P33" i="12"/>
  <c r="O33" i="12"/>
  <c r="N33" i="12"/>
  <c r="Q32" i="12"/>
  <c r="P32" i="12"/>
  <c r="O32" i="12"/>
  <c r="N32" i="12"/>
  <c r="Q31" i="12"/>
  <c r="P31" i="12"/>
  <c r="O31" i="12"/>
  <c r="N31" i="12"/>
  <c r="Q30" i="12"/>
  <c r="P30" i="12"/>
  <c r="O30" i="12"/>
  <c r="N30" i="12"/>
  <c r="Q29" i="12"/>
  <c r="P29" i="12"/>
  <c r="O29" i="12"/>
  <c r="N29" i="12"/>
  <c r="Q28" i="12"/>
  <c r="P28" i="12"/>
  <c r="O28" i="12"/>
  <c r="N28" i="12"/>
  <c r="Q27" i="12"/>
  <c r="P27" i="12"/>
  <c r="O27" i="12"/>
  <c r="N27" i="12"/>
  <c r="Q26" i="12"/>
  <c r="P26" i="12"/>
  <c r="O26" i="12"/>
  <c r="N26" i="12"/>
  <c r="Q25" i="12"/>
  <c r="P25" i="12"/>
  <c r="O25" i="12"/>
  <c r="N25" i="12"/>
  <c r="Q24" i="12"/>
  <c r="P24" i="12"/>
  <c r="O24" i="12"/>
  <c r="N24" i="12"/>
  <c r="Q23" i="12"/>
  <c r="P23" i="12"/>
  <c r="O23" i="12"/>
  <c r="N23" i="12"/>
  <c r="Q22" i="12"/>
  <c r="P22" i="12"/>
  <c r="O22" i="12"/>
  <c r="N22" i="12"/>
  <c r="Q21" i="12"/>
  <c r="P21" i="12"/>
  <c r="O21" i="12"/>
  <c r="N21" i="12"/>
  <c r="Q20" i="12"/>
  <c r="P20" i="12"/>
  <c r="O20" i="12"/>
  <c r="N20" i="12"/>
  <c r="Q19" i="12"/>
  <c r="P19" i="12"/>
  <c r="O19" i="12"/>
  <c r="N19" i="12"/>
  <c r="Q18" i="12"/>
  <c r="P18" i="12"/>
  <c r="O18" i="12"/>
  <c r="N18" i="12"/>
  <c r="Q17" i="12"/>
  <c r="P17" i="12"/>
  <c r="O17" i="12"/>
  <c r="N17" i="12"/>
  <c r="Q16" i="12"/>
  <c r="P16" i="12"/>
  <c r="O16" i="12"/>
  <c r="N16" i="12"/>
  <c r="Q15" i="12"/>
  <c r="P15" i="12"/>
  <c r="O15" i="12"/>
  <c r="N15" i="12"/>
  <c r="Q14" i="12"/>
  <c r="P14" i="12"/>
  <c r="O14" i="12"/>
  <c r="N14" i="12"/>
  <c r="Q13" i="12"/>
  <c r="P13" i="12"/>
  <c r="O13" i="12"/>
  <c r="N13" i="12"/>
  <c r="Q12" i="12"/>
  <c r="P12" i="12"/>
  <c r="O12" i="12"/>
  <c r="N12" i="12"/>
  <c r="Q11" i="12"/>
  <c r="P11" i="12"/>
  <c r="O11" i="12"/>
  <c r="N11" i="12"/>
  <c r="Q10" i="12"/>
  <c r="P10" i="12"/>
  <c r="O10" i="12"/>
  <c r="N10" i="12"/>
  <c r="Q8" i="12"/>
  <c r="P8" i="12"/>
  <c r="O8" i="12"/>
  <c r="N8" i="12"/>
  <c r="G178" i="12"/>
  <c r="J178" i="12" s="1"/>
  <c r="G177" i="12"/>
  <c r="J177" i="12" s="1"/>
  <c r="G176" i="12"/>
  <c r="J176" i="12" s="1"/>
  <c r="G175" i="12"/>
  <c r="J175" i="12" s="1"/>
  <c r="G174" i="12"/>
  <c r="J174" i="12" s="1"/>
  <c r="G173" i="12"/>
  <c r="J173" i="12" s="1"/>
  <c r="G104" i="12"/>
  <c r="J104" i="12" s="1"/>
  <c r="G172" i="12"/>
  <c r="J172" i="12" s="1"/>
  <c r="G171" i="12"/>
  <c r="J171" i="12" s="1"/>
  <c r="G170" i="12"/>
  <c r="J170" i="12" s="1"/>
  <c r="G164" i="12"/>
  <c r="J164" i="12" s="1"/>
  <c r="G165" i="12"/>
  <c r="J165" i="12" s="1"/>
  <c r="G166" i="12"/>
  <c r="J166" i="12" s="1"/>
  <c r="G84" i="12"/>
  <c r="J84" i="12" s="1"/>
  <c r="G167" i="12"/>
  <c r="J167" i="12" s="1"/>
  <c r="G168" i="12"/>
  <c r="J168" i="12" s="1"/>
  <c r="J179" i="12"/>
  <c r="G152" i="12"/>
  <c r="J152" i="12" s="1"/>
  <c r="G153" i="12"/>
  <c r="J153" i="12" s="1"/>
  <c r="G154" i="12"/>
  <c r="J154" i="12" s="1"/>
  <c r="G98" i="12"/>
  <c r="J98" i="12" s="1"/>
  <c r="G155" i="12"/>
  <c r="J155" i="12" s="1"/>
  <c r="G156" i="12"/>
  <c r="J156" i="12" s="1"/>
  <c r="G157" i="12"/>
  <c r="J157" i="12" s="1"/>
  <c r="G158" i="12"/>
  <c r="J158" i="12" s="1"/>
  <c r="G159" i="12"/>
  <c r="J159" i="12" s="1"/>
  <c r="G160" i="12"/>
  <c r="J160" i="12" s="1"/>
  <c r="G161" i="12"/>
  <c r="J161" i="12" s="1"/>
  <c r="G162" i="12"/>
  <c r="J162" i="12" s="1"/>
  <c r="G163" i="12"/>
  <c r="J163" i="12" s="1"/>
  <c r="G151" i="12"/>
  <c r="J151" i="12" s="1"/>
  <c r="G150" i="12"/>
  <c r="J150" i="12" s="1"/>
  <c r="H69" i="11"/>
  <c r="H70" i="11"/>
  <c r="H71" i="11"/>
  <c r="G137" i="12"/>
  <c r="J137" i="12" s="1"/>
  <c r="G139" i="12"/>
  <c r="J139" i="12" s="1"/>
  <c r="G140" i="12"/>
  <c r="J140" i="12" s="1"/>
  <c r="G141" i="12"/>
  <c r="J141" i="12" s="1"/>
  <c r="G142" i="12"/>
  <c r="J142" i="12" s="1"/>
  <c r="G143" i="12"/>
  <c r="J143" i="12" s="1"/>
  <c r="G144" i="12"/>
  <c r="J144" i="12" s="1"/>
  <c r="G145" i="12"/>
  <c r="J145" i="12" s="1"/>
  <c r="G146" i="12"/>
  <c r="J146" i="12" s="1"/>
  <c r="G147" i="12"/>
  <c r="J147" i="12" s="1"/>
  <c r="G148" i="12"/>
  <c r="J148" i="12" s="1"/>
  <c r="G149" i="12"/>
  <c r="J149" i="12" s="1"/>
  <c r="G136" i="12"/>
  <c r="J136" i="12" s="1"/>
  <c r="E138" i="12"/>
  <c r="P138" i="12" s="1"/>
  <c r="G132" i="12"/>
  <c r="J132" i="12" s="1"/>
  <c r="G131" i="12"/>
  <c r="J131" i="12" s="1"/>
  <c r="G130" i="12"/>
  <c r="J130" i="12" s="1"/>
  <c r="G129" i="12"/>
  <c r="J129" i="12" s="1"/>
  <c r="G128" i="12"/>
  <c r="J128" i="12" s="1"/>
  <c r="G127" i="12"/>
  <c r="J127" i="12" s="1"/>
  <c r="G126" i="12"/>
  <c r="J126" i="12" s="1"/>
  <c r="G125" i="12"/>
  <c r="J125" i="12" s="1"/>
  <c r="G124" i="12"/>
  <c r="J124" i="12" s="1"/>
  <c r="G123" i="12"/>
  <c r="J123" i="12" s="1"/>
  <c r="G122" i="12"/>
  <c r="J122" i="12" s="1"/>
  <c r="G121" i="12"/>
  <c r="J121" i="12" s="1"/>
  <c r="G120" i="12"/>
  <c r="J120" i="12" s="1"/>
  <c r="G97" i="12"/>
  <c r="J97" i="12" s="1"/>
  <c r="G119" i="12"/>
  <c r="J119" i="12" s="1"/>
  <c r="G118" i="12"/>
  <c r="J118" i="12" s="1"/>
  <c r="G117" i="12"/>
  <c r="J117" i="12" s="1"/>
  <c r="G116" i="12"/>
  <c r="J116" i="12" s="1"/>
  <c r="G115" i="12"/>
  <c r="J115" i="12" s="1"/>
  <c r="G114" i="12"/>
  <c r="J114" i="12" s="1"/>
  <c r="G113" i="12"/>
  <c r="J113" i="12" s="1"/>
  <c r="G112" i="12"/>
  <c r="J112" i="12" s="1"/>
  <c r="G111" i="12"/>
  <c r="J111" i="12" s="1"/>
  <c r="G110" i="12"/>
  <c r="J110" i="12" s="1"/>
  <c r="G109" i="12"/>
  <c r="J109" i="12" s="1"/>
  <c r="G108" i="12"/>
  <c r="J108" i="12" s="1"/>
  <c r="G107" i="12"/>
  <c r="J107" i="12" s="1"/>
  <c r="G106" i="12"/>
  <c r="J106" i="12" s="1"/>
  <c r="G103" i="12"/>
  <c r="J103" i="12" s="1"/>
  <c r="G102" i="12"/>
  <c r="J102" i="12" s="1"/>
  <c r="G101" i="12"/>
  <c r="J101" i="12" s="1"/>
  <c r="G100" i="12"/>
  <c r="J100" i="12" s="1"/>
  <c r="G99" i="12"/>
  <c r="J99" i="12" s="1"/>
  <c r="G96" i="12"/>
  <c r="J96" i="12" s="1"/>
  <c r="G95" i="12"/>
  <c r="J95" i="12" s="1"/>
  <c r="G94" i="12"/>
  <c r="J94" i="12" s="1"/>
  <c r="G93" i="12"/>
  <c r="J93" i="12" s="1"/>
  <c r="G92" i="12"/>
  <c r="J92" i="12" s="1"/>
  <c r="G91" i="12"/>
  <c r="J91" i="12" s="1"/>
  <c r="G90" i="12"/>
  <c r="J90" i="12" s="1"/>
  <c r="G89" i="12"/>
  <c r="J89" i="12" s="1"/>
  <c r="G86" i="12"/>
  <c r="J86" i="12" s="1"/>
  <c r="G85" i="12"/>
  <c r="J85" i="12" s="1"/>
  <c r="G83" i="12"/>
  <c r="J83" i="12" s="1"/>
  <c r="G82" i="12"/>
  <c r="J82" i="12" s="1"/>
  <c r="G79" i="12"/>
  <c r="J79" i="12" s="1"/>
  <c r="G78" i="12"/>
  <c r="J78" i="12" s="1"/>
  <c r="G77" i="12"/>
  <c r="J77" i="12" s="1"/>
  <c r="G76" i="12"/>
  <c r="J76" i="12" s="1"/>
  <c r="G75" i="12"/>
  <c r="J75" i="12" s="1"/>
  <c r="G74" i="12"/>
  <c r="J74" i="12" s="1"/>
  <c r="G73" i="12"/>
  <c r="J73" i="12" s="1"/>
  <c r="G72" i="12"/>
  <c r="J72" i="12" s="1"/>
  <c r="G71" i="12"/>
  <c r="J71" i="12" s="1"/>
  <c r="G70" i="12"/>
  <c r="J70" i="12" s="1"/>
  <c r="G69" i="12"/>
  <c r="J69" i="12" s="1"/>
  <c r="G64" i="12"/>
  <c r="J64" i="12" s="1"/>
  <c r="G63" i="12"/>
  <c r="J63" i="12" s="1"/>
  <c r="G62" i="12"/>
  <c r="J62" i="12" s="1"/>
  <c r="G61" i="12"/>
  <c r="J61" i="12" s="1"/>
  <c r="G60" i="12"/>
  <c r="J60" i="12" s="1"/>
  <c r="G59" i="12"/>
  <c r="J59" i="12" s="1"/>
  <c r="G58" i="12"/>
  <c r="J58" i="12" s="1"/>
  <c r="G57" i="12"/>
  <c r="J57" i="12" s="1"/>
  <c r="G56" i="12"/>
  <c r="J56" i="12" s="1"/>
  <c r="G55" i="12"/>
  <c r="J55" i="12" s="1"/>
  <c r="G54" i="12"/>
  <c r="J54" i="12" s="1"/>
  <c r="G53" i="12"/>
  <c r="J53" i="12" s="1"/>
  <c r="G52" i="12"/>
  <c r="J52" i="12" s="1"/>
  <c r="G51" i="12"/>
  <c r="J51" i="12" s="1"/>
  <c r="G50" i="12"/>
  <c r="J50" i="12" s="1"/>
  <c r="G49" i="12"/>
  <c r="J49" i="12" s="1"/>
  <c r="G48" i="12"/>
  <c r="J48" i="12" s="1"/>
  <c r="G47" i="12"/>
  <c r="J47" i="12" s="1"/>
  <c r="G46" i="12"/>
  <c r="J46" i="12" s="1"/>
  <c r="G45" i="12"/>
  <c r="J45" i="12" s="1"/>
  <c r="G44" i="12"/>
  <c r="J44" i="12" s="1"/>
  <c r="G43" i="12"/>
  <c r="J43" i="12" s="1"/>
  <c r="G42" i="12"/>
  <c r="J42" i="12" s="1"/>
  <c r="G41" i="12"/>
  <c r="J41" i="12" s="1"/>
  <c r="G40" i="12"/>
  <c r="J40" i="12" s="1"/>
  <c r="G39" i="12"/>
  <c r="J39" i="12" s="1"/>
  <c r="G38" i="12"/>
  <c r="J38" i="12" s="1"/>
  <c r="G37" i="12"/>
  <c r="J37" i="12" s="1"/>
  <c r="G36" i="12"/>
  <c r="J36" i="12" s="1"/>
  <c r="G35" i="12"/>
  <c r="J35" i="12" s="1"/>
  <c r="G34" i="12"/>
  <c r="J34" i="12" s="1"/>
  <c r="G33" i="12"/>
  <c r="J33" i="12" s="1"/>
  <c r="G32" i="12"/>
  <c r="J32" i="12" s="1"/>
  <c r="G31" i="12"/>
  <c r="J31" i="12" s="1"/>
  <c r="G30" i="12"/>
  <c r="J30" i="12" s="1"/>
  <c r="G29" i="12"/>
  <c r="J29" i="12" s="1"/>
  <c r="G28" i="12"/>
  <c r="J28" i="12" s="1"/>
  <c r="G27" i="12"/>
  <c r="J27" i="12" s="1"/>
  <c r="G26" i="12"/>
  <c r="J26" i="12" s="1"/>
  <c r="G25" i="12"/>
  <c r="J25" i="12" s="1"/>
  <c r="G24" i="12"/>
  <c r="J24" i="12" s="1"/>
  <c r="G23" i="12"/>
  <c r="J23" i="12" s="1"/>
  <c r="G22" i="12"/>
  <c r="J22" i="12" s="1"/>
  <c r="G21" i="12"/>
  <c r="J21" i="12" s="1"/>
  <c r="G20" i="12"/>
  <c r="J20" i="12" s="1"/>
  <c r="G19" i="12"/>
  <c r="J19" i="12" s="1"/>
  <c r="G18" i="12"/>
  <c r="J18" i="12" s="1"/>
  <c r="G17" i="12"/>
  <c r="J17" i="12" s="1"/>
  <c r="G16" i="12"/>
  <c r="J16" i="12" s="1"/>
  <c r="G15" i="12"/>
  <c r="J15" i="12" s="1"/>
  <c r="G14" i="12"/>
  <c r="J14" i="12" s="1"/>
  <c r="G13" i="12"/>
  <c r="J13" i="12" s="1"/>
  <c r="G12" i="12"/>
  <c r="J12" i="12" s="1"/>
  <c r="G8" i="12"/>
  <c r="J8" i="12" s="1"/>
  <c r="K8" i="12" s="1"/>
  <c r="G6" i="12"/>
  <c r="J6" i="12" s="1"/>
  <c r="K6" i="12" s="1"/>
  <c r="Q6" i="12"/>
  <c r="P6" i="12"/>
  <c r="O6" i="12"/>
  <c r="N6" i="12"/>
  <c r="A110" i="12"/>
  <c r="A111" i="12" s="1"/>
  <c r="A112" i="12" s="1"/>
  <c r="A113" i="12" s="1"/>
  <c r="A114" i="12" s="1"/>
  <c r="A115" i="12" s="1"/>
  <c r="A116" i="12" s="1"/>
  <c r="A117" i="12" s="1"/>
  <c r="A118" i="12" s="1"/>
  <c r="A119" i="12" s="1"/>
  <c r="A97" i="12" s="1"/>
  <c r="A120" i="12" s="1"/>
  <c r="A121" i="12" s="1"/>
  <c r="A122" i="12" s="1"/>
  <c r="A123" i="12" s="1"/>
  <c r="A124" i="12" s="1"/>
  <c r="A125" i="12" s="1"/>
  <c r="A126" i="12" s="1"/>
  <c r="A127" i="12" s="1"/>
  <c r="A101" i="12"/>
  <c r="A102" i="12" s="1"/>
  <c r="A103" i="12" s="1"/>
  <c r="A106" i="12" s="1"/>
  <c r="A107" i="12" s="1"/>
  <c r="A108" i="12" s="1"/>
  <c r="A78" i="12"/>
  <c r="A79" i="12" s="1"/>
  <c r="A82" i="12" s="1"/>
  <c r="A83" i="12" s="1"/>
  <c r="A85" i="12" s="1"/>
  <c r="A86" i="12" s="1"/>
  <c r="A89" i="12" s="1"/>
  <c r="A90" i="12" s="1"/>
  <c r="A91" i="12" s="1"/>
  <c r="A92" i="12" s="1"/>
  <c r="A93" i="12" s="1"/>
  <c r="A94" i="12" s="1"/>
  <c r="A95" i="12" s="1"/>
  <c r="A96" i="12" s="1"/>
  <c r="A99" i="12" s="1"/>
  <c r="A75" i="12"/>
  <c r="A76" i="12" s="1"/>
  <c r="A72" i="12"/>
  <c r="A73" i="12" s="1"/>
  <c r="A70" i="12"/>
  <c r="A63" i="12"/>
  <c r="A60" i="12"/>
  <c r="A61" i="12" s="1"/>
  <c r="A48" i="12"/>
  <c r="A49" i="12" s="1"/>
  <c r="A50" i="12" s="1"/>
  <c r="A51" i="12" s="1"/>
  <c r="A52" i="12" s="1"/>
  <c r="A53" i="12" s="1"/>
  <c r="A54" i="12" s="1"/>
  <c r="A55" i="12" s="1"/>
  <c r="A56" i="12" s="1"/>
  <c r="A57" i="12" s="1"/>
  <c r="A58" i="12" s="1"/>
  <c r="A44" i="12"/>
  <c r="A45" i="12" s="1"/>
  <c r="A46" i="12" s="1"/>
  <c r="A39" i="12"/>
  <c r="A34" i="12"/>
  <c r="A35" i="12" s="1"/>
  <c r="A36" i="12" s="1"/>
  <c r="A37" i="12" s="1"/>
  <c r="A28" i="12"/>
  <c r="A29" i="12" s="1"/>
  <c r="A30" i="12" s="1"/>
  <c r="A31" i="12" s="1"/>
  <c r="A32" i="12" s="1"/>
  <c r="A13" i="12"/>
  <c r="A14" i="12" s="1"/>
  <c r="A15" i="12" s="1"/>
  <c r="A16" i="12" s="1"/>
  <c r="A17" i="12" s="1"/>
  <c r="A18" i="12" s="1"/>
  <c r="A19" i="12" s="1"/>
  <c r="A20" i="12" s="1"/>
  <c r="A21" i="12" s="1"/>
  <c r="A22" i="12" s="1"/>
  <c r="A23" i="12" s="1"/>
  <c r="A24" i="12" s="1"/>
  <c r="A25" i="12" s="1"/>
  <c r="A26" i="12" s="1"/>
  <c r="E68" i="11"/>
  <c r="H68" i="11" s="1"/>
  <c r="E67" i="11"/>
  <c r="H67" i="11" s="1"/>
  <c r="E66" i="11"/>
  <c r="H66" i="11" s="1"/>
  <c r="E65" i="11"/>
  <c r="H65" i="11" s="1"/>
  <c r="E64" i="11"/>
  <c r="H64" i="11" s="1"/>
  <c r="E63" i="11"/>
  <c r="H63" i="11" s="1"/>
  <c r="E62" i="11"/>
  <c r="H62" i="11" s="1"/>
  <c r="E61" i="11"/>
  <c r="H61" i="11" s="1"/>
  <c r="E60" i="11"/>
  <c r="H60" i="11" s="1"/>
  <c r="E59" i="11"/>
  <c r="H59" i="11" s="1"/>
  <c r="F60" i="10"/>
  <c r="F59" i="10"/>
  <c r="H47" i="10"/>
  <c r="G37" i="10"/>
  <c r="G40" i="10" s="1"/>
  <c r="F35" i="10"/>
  <c r="H35" i="10" s="1"/>
  <c r="F34" i="10"/>
  <c r="H34" i="10" s="1"/>
  <c r="F33" i="10"/>
  <c r="H33" i="10" s="1"/>
  <c r="F32" i="10"/>
  <c r="H32" i="10" s="1"/>
  <c r="F31" i="10"/>
  <c r="H31" i="10" s="1"/>
  <c r="F30" i="10"/>
  <c r="H30" i="10" s="1"/>
  <c r="F29" i="10"/>
  <c r="H29" i="10" s="1"/>
  <c r="F28" i="10"/>
  <c r="H28" i="10" s="1"/>
  <c r="F27" i="10"/>
  <c r="H27" i="10" s="1"/>
  <c r="F26" i="10"/>
  <c r="H26" i="10" s="1"/>
  <c r="F25" i="10"/>
  <c r="H25" i="10" s="1"/>
  <c r="F24" i="10"/>
  <c r="H24" i="10" s="1"/>
  <c r="F23" i="10"/>
  <c r="H23" i="10" s="1"/>
  <c r="F22" i="10"/>
  <c r="H22" i="10" s="1"/>
  <c r="F21" i="10"/>
  <c r="H21" i="10" s="1"/>
  <c r="F20" i="10"/>
  <c r="H20" i="10" s="1"/>
  <c r="F19" i="10"/>
  <c r="H19" i="10" s="1"/>
  <c r="F18" i="10"/>
  <c r="H18" i="10" s="1"/>
  <c r="F17" i="10"/>
  <c r="H17" i="10" s="1"/>
  <c r="F16" i="10"/>
  <c r="H16" i="10" s="1"/>
  <c r="F15" i="10"/>
  <c r="H15" i="10" s="1"/>
  <c r="F14" i="10"/>
  <c r="H14" i="10" s="1"/>
  <c r="F13" i="10"/>
  <c r="H13" i="10" s="1"/>
  <c r="F12" i="10"/>
  <c r="H12" i="10" s="1"/>
  <c r="F11" i="10"/>
  <c r="H11" i="10" s="1"/>
  <c r="F10" i="10"/>
  <c r="H10" i="10" s="1"/>
  <c r="F9" i="10"/>
  <c r="H9" i="10" s="1"/>
  <c r="A9" i="10"/>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59" i="10" s="1"/>
  <c r="A60" i="10" s="1"/>
  <c r="F8" i="10"/>
  <c r="F179" i="13" l="1"/>
  <c r="N66" i="12"/>
  <c r="F192" i="13"/>
  <c r="Q66" i="12"/>
  <c r="J66" i="12"/>
  <c r="O66" i="12"/>
  <c r="P66" i="12"/>
  <c r="J211" i="12"/>
  <c r="N211" i="12"/>
  <c r="Q133" i="12"/>
  <c r="O211" i="12"/>
  <c r="F189" i="13"/>
  <c r="F191" i="13"/>
  <c r="F193" i="13"/>
  <c r="F190" i="13"/>
  <c r="P211" i="12"/>
  <c r="K9" i="12"/>
  <c r="J205" i="12"/>
  <c r="N205" i="12"/>
  <c r="O205" i="12"/>
  <c r="P205" i="12"/>
  <c r="O9" i="12"/>
  <c r="O133" i="12"/>
  <c r="J204" i="12"/>
  <c r="N204" i="12"/>
  <c r="O204" i="12"/>
  <c r="P204" i="12"/>
  <c r="P9" i="12"/>
  <c r="Q9" i="12"/>
  <c r="Q181" i="12"/>
  <c r="P181" i="12"/>
  <c r="P133" i="12"/>
  <c r="N202" i="12"/>
  <c r="O202" i="12"/>
  <c r="R68" i="12"/>
  <c r="S68" i="12" s="1"/>
  <c r="P202" i="12"/>
  <c r="F37" i="10"/>
  <c r="H8" i="10"/>
  <c r="H37" i="10" s="1"/>
  <c r="F38" i="10" s="1"/>
  <c r="H38" i="10" s="1"/>
  <c r="N9" i="12"/>
  <c r="N133" i="12"/>
  <c r="N181" i="12"/>
  <c r="O181" i="12"/>
  <c r="J203" i="12"/>
  <c r="Q203" i="12"/>
  <c r="P203" i="12"/>
  <c r="N203" i="12"/>
  <c r="J202" i="12"/>
  <c r="G138" i="12"/>
  <c r="J138" i="12" s="1"/>
  <c r="J181" i="12" s="1"/>
  <c r="J9" i="12"/>
  <c r="J133" i="12"/>
  <c r="J195" i="12" s="1"/>
  <c r="O207" i="12" l="1"/>
  <c r="P183" i="12"/>
  <c r="P189" i="12" s="1"/>
  <c r="J183" i="12"/>
  <c r="F194" i="13"/>
  <c r="R133" i="12"/>
  <c r="S133" i="12" s="1"/>
  <c r="R9" i="12"/>
  <c r="S9" i="12" s="1"/>
  <c r="R181" i="12"/>
  <c r="S181" i="12" s="1"/>
  <c r="Q183" i="12"/>
  <c r="Q189" i="12" s="1"/>
  <c r="Q191" i="12" s="1"/>
  <c r="O183" i="12"/>
  <c r="O189" i="12" s="1"/>
  <c r="O191" i="12" s="1"/>
  <c r="N183" i="12"/>
  <c r="N189" i="12" s="1"/>
  <c r="H40" i="10"/>
  <c r="R66" i="12"/>
  <c r="S66" i="12" s="1"/>
  <c r="L37" i="10"/>
  <c r="J196" i="12"/>
  <c r="J193" i="12"/>
  <c r="J197" i="12"/>
  <c r="J194" i="12"/>
  <c r="F40" i="10"/>
  <c r="H179" i="13" l="1"/>
  <c r="H163" i="14"/>
  <c r="R189" i="12"/>
  <c r="M183" i="12"/>
  <c r="R183" i="12"/>
  <c r="S183" i="12" s="1"/>
  <c r="J198" i="12"/>
  <c r="E7" i="11"/>
  <c r="H7" i="11" s="1"/>
  <c r="E8" i="11"/>
  <c r="H8" i="11" s="1"/>
  <c r="E9" i="11"/>
  <c r="H9" i="11" s="1"/>
  <c r="E11" i="11"/>
  <c r="H11" i="11" s="1"/>
  <c r="E12" i="11"/>
  <c r="H12" i="11" s="1"/>
  <c r="E13" i="11"/>
  <c r="H13" i="11" s="1"/>
  <c r="E14" i="11"/>
  <c r="H14" i="11" s="1"/>
  <c r="E15" i="11"/>
  <c r="H15" i="11" s="1"/>
  <c r="E16" i="11"/>
  <c r="H16" i="11" s="1"/>
  <c r="E17" i="11"/>
  <c r="H17" i="11" s="1"/>
  <c r="E18" i="11"/>
  <c r="H18" i="11" s="1"/>
  <c r="E19" i="11"/>
  <c r="H19" i="11" s="1"/>
  <c r="E20" i="11"/>
  <c r="H20" i="11" s="1"/>
  <c r="E21" i="11"/>
  <c r="H21" i="11" s="1"/>
  <c r="E22" i="11"/>
  <c r="H22" i="11" s="1"/>
  <c r="E23" i="11"/>
  <c r="H23" i="11" s="1"/>
  <c r="E24" i="11"/>
  <c r="H24" i="11" s="1"/>
  <c r="E25" i="11"/>
  <c r="H25" i="11" s="1"/>
  <c r="E26" i="11"/>
  <c r="H26" i="11" s="1"/>
  <c r="E27" i="11"/>
  <c r="H27" i="11" s="1"/>
  <c r="E28" i="11"/>
  <c r="H28" i="11" s="1"/>
  <c r="E29" i="11"/>
  <c r="H29" i="11" s="1"/>
  <c r="E30" i="11"/>
  <c r="H30" i="11" s="1"/>
  <c r="E31" i="11"/>
  <c r="H31" i="11" s="1"/>
  <c r="E32" i="11"/>
  <c r="H32" i="11" s="1"/>
  <c r="E33" i="11"/>
  <c r="H33" i="11" s="1"/>
  <c r="E34" i="11"/>
  <c r="H34" i="11" s="1"/>
  <c r="E35" i="11"/>
  <c r="H35" i="11" s="1"/>
  <c r="E36" i="11"/>
  <c r="H36" i="11" s="1"/>
  <c r="E37" i="11"/>
  <c r="H37" i="11" s="1"/>
  <c r="E38" i="11"/>
  <c r="H38" i="11" s="1"/>
  <c r="E39" i="11"/>
  <c r="H39" i="11" s="1"/>
  <c r="E40" i="11"/>
  <c r="H40" i="11" s="1"/>
  <c r="E41" i="11"/>
  <c r="H41" i="11" s="1"/>
  <c r="E42" i="11"/>
  <c r="H42" i="11" s="1"/>
  <c r="E43" i="11"/>
  <c r="H43" i="11" s="1"/>
  <c r="E44" i="11"/>
  <c r="H44" i="11" s="1"/>
  <c r="E45" i="11"/>
  <c r="H45" i="11" s="1"/>
  <c r="E46" i="11"/>
  <c r="H46" i="11" s="1"/>
  <c r="E47" i="11"/>
  <c r="H47" i="11" s="1"/>
  <c r="E48" i="11"/>
  <c r="H48" i="11" s="1"/>
  <c r="E49" i="11"/>
  <c r="H49" i="11" s="1"/>
  <c r="E50" i="11"/>
  <c r="H50" i="11" s="1"/>
  <c r="E51" i="11"/>
  <c r="H51" i="11" s="1"/>
  <c r="E52" i="11"/>
  <c r="H52" i="11" s="1"/>
  <c r="E53" i="11"/>
  <c r="H53" i="11" s="1"/>
  <c r="E54" i="11"/>
  <c r="H54" i="11" s="1"/>
  <c r="E55" i="11"/>
  <c r="H55" i="11" s="1"/>
  <c r="E56" i="11"/>
  <c r="H56" i="11" s="1"/>
  <c r="E57" i="11"/>
  <c r="H57" i="11" s="1"/>
  <c r="E58" i="11"/>
  <c r="H58" i="11" s="1"/>
  <c r="E6" i="11"/>
  <c r="H6" i="11" s="1"/>
  <c r="L10" i="11"/>
  <c r="K10" i="11"/>
  <c r="D10" i="11"/>
  <c r="C10" i="11"/>
  <c r="E10" i="11" l="1"/>
  <c r="H10" i="11" s="1"/>
  <c r="H77" i="11" s="1"/>
  <c r="F33" i="9"/>
  <c r="H33" i="9" s="1"/>
  <c r="K66" i="9" l="1"/>
  <c r="G62" i="9"/>
  <c r="G66" i="9" s="1"/>
  <c r="F60" i="9"/>
  <c r="H60" i="9" s="1"/>
  <c r="F59" i="9"/>
  <c r="H59" i="9" s="1"/>
  <c r="F58" i="9"/>
  <c r="H58" i="9" s="1"/>
  <c r="F57" i="9"/>
  <c r="H57" i="9" s="1"/>
  <c r="F56" i="9"/>
  <c r="H56" i="9" s="1"/>
  <c r="F55" i="9"/>
  <c r="H55" i="9" s="1"/>
  <c r="F54" i="9"/>
  <c r="H54" i="9" s="1"/>
  <c r="F53" i="9"/>
  <c r="H53" i="9" s="1"/>
  <c r="F52" i="9"/>
  <c r="H52" i="9" s="1"/>
  <c r="F51" i="9"/>
  <c r="H51" i="9" s="1"/>
  <c r="F50" i="9"/>
  <c r="H50" i="9" s="1"/>
  <c r="F49" i="9"/>
  <c r="H49" i="9" s="1"/>
  <c r="F48" i="9"/>
  <c r="H48" i="9" s="1"/>
  <c r="F47" i="9"/>
  <c r="H47" i="9" s="1"/>
  <c r="F46" i="9"/>
  <c r="H46" i="9" s="1"/>
  <c r="F45" i="9"/>
  <c r="H45" i="9" s="1"/>
  <c r="F44" i="9"/>
  <c r="H44" i="9" s="1"/>
  <c r="F43" i="9"/>
  <c r="H43" i="9" s="1"/>
  <c r="F42" i="9"/>
  <c r="H42" i="9" s="1"/>
  <c r="F41" i="9"/>
  <c r="H41" i="9" s="1"/>
  <c r="F40" i="9"/>
  <c r="H40" i="9" s="1"/>
  <c r="F39" i="9"/>
  <c r="H39" i="9" s="1"/>
  <c r="F38" i="9"/>
  <c r="H38" i="9" s="1"/>
  <c r="F37" i="9"/>
  <c r="H37" i="9" s="1"/>
  <c r="F36" i="9"/>
  <c r="H36" i="9" s="1"/>
  <c r="F35" i="9"/>
  <c r="H35" i="9" s="1"/>
  <c r="F34" i="9"/>
  <c r="H34" i="9" s="1"/>
  <c r="F32" i="9"/>
  <c r="H32" i="9" s="1"/>
  <c r="F31" i="9"/>
  <c r="H31" i="9" s="1"/>
  <c r="F30" i="9"/>
  <c r="H30" i="9" s="1"/>
  <c r="F29" i="9"/>
  <c r="H29" i="9" s="1"/>
  <c r="F28" i="9"/>
  <c r="H28" i="9" s="1"/>
  <c r="F27" i="9"/>
  <c r="H27" i="9" s="1"/>
  <c r="F26" i="9"/>
  <c r="H26" i="9" s="1"/>
  <c r="F25" i="9"/>
  <c r="H25" i="9" s="1"/>
  <c r="F24" i="9"/>
  <c r="H24" i="9" s="1"/>
  <c r="F23" i="9"/>
  <c r="H23" i="9" s="1"/>
  <c r="F22" i="9"/>
  <c r="H22" i="9" s="1"/>
  <c r="F21" i="9"/>
  <c r="H21" i="9" s="1"/>
  <c r="F20" i="9"/>
  <c r="H20" i="9" s="1"/>
  <c r="F19" i="9"/>
  <c r="H19" i="9" s="1"/>
  <c r="F18" i="9"/>
  <c r="H18" i="9" s="1"/>
  <c r="H17" i="9"/>
  <c r="F17" i="9"/>
  <c r="F16" i="9"/>
  <c r="H16" i="9" s="1"/>
  <c r="F15" i="9"/>
  <c r="H15" i="9" s="1"/>
  <c r="F14" i="9"/>
  <c r="H14" i="9" s="1"/>
  <c r="F13" i="9"/>
  <c r="H13" i="9" s="1"/>
  <c r="F11" i="9"/>
  <c r="H11" i="9" s="1"/>
  <c r="F10" i="9"/>
  <c r="H10" i="9" s="1"/>
  <c r="F9" i="9"/>
  <c r="H9" i="9" s="1"/>
  <c r="F8" i="9"/>
  <c r="H8" i="9" l="1"/>
  <c r="H88" i="11" l="1"/>
  <c r="I88" i="11" s="1"/>
  <c r="H89" i="11"/>
  <c r="I89" i="11" s="1"/>
  <c r="K56" i="9"/>
  <c r="G78" i="9"/>
  <c r="C12" i="9"/>
  <c r="F12" i="9" s="1"/>
  <c r="H12" i="9" l="1"/>
  <c r="H62" i="9" s="1"/>
  <c r="F64" i="9" s="1"/>
  <c r="F62" i="9"/>
  <c r="I91" i="11"/>
  <c r="H91" i="11"/>
  <c r="F66" i="9" l="1"/>
  <c r="H64" i="9"/>
  <c r="H66" i="9" s="1"/>
  <c r="L66" i="9" s="1"/>
  <c r="L67" i="9" s="1"/>
  <c r="K78" i="9"/>
  <c r="F75" i="9" l="1"/>
  <c r="H75" i="9" s="1"/>
  <c r="F76" i="9"/>
  <c r="H76" i="9" s="1"/>
  <c r="H78" i="9" l="1"/>
  <c r="M78" i="9" s="1"/>
  <c r="F78" i="9"/>
  <c r="H59" i="10" l="1"/>
  <c r="H60" i="10"/>
</calcChain>
</file>

<file path=xl/sharedStrings.xml><?xml version="1.0" encoding="utf-8"?>
<sst xmlns="http://schemas.openxmlformats.org/spreadsheetml/2006/main" count="2286" uniqueCount="424">
  <si>
    <t>Unit</t>
  </si>
  <si>
    <t>No</t>
  </si>
  <si>
    <t>nos</t>
  </si>
  <si>
    <t>supply and installation of 36" U rack with all acessories</t>
  </si>
  <si>
    <t>Mtr</t>
  </si>
  <si>
    <t>Nos</t>
  </si>
  <si>
    <t>supply and installation of Rukus 650 with Required registration Licence and 3yr support</t>
  </si>
  <si>
    <t>supply and installation of SIP Video phone VP -59</t>
  </si>
  <si>
    <t>no</t>
  </si>
  <si>
    <t>supply of passive infrared sensor</t>
  </si>
  <si>
    <t>supply of free space flush mount ceiling speakers 4 with ceiling sub woofer</t>
  </si>
  <si>
    <t>Sets</t>
  </si>
  <si>
    <t>supply of Network  controlled player</t>
  </si>
  <si>
    <t>Job</t>
  </si>
  <si>
    <t>supply and installation of Huddle Discussion Table with Chairs (1+4)and 55" interactive flip Display  as per user Reqirement, integration and connecting device ,cables in contractor scope only( Cubby,USB, HDMI, C tybe etc)</t>
  </si>
  <si>
    <t>supply of NUC PC i7 latest genetaion, 32GB RAM. 500 TB SSD,with Key board and Mouse.</t>
  </si>
  <si>
    <t>Division:HYB</t>
  </si>
  <si>
    <t>Department : S&amp;T</t>
  </si>
  <si>
    <t>DETAILED ESTIMATE</t>
  </si>
  <si>
    <t>Sl. No.</t>
  </si>
  <si>
    <t>Description</t>
  </si>
  <si>
    <t>Qty</t>
  </si>
  <si>
    <t>Rate in Rs.</t>
  </si>
  <si>
    <t>Total in Rs.</t>
  </si>
  <si>
    <t>Reference</t>
  </si>
  <si>
    <t xml:space="preserve">Cash </t>
  </si>
  <si>
    <t>Stock</t>
  </si>
  <si>
    <t>2024-25</t>
  </si>
  <si>
    <t>I</t>
  </si>
  <si>
    <t xml:space="preserve"> </t>
  </si>
  <si>
    <t>II</t>
  </si>
  <si>
    <t>Contengencies @ 1%</t>
  </si>
  <si>
    <t>III</t>
  </si>
  <si>
    <t xml:space="preserve"> TOTAL (I+II) :</t>
  </si>
  <si>
    <t>IV</t>
  </si>
  <si>
    <t>Sports development @ 0.1%</t>
  </si>
  <si>
    <t>V</t>
  </si>
  <si>
    <t>Departmental Charges @ 10.05%</t>
  </si>
  <si>
    <t>Total   :</t>
  </si>
  <si>
    <t>Supply and installation of portable smart Dash board monitoring unit</t>
  </si>
  <si>
    <t>SOR-2024 Item No.1003 (g)</t>
  </si>
  <si>
    <t>Meter</t>
  </si>
  <si>
    <t xml:space="preserve"> Supply &amp; fixing of 15U rack. With  locking front glass door and fully vented rear steel door, compatible with standard 19" accessories,</t>
  </si>
  <si>
    <t>A/FX/E-38/24-25.  Dt.09-07-2024 (PCEE's Conf.&amp;,TRD  4th floor) item No:57</t>
  </si>
  <si>
    <t>Supply of 12 core single mode armoured optical fiber cable -</t>
  </si>
  <si>
    <t>RMT</t>
  </si>
  <si>
    <t>.--Do-- item No:54</t>
  </si>
  <si>
    <t>Quotation from optonet technologiesDt.30-5-2024 item No.3</t>
  </si>
  <si>
    <t>PCME chamber</t>
  </si>
  <si>
    <t>Supply and installation of 2KVA UPS</t>
  </si>
  <si>
    <t>A/FX/E-38/24-25.  Dt.09-07-2024(PCEE's office in 7th  floor,TRD office, 4th floor) item no:78</t>
  </si>
  <si>
    <t>Sr.DFM/HYB Vef.No. A/FX/S&amp;T/P-12/2021-22. Dt. 21-05-2021.</t>
  </si>
  <si>
    <t>Supply and installation of 12V/26 AH -4 nos along with connecting cables</t>
  </si>
  <si>
    <t>.--Do-- Item No 79</t>
  </si>
  <si>
    <t xml:space="preserve">Supply and installation of  MS stand, interconnectors etc for above 2 KVA on line UPS system </t>
  </si>
  <si>
    <t>.--Do-- Item No 80</t>
  </si>
  <si>
    <t>A/FX/E-62/23-24.  Dt.16-08-2023 (PCEE's CEGE chambers) item No:40</t>
  </si>
  <si>
    <t>.--Do-- item No:64</t>
  </si>
  <si>
    <t>Supply and fixing of  MS junction boxes with steel plate cover of 2mm thick for covering the existing  floor as per site requirementand and  proper packing of junction box.</t>
  </si>
  <si>
    <t xml:space="preserve">Laying of 100X25/40mm aluminium race ways and fixing. Required couplings , clamps  etc as per site requirement </t>
  </si>
  <si>
    <t>Supply of 100 X 25/40 mm aluminium race ways of 2mm thickness with Top cover</t>
  </si>
  <si>
    <t>.--Do-- Item No 65</t>
  </si>
  <si>
    <t>-Do-                 Item No 3</t>
  </si>
  <si>
    <t>Cutting of floor with machine of 100 mm width X40mm depth trench for aluminium race ways with aluminium clamps/PVC Pipe with clamp at every 1 meter.  and restoring the surface</t>
  </si>
  <si>
    <t>Mtr.</t>
  </si>
  <si>
    <t>.--Do-- Item No 70</t>
  </si>
  <si>
    <t>-Do-                 Item No 8</t>
  </si>
  <si>
    <t>supply and fixing of fully loded Loaded shutter type I/O/ keystone 4 modular Box with back Box PVC/MS as per site requirement  Legrand/ Comscope/R&amp;M</t>
  </si>
  <si>
    <t>.--Do-- Item No 61</t>
  </si>
  <si>
    <t xml:space="preserve">Supply &amp; fixing of 40 mm PVC Pipes  conceld in the walls/floor/false cealing as required by the Railways. </t>
  </si>
  <si>
    <t>.--Do-- Item No 67</t>
  </si>
  <si>
    <t>-Do-                 Item No 5</t>
  </si>
  <si>
    <t xml:space="preserve">Supply &amp; fixing of 25 mm PVC Pipes  conceld in the walls/floor/false cealing as required by the Railways. </t>
  </si>
  <si>
    <t>.--Do-- Item No 68</t>
  </si>
  <si>
    <t>AFX/Sr.DEE/TR/HYB/P-172/2022-23.       Dt.08-08-2022(control office TRD) iteam no: B20</t>
  </si>
  <si>
    <t>Supply &amp; fixing of PVC Flexible pipe of 25/40/50 mm dia  sizes of Reputed make</t>
  </si>
  <si>
    <t>.--Do-- Item No 69</t>
  </si>
  <si>
    <t>No.A/FX/E-50/23-24 Dt:22.06.2023 item.No.6</t>
  </si>
  <si>
    <t>Provision and laying cement concrete (including transportation of all the material).</t>
  </si>
  <si>
    <t>cum</t>
  </si>
  <si>
    <t>SOR 2024 item No: 2523 (a)</t>
  </si>
  <si>
    <t>exch impro</t>
  </si>
  <si>
    <t>Supply of RG-6 PVC Copper Co-axial cable (Make: Deltone / Finolex/Comscope)</t>
  </si>
  <si>
    <t>…Do item No .60</t>
  </si>
  <si>
    <t>Quotation from RS IT Consultancy Services Dt. 26-06-2024. Item No. 3</t>
  </si>
  <si>
    <t>Quotation from RS IT</t>
  </si>
  <si>
    <t>Supply  of Kramer CA-HM-66, Active High
Speed HDMI Cable with Ethernet
66' 20.00(M) 4K@60Hz (4:4:4) Make:kramer/creston/extron</t>
  </si>
  <si>
    <t>A/FX/E-38/24-25.  Dt.09-07-2024(PCEE's office in 7th  floor,TRD office, 4th floor) item no:39</t>
  </si>
  <si>
    <t>Quotation</t>
  </si>
  <si>
    <t>A/FX/E-38/24-25. Dt. 09-07-2024 (PCEE's Conf hall &amp; 4th floor) Item No.84</t>
  </si>
  <si>
    <t>pcpo addl item</t>
  </si>
  <si>
    <t>Supply and installation of rack mounted 12F FMS fiber part no.fms-1u 12FS 12FP</t>
  </si>
  <si>
    <t>.--Do-- Item No 62</t>
  </si>
  <si>
    <t>A/FX/E-62/23-24.  Dt.16-08-2023 (PCEE's CEGE chambers) item No:20</t>
  </si>
  <si>
    <t>Supply of  4 Port True 4K HDMI Splitter VS184B Make :ATEN</t>
  </si>
  <si>
    <t>Supply of 2 Port True 4K HDMI Splitter VS82H  with USB power Make :ATEN</t>
  </si>
  <si>
    <t>A/FX/E-62/23-24.  Dt.16-08-2023 (PCEE's CEGE chambers) item No:22</t>
  </si>
  <si>
    <t>Quotation from Optonet Dt-12-08-2024 (Extn of GMs cof hall) Item no.E-10</t>
  </si>
  <si>
    <t>.--Do-- Item No E-11</t>
  </si>
  <si>
    <t>.--Do-- Item No E-12</t>
  </si>
  <si>
    <t>PO No.LU245280100166 Dt.12-04-2024</t>
  </si>
  <si>
    <t>supply and installation of 4k wireless presentation make: Screen Beam Model No.1100plus</t>
  </si>
  <si>
    <t>Quotation from BT Convergence Technoogy Dt. 19-07-2024</t>
  </si>
  <si>
    <t>Quotation from Aeonix Technologies  Dt. 20-08-2024</t>
  </si>
  <si>
    <t>Supply and installation of document scanner</t>
  </si>
  <si>
    <t>Estimate No: Y/SG/EST/24-25/</t>
  </si>
  <si>
    <t xml:space="preserve">Grand Total (III+IV+V) : </t>
  </si>
  <si>
    <t>Supply and installation of High end desk cum Presention system with license of 365 and Adobe</t>
  </si>
  <si>
    <t>Supply and installation of office printer</t>
  </si>
  <si>
    <t>Name of the Work: Hyderabad division:- Renovation of PCSTE Chamber, officers chmbers (5 nos) and  S&amp;T control office at PCSTEs office,7th floor Railnilayam-Telecom arrangements</t>
  </si>
  <si>
    <t xml:space="preserve">Supply of UTP CAT 6 Cable (Roll is 305 Mtr) of D.LINKIAMP/KRONE </t>
  </si>
  <si>
    <t xml:space="preserve"> Supply and installation of  Professional Signage Display</t>
  </si>
  <si>
    <t>supply and installation of 4 x 4 4K HDMI HDBaseT-Lite Matrix Switch 
VM3404H</t>
  </si>
  <si>
    <t>supply and installation of 4-Port True 4K HDMI Switch with Dual Output 
VS482B</t>
  </si>
  <si>
    <t>supply and installation of camlive HDMI to USB-C video capture card Aten UC3020</t>
  </si>
  <si>
    <t>Supply of Laser projector for VFL for fiber testing</t>
  </si>
  <si>
    <t>supply of punch down tool for termination of LAN cables</t>
  </si>
  <si>
    <t>supply of USB to LAN/RJ-45 Giga bit Lan converter.</t>
  </si>
  <si>
    <t>supply of HDMI to VGA converter Aten VC810</t>
  </si>
  <si>
    <t xml:space="preserve"> Nos</t>
  </si>
  <si>
    <t>supply  single Mode 24 fiber MPO to MPO  15 Mtr trunk cable  Make: Legrand/ R&amp;M /comscope</t>
  </si>
  <si>
    <t>supply  single Mode 24 fiber MPO to MPO  10 Mtr trunk cable  Make: Legrand/ R&amp;M /comscope</t>
  </si>
  <si>
    <t xml:space="preserve">supply and installation of 24 port poe switch CBS 350 0f 190 power budget </t>
  </si>
  <si>
    <t>supply of Shieded RJ 45 jack Make: Dlink/3c3/Comscope</t>
  </si>
  <si>
    <t xml:space="preserve">splicing of fiber cables </t>
  </si>
  <si>
    <t>pair</t>
  </si>
  <si>
    <t>supply and installation of Preterminated single mode 24 fiber cassette with suitable Rack mountable bracket/holder Make: Legrand/ R&amp;M /comscope</t>
  </si>
  <si>
    <t>supply of True RMS  Digital Multimeter fluke-117</t>
  </si>
  <si>
    <t>supply of Battery Powered  400A AC/DC True RMS Clamp Meter  fluke-325</t>
  </si>
  <si>
    <t xml:space="preserve">DTH recharge for Lumsum  as per existing tariff plan </t>
  </si>
  <si>
    <t>Supply and installation of  smart LFD</t>
  </si>
  <si>
    <t>Supply of  RJ 45 jack</t>
  </si>
  <si>
    <t>A/FX/E-38/24-25.  Dt.09-07-2024</t>
  </si>
  <si>
    <t>A/FX/E-38/24-25.  Dt.09-07-2024(PCEE's officeConf hall  7th  floor,TRD office, 4th floor) item no:63</t>
  </si>
  <si>
    <t>A/FX/E-38/24-25.  Dt.09-07-2024(PCEE's officeConf hall  7th  floor,TRD office, 4th floor) item no:51</t>
  </si>
  <si>
    <t>…Do item No 56</t>
  </si>
  <si>
    <t>…Do.. item No 44</t>
  </si>
  <si>
    <t>Supply and fixing of SC-LC/LC-LC patch cards(1mtr length)</t>
  </si>
  <si>
    <t>Qtn from RS IT Cibsult Service Dt 14-10-2024 Item no.1</t>
  </si>
  <si>
    <t>Qtn- Item no.1</t>
  </si>
  <si>
    <t>Qtn- Item no.2</t>
  </si>
  <si>
    <t>Qtn- Item no.3</t>
  </si>
  <si>
    <t>Qtn- Item no.4</t>
  </si>
  <si>
    <t>Qtn- Item no.5</t>
  </si>
  <si>
    <t>Qtn- Item no.6</t>
  </si>
  <si>
    <t>Qtn- Item no.7</t>
  </si>
  <si>
    <t>Qtn- Item no.8</t>
  </si>
  <si>
    <t>Qtn- Item no.9</t>
  </si>
  <si>
    <t>Qtn- Item no.10</t>
  </si>
  <si>
    <t>Qtn- Item no.11</t>
  </si>
  <si>
    <t>Qtn- Item no.12</t>
  </si>
  <si>
    <t>Qtn- Item no.13</t>
  </si>
  <si>
    <t>Qtn- Item no.14</t>
  </si>
  <si>
    <t>A/FX/P-129/24-25 Dt. 30-7-24 (GM Discussion system) item No.2</t>
  </si>
  <si>
    <t>JE/Drg                  SSE/Drg                          SSE/T/Divn                               Sr.DSTE/HYB</t>
  </si>
  <si>
    <t>S C H E D U L E</t>
  </si>
  <si>
    <t>INSPECTION</t>
  </si>
  <si>
    <t>PCSTE</t>
  </si>
  <si>
    <t>PCOM</t>
  </si>
  <si>
    <t>Department:S&amp;T</t>
  </si>
  <si>
    <t>PCOM/SC's Fund</t>
  </si>
  <si>
    <t>Estimate No. Y/SG/Est/23-24/89</t>
  </si>
  <si>
    <t xml:space="preserve"> DETAILED ESTIMATE</t>
  </si>
  <si>
    <r>
      <t>Name of the work:</t>
    </r>
    <r>
      <rPr>
        <sz val="9"/>
        <color theme="1"/>
        <rFont val="Arial"/>
        <family val="2"/>
      </rPr>
      <t xml:space="preserve"> Hyderabad Division-:-   Railnilayam - Repairs/Renovation of  PCOM/SC office in 2nd floor, A-Block, Railnilayam - Telecom Arrangeents                                                            </t>
    </r>
  </si>
  <si>
    <t>Cost in Rs.</t>
  </si>
  <si>
    <t>Cash</t>
  </si>
  <si>
    <t>Supply  and laying of CAT 6 UTP cable Dlink/Amp/Molex</t>
  </si>
  <si>
    <t>box</t>
  </si>
  <si>
    <t>AFX/W.14/03/21-22. Dt. 26-07-2021 (CCTV -RPF) item No.1</t>
  </si>
  <si>
    <t>Supply and fixing of 25 mm pvc pipe in the walls conceal as required by the railways at site</t>
  </si>
  <si>
    <t>A/FX/E-003/24-25. Dt.05-4-24 Zonal Tele Hqrs)  item No 10</t>
  </si>
  <si>
    <t xml:space="preserve">supply and fixing of fully loded Loaded shutter type I/O/ keystone 4 modular Box with back Box PVC/MS as per site requirement </t>
  </si>
  <si>
    <t>Quotation (Conference hall of PCEE's office in 7th  floor of RN</t>
  </si>
  <si>
    <t>Supply &amp; fixing of 40 mm PVC Pipes in the walls conseal as required by the Railways</t>
  </si>
  <si>
    <t>AFX/S&amp;T/P-528/2021-22                                                                Dt. 15.02.2022 ( Zonal Tele SC-MUE) Item No 22</t>
  </si>
  <si>
    <t xml:space="preserve"> Supply &amp; laying of TV Co-axial cable RG-6 (Make: Deltone/Finolex/Comscope) in the PVC Casing/ PVC/ Pipes/Channels.-per Metre</t>
  </si>
  <si>
    <t>A/FX/E-003/24-25. Dt.05-4-24 Zonal Tele Hqrs)  item No 50</t>
  </si>
  <si>
    <t>supply of Multi Cord Binders SIZE 16 mm Make:MX or better (1.5 mts length)</t>
  </si>
  <si>
    <t>Nos.</t>
  </si>
  <si>
    <t>.. Do.. item No 73</t>
  </si>
  <si>
    <t>Supply and installation of 1 KVA UPS with 30 minutes backup Make: Aplab/ Emmerson/Numeric/APC/Libert.)</t>
  </si>
  <si>
    <t>AFX/S&amp;T/P-12/2021-22 dt 05.04.2021 (Strengthening of Railnet Railnilayam) Item No:15</t>
  </si>
  <si>
    <t>Supply of 1:4 HDMI® Distribution Amplifier  Make: Make:Aten/Extron/Crestron</t>
  </si>
  <si>
    <t>Supply of Active High speed HDMI cable with Eternet 15  Mtrs 4K@60Hz (4:4:4) Aten</t>
  </si>
  <si>
    <t>AFX/Sr.DEE/TR/HYB/P-172/2022-23.       Dt.08-08-2022 (TRD) Item No.F.8</t>
  </si>
  <si>
    <t>Supply of Active High speed HDMI cable with Eternet 20 Mtrs 4K@60Hz (4:4:4) Aten</t>
  </si>
  <si>
    <t>.--Do--Item No.F.9</t>
  </si>
  <si>
    <t>supply and installation of Rukus Access point R650 with licence and 3 year support</t>
  </si>
  <si>
    <t>Quotation from RS IT Consultenacy  26-6-2024 item No.3</t>
  </si>
  <si>
    <t>supply and installation of 24 fiber FDMS</t>
  </si>
  <si>
    <t>A/FX/IRISET/E-office Estt/21-22 Dt. 10.06.21 (OFC Ring Connectivity) part A-item no 13</t>
  </si>
  <si>
    <t>supply and installation of LC-LC/LC-SC fiber Patch cords 1 mtr</t>
  </si>
  <si>
    <t>A/FX/E-5/23-24.  Dt.13-4-23 (PCCM conf hall)- item No 53</t>
  </si>
  <si>
    <t xml:space="preserve"> Supply fixing or 15 u wall mount rack with Acessorie </t>
  </si>
  <si>
    <t>.. Do.. item No 63</t>
  </si>
  <si>
    <t>Supply and installation of 2 kva ups</t>
  </si>
  <si>
    <t>No.A/FX/E-62/23-24 Dt:16-08.2023(PCEE office renovation) item.No.41</t>
  </si>
  <si>
    <t>Supply  of12V/26 AH -4 Nos along with connecting Cables</t>
  </si>
  <si>
    <t>.. Do.. item No 42</t>
  </si>
  <si>
    <t>Supply and installation of Battery Stand</t>
  </si>
  <si>
    <t>.. Do.. item No 43</t>
  </si>
  <si>
    <t>Supply of 100 X 25 mm aluminium race ways of 2mm thickness</t>
  </si>
  <si>
    <t>No.A/FX/E-62/23-24 Dt:16-08.2023(PCEE office renovation) item.No.1</t>
  </si>
  <si>
    <t xml:space="preserve">Laying of 100X25mm aluminium race ways and fixing. Required couplings , clamps  etc as per site requirement </t>
  </si>
  <si>
    <t>.. Do.. item No 2</t>
  </si>
  <si>
    <t>.. Do.. item No 3</t>
  </si>
  <si>
    <t>Cutting of floor  with cutting Machine for  laying the pipes / cables as per the instructions of  site supervisor</t>
  </si>
  <si>
    <t>A/FX/E-003/24-25. Dt.05-4-24 Zonal Tele Hqrs)  item No 68</t>
  </si>
  <si>
    <t>Supply of Finolex 1.5 sqmm 2 core armored speaker cable</t>
  </si>
  <si>
    <t>Quotation from Optonet 26-6-2024 item No.1</t>
  </si>
  <si>
    <t>Ynstallation, testing and commissioning of speakers and reconnection of the same</t>
  </si>
  <si>
    <t>set</t>
  </si>
  <si>
    <t>.--Do-- Item No.2</t>
  </si>
  <si>
    <t>Repairing  of SPA PCB Mainboard.CCSD-CU &amp; -CURD</t>
  </si>
  <si>
    <t>.--Do-- Item No.3</t>
  </si>
  <si>
    <t>Repairing of  BU PACO</t>
  </si>
  <si>
    <t>.--Do-- Item No.4</t>
  </si>
  <si>
    <t xml:space="preserve">Supply of 12 core single mode armoured optical fiber cable </t>
  </si>
  <si>
    <t>AFX/S&amp;T/E-17/ 2023-24. Dt. 05-06-23. (UW-1 Tele min amnities)  Item No.17</t>
  </si>
  <si>
    <t>supplly and instalation of 24 port poe switch CBS 350 poe 195 W</t>
  </si>
  <si>
    <t>No.A/FX/E-62/23-24 Dt:16-08.2023(PCEE office renovation) item.No.18</t>
  </si>
  <si>
    <t>supply and installation of DP to HDMI converter</t>
  </si>
  <si>
    <t>AFX/W-I4/13/2021-22                                                           Dt. 27-10.2021. (Firewall) Item No.</t>
  </si>
  <si>
    <t xml:space="preserve"> Total  : </t>
  </si>
  <si>
    <t>Grand Total  (I+II) :</t>
  </si>
  <si>
    <t>JE/Drg                               SSE/Drg                                  SSE/T/Divn                                  Sr.DSTE/HYB</t>
  </si>
  <si>
    <t xml:space="preserve">Supply and installation of access point perpetual license </t>
  </si>
  <si>
    <t>supply and installation of Rukus Acess point R350</t>
  </si>
  <si>
    <t>A/FX/IRISET/e-office Estt/2021-22. Dt. 10-06-2021. (IRISET-OFC Ring connectivity)WiFi  item No.1</t>
  </si>
  <si>
    <t>perpetual Licence for Ap registration for Access point</t>
  </si>
  <si>
    <t>.--Do-- item No 2</t>
  </si>
  <si>
    <t>wifi work</t>
  </si>
  <si>
    <t>A/FX/E-003/24-25. Dt.05-4-24 Zonal Tele Hqrs)  item No 73</t>
  </si>
  <si>
    <t>AFX/Sr.DEE/TR/HYB/P-172/2022-23.       Dt.08-08-2022 (TRD) Item No.F.9</t>
  </si>
  <si>
    <t>A/FX/E-5/23-24.  Dt.13-4-23 (PCCM conf hall)- item No 63</t>
  </si>
  <si>
    <t>Quotation from Optonet 26-6-2024 item No.2</t>
  </si>
  <si>
    <t>Installation, testing and commissioning of speakers and reconnection of the same</t>
  </si>
  <si>
    <t xml:space="preserve">Conf-PCEE </t>
  </si>
  <si>
    <t>PFA</t>
  </si>
  <si>
    <t>Total</t>
  </si>
  <si>
    <t>A</t>
  </si>
  <si>
    <t>B</t>
  </si>
  <si>
    <t>Total (B) :</t>
  </si>
  <si>
    <t>C</t>
  </si>
  <si>
    <t>LABOUR PORTION (SOR Items) :</t>
  </si>
  <si>
    <t>Provision and laying in position cement concrete of 1 cement:3 sand:6 graded stone aggregate of 20mm normal size excluding  cost of cement, centering and shuttering ( including transportation of all the material)  .</t>
  </si>
  <si>
    <t>Cu.Mtr</t>
  </si>
  <si>
    <t>Supply of Cement 53 grade (@ the  Rate (in Rupees) of 2.2  quintals per Cu.m of concrete  including transportation</t>
  </si>
  <si>
    <t>Quintal</t>
  </si>
  <si>
    <t>Total (C) :</t>
  </si>
  <si>
    <t>D</t>
  </si>
  <si>
    <t>Total (D) :</t>
  </si>
  <si>
    <t>Schedule for PCEE &amp; PFA conference hall (Quotation)</t>
  </si>
  <si>
    <t>Supply of  65 Inch display with HDMI-3 nos,  500 nit,USB,LAN DVI,  , Make: LG/sumsung/sony</t>
  </si>
  <si>
    <t>Supply of  65 Inch Professional display with HDMI-3 nos, DP-2 nos , 500 nit,USB,LAN DVI, 20W, ,Anti Glare, Auto Input  search, Auto sleep, Auto wakeup Make: LG/sumsung/sony</t>
  </si>
  <si>
    <t xml:space="preserve">Supply of 55 Inch Professional display with HDMI-3 nos, DP-2 nos , USB,LAN DVI, 20 W , 500 nit, Anti glare,Auto Input  search, Auto sleep, Auto wakeup.licence Make:  LG/sumsung/sony ( As per specification given in Annexure) </t>
  </si>
  <si>
    <t>Supply of  Confidence Monitor stand for well display Make:  nT</t>
  </si>
  <si>
    <t>supply and installation of 16 inch  touch display with USB C Make: Viewsonic/WACOM/QOMO</t>
  </si>
  <si>
    <t>Supply of  Custom mount for Monitor  Make: nT</t>
  </si>
  <si>
    <t xml:space="preserve">Supply of  UHF Wirless systems 2x4 Channel frequency  Handled Mic Make: Shure/EV/Sennheiser ( As per specification given in Annexure) </t>
  </si>
  <si>
    <t xml:space="preserve">Supply of  UHF Wirless systems 2x4 Channel frequency  Lapel Mic Make: Shure/EV/Sennheiser ( As per specification given in Annexure) </t>
  </si>
  <si>
    <t xml:space="preserve">Supply of  Plug-and-play Digital control Unit control for up to 245 Discussion Devices with Built-in digital recorder with internal memory (minimum 5 hours recording/ Playback ( As per specification given in Annexure) </t>
  </si>
  <si>
    <t xml:space="preserve">Supply of  Digital Delegate Discussion unit with removable long stem microphone Built-in loudspeaker, Headphone connector, with cable ( As per specification given in Annexure) </t>
  </si>
  <si>
    <t xml:space="preserve">Supply of  Digital Chairman Discussion unit with removable long stem microphone (Built-in loudspeaker, Headphone connector,with cable  ( As per specification given in Annexure) </t>
  </si>
  <si>
    <t>Supply of  5M Extension Cable/Make:Bosch</t>
  </si>
  <si>
    <t>Supply of  10M Extension Cable/Make:Bosch</t>
  </si>
  <si>
    <t xml:space="preserve">Supply of  Digital Mixer : Digital Signal Processor with 4 balanced mic inputs, 2 balanced Mic/Line inputs and 1 stereo unbalanced input. USB audio interface for soft VC integration ,Onboard acoustic echo cancel (AEC) processing.( As per specification given in Annexure) </t>
  </si>
  <si>
    <t>Supply of  Compact Full Range 4" Ceiling Speaker with 30 W RMS power @ 8 Ohms, Type A with steel back can. Make:Lapgruppen/Bose/QSE</t>
  </si>
  <si>
    <t>pairs</t>
  </si>
  <si>
    <t xml:space="preserve">Supply of  8x8 HDMI matix switcher  Make: Crestron/Kramer/Liberty AV ( As per specification given in Annexure) </t>
  </si>
  <si>
    <t xml:space="preserve">Supply of   HDMI extender set 70m Make: Liberty ( As per specification given in Annexure) </t>
  </si>
  <si>
    <t>Supply of  1:10 4K HDR HDMI DA/Kramer/ Creston/Extron</t>
  </si>
  <si>
    <t>Supply of  Under Desk mounting kit/Kramer/nT</t>
  </si>
  <si>
    <t>Supply of Wall Mount for above camera/nT</t>
  </si>
  <si>
    <t xml:space="preserve">Supply of Audio Spaker Cable. Make:Kramer  ( As per specification given in Annexure)  </t>
  </si>
  <si>
    <t>Supply of  Microphone Cable /Make:Kramer</t>
  </si>
  <si>
    <t>Supply of  Premium High−Speed HDMI Cable 15feet/Make:Kramer</t>
  </si>
  <si>
    <t>Supply of  High−Speed HDMI Cable 25 feet/Make:Kramer</t>
  </si>
  <si>
    <t xml:space="preserve">Supply of  USB 2.0 A to B cable 6 feet/Make:Kramer  ( As per specification given in Annexure)  </t>
  </si>
  <si>
    <t>Supply of USB over UTP RX&amp;TX Make: Icron</t>
  </si>
  <si>
    <t xml:space="preserve">Supply of  12x video conference camera  ( As per specification given in Annexure)  </t>
  </si>
  <si>
    <t>Design ,Installation , programming ,testing and commissioning complete system, ,User training (2-days)  and Documentation to prepared in Auto cad and submited soft copy-1 &amp; Hard copy in spiral binding/laminated  in 3 sets</t>
  </si>
  <si>
    <t xml:space="preserve">Lot </t>
  </si>
  <si>
    <t xml:space="preserve">supply and installation 55" of smart display in officers chamber with sound bar  ( As per specification given in Annexure) </t>
  </si>
  <si>
    <t xml:space="preserve">Supply of 22 inch interactive (+/-2 inch) Monitor ( As per specification given in Annexure) </t>
  </si>
  <si>
    <t xml:space="preserve">Supply of Table mounts for Monitor ( As per specification given in Annexure) </t>
  </si>
  <si>
    <t xml:space="preserve">Supply of  Well Display Mount on Wheels ( As per specification given in Annexure) </t>
  </si>
  <si>
    <t xml:space="preserve">Supply of  15.6 inch integrated monitor lift   ( As per specification given in Annexure) </t>
  </si>
  <si>
    <t xml:space="preserve">Supply of   10 X PTZ camera with IP,HDMI,USB Output ( As per specification given in Annexure) </t>
  </si>
  <si>
    <t xml:space="preserve">Supply of   4x4 USB 3.2 Gen 1 industrial Hub Switch with RS-232/ RS485 /RS422 control ( As per specification given in Annexure) </t>
  </si>
  <si>
    <t xml:space="preserve">Supply of   Bose Free space FS4SE,Surface Mount ( As per specification given in Annexure) </t>
  </si>
  <si>
    <t>Pairs</t>
  </si>
  <si>
    <t xml:space="preserve">Supply of  Bose Free space FS2C ceiling speaker  ( As per specification given in Annexure) </t>
  </si>
  <si>
    <t xml:space="preserve">Supply of  Bose POWERSPACE  P4150+230V EU ( As per specification given in Annexure) </t>
  </si>
  <si>
    <t xml:space="preserve">Supply of  Cardioid Condenser Boundary Microphone with Mute switch, 5-Pin XLR Output and Remote Muting of Shure/ Audiotechnica/Schnniser ES947C/FM5 ( As per specification given in Annexure) </t>
  </si>
  <si>
    <t xml:space="preserve">Supply and installation of Push button integration module of Extron/Kramer/Crestron make or similar. With 8 I/O to Interface sensors, detectors, contact closures and alarms,  should also provide feedback voltage of 5/ 12/ 24 volts to power the LED indicators for feedback, ( As per specification given in Annexure) </t>
  </si>
  <si>
    <t xml:space="preserve">Supply of  Microphone Desk Stand Wireless Transmitter + Rack-mount receiver chassis + Receiver ( As per specification given in Annexure) </t>
  </si>
  <si>
    <t xml:space="preserve">Supply of  Audio Technica Cardioid Condenser Quick Mount Gooseneck Microphone 8" or less stem length ( As per specification given in Annexure) </t>
  </si>
  <si>
    <t xml:space="preserve">Supply of  Audio Technica Cardioid Condenser Quick Mount Gooseneck Microphone 15" or less stem length ( As per specification given in Annexure) </t>
  </si>
  <si>
    <t xml:space="preserve">Supply of  Bose Audio processor CONTROLSPACE EX-1280C ( As per specification given in Annexure) </t>
  </si>
  <si>
    <t xml:space="preserve">Supply of    AV Control processor with 10.2 inch wireless touch control interface ( As per specification given in Annexure) </t>
  </si>
  <si>
    <t xml:space="preserve">Supply of Cables and Connectors,Control cables,Speaker cables, mic/Audio cables ( As per specification given in Annexure) </t>
  </si>
  <si>
    <t>Lot</t>
  </si>
  <si>
    <t xml:space="preserve">Supply of  Legrand POP-UP box with HDMI X 1,USB charger X 1, Dummy X 2  ( As per specification given in Annexure) </t>
  </si>
  <si>
    <t>Supply and laying of 25 mm PVC pipe</t>
  </si>
  <si>
    <t xml:space="preserve">installation,Programing, Documentation, labling and Training ( As per specification given in Annexure) </t>
  </si>
  <si>
    <t xml:space="preserve">Supply and installation of rack mounted 24 fibre
Distribution Management System (FDMS) </t>
  </si>
  <si>
    <t>Schedule for PCEE &amp; PFA conference hall</t>
  </si>
  <si>
    <t xml:space="preserve">Supply of  30Watt Surface mount full Range speakers 2 way Make: Tannoy/Bose/QSE. Colour will be specified by site incharge ( As per specification given in Annexure)  </t>
  </si>
  <si>
    <t>Pair</t>
  </si>
  <si>
    <t xml:space="preserve">Supply of  Dual Channel  Amplifier with delivering  2 x 120 W @ 4/8 Ohms and 70V/100V. Make:Lapgruppen/Bose/QSE ( As per specification given in Annexure) </t>
  </si>
  <si>
    <t xml:space="preserve">supply of HDMI HDBaseT-Lite Transmitter with EU wall plate type Make:Kramer/Extron/Crestron ( As per specification given in Annexure) </t>
  </si>
  <si>
    <t xml:space="preserve">Supply of  Control processor for full room AV Automation Make::Kramer/Extron/Crestron  ( As per specification given in Annexure)  </t>
  </si>
  <si>
    <t>Supply of Apple IPad 10.2-inch Retina display, A12 Bionic chip,8 GB RAM , 32 GB Wi-Fi or Latest for Audio , video integration  purpose</t>
  </si>
  <si>
    <t xml:space="preserve">Supply of Cable Mount Enclosure with 1-Power,, 1 LAN, 1 HDMI, and 1-USB Make: Logic/nT/Magnum  </t>
  </si>
  <si>
    <t xml:space="preserve">supply and installation of 4 port USB switcher Make: icron  ( As per specification given in Annexure)  </t>
  </si>
  <si>
    <t>Supply of  HDMI cable 1.8 Mtr Make: Kramer/Extron/Crestron</t>
  </si>
  <si>
    <t>Supply of  USB 3.0 A (male) to USB B (Male) cable Make: Kramer/Extron/Crestron</t>
  </si>
  <si>
    <t>Supply of CAT-6 STP Cable, 305 Mtrs Make: Dlink/3C/Legrand</t>
  </si>
  <si>
    <t>Supply of  Connectors  Bulk and required accessories  as per site requirement</t>
  </si>
  <si>
    <t xml:space="preserve">Splicing of Optical Fiber Cable (Pair) with splicing loss should be less than 0.5dbwith neat dressing  in FDMS/Joint Enclosure </t>
  </si>
  <si>
    <t>Supply of Quad Face plate with RJ11 I/O's  Make : Legrand/Bestnet/Dlink</t>
  </si>
  <si>
    <t xml:space="preserve">Supply and installation of rack mounted 24F FMS fiber part no.fms-1u 24FS 24FP Raychem/ Rosenberger /Bestnet </t>
  </si>
  <si>
    <t>Supply and fixing of SC-LC/LC-LC patch cards(1mtr length) with 0dB adaptors as per TEC spec G/OJC-01/03 JAN 99 or latest make Make:3C3/legrand/ comscope</t>
  </si>
  <si>
    <t>Supply and installation of  Aten DP to HDMI converter 1080P</t>
  </si>
  <si>
    <t xml:space="preserve">Supply of portable Teaching Amplifier 3710 MX make   ( As per specification given in Annexure)  </t>
  </si>
  <si>
    <t>Supply &amp; installation of Wireless Access Point 3X3:3x Streams, Beam flex + Dual ports802.3  af  POE  support including mounting kit   Make RUCKUS  Model:  R 650</t>
  </si>
  <si>
    <t>perpetual Licence for Ap registration for RUCKUS  AP</t>
  </si>
  <si>
    <t>supply and installation of 10 mtr MPO casset 24 fiber patch pannel with fiber cableboth End combination of SC-SC/SC-LC/LC-LC as per site requirement</t>
  </si>
  <si>
    <t>supply and installation of 15 mtr MPO casset 24 fiber patch pannel with fiber cableboth End combination of SC-SC/SC-LC/LC-LC as per site requirement</t>
  </si>
  <si>
    <t>Supply of  24 Port Smart Managed PoE Switch 24x Gigabit Copper PoE and 4x Gigabit dual pers., Make CISCO CBS350 or better</t>
  </si>
  <si>
    <t xml:space="preserve">Supply of exchange monitoring   console  for exchange admin user suitable conference system  for soft VC integration  ( As per specification given in Annexure)  </t>
  </si>
  <si>
    <t>Supply of 12 fibre Single mode armoured optical fiber cable - fibre to have nominal dia. of 8.8 µm to 9.8 µm and normal cladding diameter of 125 µm ± 1 or better. As per RDSO Spec No.IRS: TC 55 2006 (Rev.1.0)  Amendment.3 or latest Make: Finolex or better</t>
  </si>
  <si>
    <t>Mts</t>
  </si>
  <si>
    <t>supply  of  4 way Spike busters with 5 mtrs power cable with individual switch And Fused for each socket 5A reputed make: MX./ Anchor/Legrand</t>
  </si>
  <si>
    <t>Supply of RJ-45 Jacks  for  CAT-6 cable.Make: D-Link.</t>
  </si>
  <si>
    <t>Supply &amp; fixing of 15U rack. With  locking front glass door and fully vented rear steel door, compatible with standard 19" accessories  with cooling fan, power manager with 5 sockets,1 equipment tray, earth connecting kit etc this includes wiring as per the instruction of site incharge. Make: HCL/ Vero president/bestnet.</t>
  </si>
  <si>
    <t>supply of Multi Cord Binders SIZE 22 mm Make:MX or better (1.5 mts length)</t>
  </si>
  <si>
    <t>Supply of RG-6 PVC Copper Co-axial cable (Make: Deltone / Finolex/Comscope) in the PVC Casing/ PVC/ Pipes/Channels.-per Metre</t>
  </si>
  <si>
    <t>Supply and installation of rack mounted 12F FMS fiber part no.fms-1u 12FS 12FP Raychem make including 12Nos 0.2db FC /PC adaptors and 12 numbers 900 micron 1.5 meter FCPC pigtails. RDSO Spec No.: RDSO/SPN/TC-037-2000 (Ver.3) or latest.</t>
  </si>
  <si>
    <t>No.</t>
  </si>
  <si>
    <t>Supply of 100 X 40/25 mm aluminium race ways of 2mm thickness as per specified by site in charge</t>
  </si>
  <si>
    <t>Supply and laying of Cat of CAT-6 UTP cable drum/ box of 305 mtrs length each make D-link/Molex/Amp</t>
  </si>
  <si>
    <t>Box</t>
  </si>
  <si>
    <t>Supply and fixing/laying of 40mm dia 2mm thick PVC pipe (Sudhakar/Nandi/SR make or bettr) duly groving concealed in the walls. All the required accessories such as Deep boxes, Jn Boxes, Normal bends, diversion bends etc are to be arranged by the contractor,as specified by supervisor in-charge.</t>
  </si>
  <si>
    <t>Supply and fixing/laying of 25mm dia 2mm thick PVC pipe (Sudhakar/Nandi/SR make or bettr) duly groving concealed in the walls. All the required accessories such as Deep boxes, Jn Boxes, Normal bends, diversion bends etc are to be arranged by the contractor,as specified by supervisor in-charge.</t>
  </si>
  <si>
    <t>Cutting of floor with machine of 100 mm width X25/40mm depth trench for aluminium race ways with aluminium clamps/PVC Pipe with clamp at every 1 meter.  and restoring the surface (All required materials are to be arranged by the contractor</t>
  </si>
  <si>
    <t>Laying different type of  PVC/UTP/RG-6/11/Data cables etc through PVC pipes or casing as per instructions of site  in-charge.</t>
  </si>
  <si>
    <t>Supply of Velero Roll 10 mtr length For Tagging for cables</t>
  </si>
  <si>
    <t>Supply of managed Poe 24  port Gigbit ethernet switch  CBS 350-24P power budget 195W</t>
  </si>
  <si>
    <t>supply of 2 mtr 4k HDMI cable Make :ATEN</t>
  </si>
  <si>
    <t>supply of 1 mtr 4k HDMI cable Make :ATEN</t>
  </si>
  <si>
    <t>Supply of Sony PX470 Digital Voice Rordr PX series, ICD-PX470</t>
  </si>
  <si>
    <t>supply and installation of 36 U rack with wheel locking ,cooling fan,full depth Tray, power manager, cable manger  make: val rack/ besrnet</t>
  </si>
  <si>
    <t>Supply &amp; installation of 2KVA  True On Line UPS, with surge protection filter including all accessories Model No. Make Aplab/APC/Libert/Delta or better All required materials such as MCB of suitable rating for installation would have to be arranged by contractor and consisting of 
a)  Microprocessor based double conversion true on line UPS System.
b) Key features.
c) DSP 4thy generation Technology.
d) Front LCD Panel * IGBT Rectifier.
e) Low input currunt distortion &lt; 3%
f) Output power factor+0.9
g) Wide input-Voltage Range
h) Single phase input and Singlle phase output.</t>
  </si>
  <si>
    <t>Supply and installation of  26AH/12V - 4 Nos SMF batteries for backup for above 2 KVA on line UPS system  (Make: Amaron Quanta/Exide/HBL or better)  along with battery  inter linking cables.</t>
  </si>
  <si>
    <t>Supply and installation of  MS stand, inter connectors for above 2 KVA on line UPS system  batteries</t>
  </si>
  <si>
    <t>Supply and installation of  Logitech R500 slide changer wireless reckonr</t>
  </si>
  <si>
    <t xml:space="preserve">Supply and installation of 86/85 Inch Professional display with HDMI-3 nos, DP-2 nos , 500 nit,USB,LAN DVI, 20W, Make: LG/sumsung/sony ( As per specification given in Annexure) </t>
  </si>
  <si>
    <t>Supply of Wireless Access Point Rukus R650 or Latest</t>
  </si>
  <si>
    <t xml:space="preserve">Supply of  26 AV Rack 800x600 with sheves,fan,PDU and caster wheels ( As per specification given in Annexure) </t>
  </si>
  <si>
    <t xml:space="preserve">Supply of  HDMI cable 1.8 Mtr Make: Kramer/Extron/Crestron ( As per specification given in Annexure) </t>
  </si>
  <si>
    <t>Sch-A</t>
  </si>
  <si>
    <t>Sch-B</t>
  </si>
  <si>
    <t>Sch-C</t>
  </si>
  <si>
    <t>Sch-D</t>
  </si>
  <si>
    <t>Sch-E</t>
  </si>
  <si>
    <t xml:space="preserve">Name of the Work: Hyderabad Division -  -Signal &amp; Telecom arrangement-(1) Railnilayam: Telecom arrangements in connection with Proposed Renovation of Conference hall of PCEE's office in 7th  floor of Rail niayam and office chambers in TRD office, 4th floor C-block, Railnilayam (2) Telecom arrangements( conference hall) in connection with  Construction of Temporary accommodation for construction Accounts in PFA/O/RN  (3) Renovation of PCSTE Chamber, officers chmbers (5 nos) and  S&amp;T control office at PCSTEs office,7th floor Railnilayam-Telecom arrangements (4)  Railnilayam - Repairs/Renovation of  PCOM/SC office in 2nd floor, A-Block, Railnilayam - Telecom Arrangeents                                                            </t>
  </si>
  <si>
    <t>Total (A) :</t>
  </si>
  <si>
    <t>Schedule for PCSTE &amp; PCOM</t>
  </si>
  <si>
    <t>TOTAL</t>
  </si>
  <si>
    <t xml:space="preserve">Supply of splicing of fiber cables </t>
  </si>
  <si>
    <t>Supply of  wireless presenter/screen beem to share the content from Mobile ( Andriod, IOS) and BYOD Make: screen Beam/creston as per specification given in Annexure</t>
  </si>
  <si>
    <t>Total (A+B+C+D) :</t>
  </si>
  <si>
    <t>Est cost</t>
  </si>
  <si>
    <t>CSTE</t>
  </si>
  <si>
    <r>
      <t xml:space="preserve">HDMI Distribution Amplifier </t>
    </r>
    <r>
      <rPr>
        <sz val="9"/>
        <color rgb="FFC00000"/>
        <rFont val="Arial"/>
        <family val="2"/>
      </rPr>
      <t xml:space="preserve">1:4 or </t>
    </r>
    <r>
      <rPr>
        <sz val="9"/>
        <color theme="1"/>
        <rFont val="Arial"/>
        <family val="2"/>
      </rPr>
      <t>1:8 /Kramer/creston/extron</t>
    </r>
  </si>
  <si>
    <t>HDMI Distribution Amplifier 1:4 or 1:8 /Kramer/creston/extron</t>
  </si>
  <si>
    <t>Inspection</t>
  </si>
  <si>
    <t>Consignee</t>
  </si>
  <si>
    <t xml:space="preserve">Supply and installation of office printer ( As per specification given in Annexure) </t>
  </si>
  <si>
    <t xml:space="preserve">Supply and installation of High end desk cum Presention system with license of 365 and Adobe ( As per specification given in Annexure) </t>
  </si>
  <si>
    <t xml:space="preserve">Supply and installation of document scanner ( As per specification given in Annexure) </t>
  </si>
  <si>
    <t>JE/Drg                SSE/Drg                 SSE/T                           SSE/S/                           Sr.DSTE/HYB</t>
  </si>
  <si>
    <t>Supply and installation of portable smart Dash board monitoring unit as per Specification given in Annexure</t>
  </si>
  <si>
    <t xml:space="preserve"> Supply and installation of  Professional Signage Display, 24X7 operations  Make:Samsung QM55C or latest or similar from LG/Sony</t>
  </si>
  <si>
    <t>supply of Network  controlled player  Make: Biamp/Apart/Sonos  (As per specification given in Annexure)</t>
  </si>
  <si>
    <t>supply of free space flush mount ceiling speakers 4 with ceiling sub woofer Make:BOSE/Mayersound/Laccoustics  (As per specification given in Annexure)</t>
  </si>
  <si>
    <t>supply of passive infrared sensor Make:  Creston/Extron/Kramer  (As per specification given in Annexure)</t>
  </si>
  <si>
    <t>Schedule  (Quotation items)</t>
  </si>
  <si>
    <t>Total (A+B+C) :</t>
  </si>
  <si>
    <t>Supply and installation of rack mounted 24 fibre Distribution Management System (FDMS) of size 1U, of reputed/Branded company make as per Specn No. RDSO /SPN/TC/37/2020 Rev.4.0 with latest amendments. The FDMS shall include 24 SC-PC/Required adaptors having insertion loss less than or equal to 0.1dB and 24 numbers 900 micron 1.5m SC-PC/required pigtails.</t>
  </si>
  <si>
    <t>COM</t>
  </si>
  <si>
    <t>Supply &amp; installation of Wireless Access Point 3X3:3x Streams, Beam flex + Dual ports802.3  af  POE  support including mounting kit   Make RUCKUS  Model:  R 350</t>
  </si>
  <si>
    <t>Supply of Wireless Access Point Rukus R350 or Latest</t>
  </si>
  <si>
    <t>Supply  of UTP CAT 6 Cable (Roll is 305 Mtr) of D.LINKIAMP/KRONE including laying</t>
  </si>
  <si>
    <t>supply and installation of Rukus 650 or latest with Required registration Licence and 3yr support</t>
  </si>
  <si>
    <t>Cutting of floor/wall  with cutting Machine for  laying the pipes / cables as per the instructions of  site supervisor   and restoring the same (All required materials are to be arranged by the contractor</t>
  </si>
  <si>
    <t xml:space="preserve">Installation, testing and commissioning of speakers and reconnection of the same as per the instructions of  site supervisor   </t>
  </si>
  <si>
    <t>Set</t>
  </si>
  <si>
    <t>Schedule Supply potion</t>
  </si>
  <si>
    <t xml:space="preserve">Supply of Splicing of Optical Fiber Cable (Pair) with splicing loss should be less than 0.5dbwith neat dressing  in FDMS/Joint Enclosure </t>
  </si>
  <si>
    <t>Supply of HDMI Distribution Amplifier 1:4  /Kramer/creston/extron</t>
  </si>
  <si>
    <r>
      <t xml:space="preserve">HDMI Distribution Amplifier </t>
    </r>
    <r>
      <rPr>
        <sz val="9"/>
        <color rgb="FFC00000"/>
        <rFont val="Arial"/>
        <family val="2"/>
      </rPr>
      <t xml:space="preserve">1:4 </t>
    </r>
    <r>
      <rPr>
        <sz val="9"/>
        <color theme="1"/>
        <rFont val="Arial"/>
        <family val="2"/>
      </rPr>
      <t xml:space="preserve">  Mak: Kramer/creston/extron</t>
    </r>
  </si>
  <si>
    <t>Schedule Labour potion</t>
  </si>
  <si>
    <t xml:space="preserve">Supply and fixing/laying of 25mm dia 2mm thick PVC pipe (Sudhakar/SR make) on the walls.All necessary bends &amp; accessories to be provided by constractor as per site requirement. </t>
  </si>
  <si>
    <t>Supply &amp; installation of Wireless Access Point 3X3:3x Streams, Beam flex + Dual ports802.3  af  POE  support including mounting kit   Make RUCKUS  Model:  R 350 or latest</t>
  </si>
  <si>
    <t>supply and installation of 36 U rack with wheel locking ,cooling fan,full depth Tray, power manager, cable manger with all accessories make: val rack/ besrnet</t>
  </si>
  <si>
    <t>supply and installation of SIP Video phone VP -59 or latest</t>
  </si>
  <si>
    <t>PCEE Cof</t>
  </si>
  <si>
    <t>supply of True RMS  Digital Multimeter fluke-117 or latest</t>
  </si>
  <si>
    <t>supply of Battery Powered  400A AC/DC True RMS Clamp Meter  fluke-325 or latest</t>
  </si>
  <si>
    <r>
      <t>supply and installation of 16 inch</t>
    </r>
    <r>
      <rPr>
        <b/>
        <sz val="9"/>
        <rFont val="Arial"/>
        <family val="2"/>
      </rPr>
      <t xml:space="preserve"> </t>
    </r>
    <r>
      <rPr>
        <b/>
        <u/>
        <sz val="9"/>
        <rFont val="Arial"/>
        <family val="2"/>
      </rPr>
      <t>FHD</t>
    </r>
    <r>
      <rPr>
        <sz val="9"/>
        <rFont val="Arial"/>
        <family val="2"/>
      </rPr>
      <t xml:space="preserve"> touch display with USB C Make: Viewsonic/WACOM/QOMO</t>
    </r>
  </si>
  <si>
    <r>
      <t>supply and installation of 10 mtr MPO casset 24 fiber patch pannel with fiber cableboth End combination of SC-SC/SC-LC/LC-LC as per site requirement Make:</t>
    </r>
    <r>
      <rPr>
        <b/>
        <sz val="9"/>
        <rFont val="Arial"/>
        <family val="2"/>
      </rPr>
      <t xml:space="preserve"> Legrand/3C3</t>
    </r>
  </si>
  <si>
    <r>
      <t>supply and installation of 15 mtr MPO casset 24 fiber patch pannel with fiber cableboth End combination of SC-SC/SC-LC/LC-LC as per site requirement Make:</t>
    </r>
    <r>
      <rPr>
        <b/>
        <sz val="9"/>
        <rFont val="Arial"/>
        <family val="2"/>
      </rPr>
      <t xml:space="preserve"> Legrand/3C3</t>
    </r>
  </si>
  <si>
    <t>Supply of  wireless presenter to share the content and BYOD Device Make: screen Beam/creston as per specification given in Annexure</t>
  </si>
  <si>
    <t xml:space="preserve">Supply of portable Teaching Amplifier 3710 MX make /simliar  ( As per specification given in Annexure)  </t>
  </si>
  <si>
    <t>Repairing of  BU PACO of Audio controller</t>
  </si>
  <si>
    <t>Supply of  Cardioid Condenser Quick Mount Gooseneck Microphone 15" or less stem length ( As per specification given in Annexure) Make: Audio technica/shure</t>
  </si>
  <si>
    <t>Supply and laying of Finolex 1.5 sqmm 2 core armored speaker cable</t>
  </si>
  <si>
    <t>JE/Drg                    SSE/Drg                         SSE/T/HYB                                 ADSTE/HYB</t>
  </si>
  <si>
    <r>
      <t xml:space="preserve">Supply of  </t>
    </r>
    <r>
      <rPr>
        <b/>
        <sz val="9"/>
        <rFont val="Arial"/>
        <family val="2"/>
      </rPr>
      <t xml:space="preserve"> </t>
    </r>
    <r>
      <rPr>
        <sz val="9"/>
        <rFont val="Arial"/>
        <family val="2"/>
      </rPr>
      <t>Cardioid Condenser Quick Mount Gooseneck Microphone 8" or less stem length ( As per specification given in Annexure) Make: Audio technica/shure</t>
    </r>
  </si>
  <si>
    <t>HDMI Distribution Amplifier 1:4   Mak: Kramer/creston/extron</t>
  </si>
  <si>
    <t>Total Schedule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</si>
</sst>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_(* #,##0.00_);_(* \(#,##0.00\);_(* &quot;-&quot;??_);_(@_)"/>
    <numFmt numFmtId="165" formatCode="0.0"/>
    <numFmt numFmtId="166" formatCode="0.00000"/>
    <numFmt numFmtId="167" formatCode="0.00_ ;\-0.00\ "/>
    <numFmt numFmtId="168" formatCode="0.000"/>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b/>
      <sz val="9"/>
      <color theme="1"/>
      <name val="Arial"/>
      <family val="2"/>
    </font>
    <font>
      <sz val="9"/>
      <color theme="1"/>
      <name val="Arial"/>
      <family val="2"/>
    </font>
    <font>
      <sz val="8"/>
      <name val="Calibri"/>
      <family val="2"/>
      <scheme val="minor"/>
    </font>
    <font>
      <sz val="9"/>
      <name val="Arial"/>
      <family val="2"/>
    </font>
    <font>
      <b/>
      <sz val="9"/>
      <name val="Arial"/>
      <family val="2"/>
    </font>
    <font>
      <u/>
      <sz val="11"/>
      <color theme="10"/>
      <name val="Calibri"/>
      <family val="2"/>
      <scheme val="minor"/>
    </font>
    <font>
      <u/>
      <sz val="9"/>
      <name val="Arial"/>
      <family val="2"/>
    </font>
    <font>
      <b/>
      <sz val="12"/>
      <name val="Arial"/>
      <family val="2"/>
    </font>
    <font>
      <sz val="9"/>
      <color rgb="FFFF0000"/>
      <name val="Arial"/>
      <family val="2"/>
    </font>
    <font>
      <sz val="10"/>
      <color rgb="FFFF0000"/>
      <name val="Arial"/>
      <family val="2"/>
    </font>
    <font>
      <sz val="8.9"/>
      <color theme="1"/>
      <name val="Arial"/>
      <family val="2"/>
    </font>
    <font>
      <sz val="8.9"/>
      <color rgb="FFFF0000"/>
      <name val="Arial"/>
      <family val="2"/>
    </font>
    <font>
      <b/>
      <sz val="9"/>
      <color rgb="FFFF0000"/>
      <name val="Arial"/>
      <family val="2"/>
    </font>
    <font>
      <sz val="9"/>
      <color rgb="FF00B050"/>
      <name val="Arial"/>
      <family val="2"/>
    </font>
    <font>
      <sz val="9"/>
      <color rgb="FFC00000"/>
      <name val="Arial"/>
      <family val="2"/>
    </font>
    <font>
      <sz val="9"/>
      <color rgb="FF7030A0"/>
      <name val="Arial"/>
      <family val="2"/>
    </font>
    <font>
      <b/>
      <sz val="9"/>
      <color rgb="FF7030A0"/>
      <name val="Arial"/>
      <family val="2"/>
    </font>
    <font>
      <sz val="9"/>
      <color rgb="FF00B0F0"/>
      <name val="Arial"/>
      <family val="2"/>
    </font>
    <font>
      <b/>
      <sz val="9"/>
      <color rgb="FF00B0F0"/>
      <name val="Arial"/>
      <family val="2"/>
    </font>
    <font>
      <b/>
      <sz val="9"/>
      <color rgb="FFC00000"/>
      <name val="Arial"/>
      <family val="2"/>
    </font>
    <font>
      <sz val="9"/>
      <color rgb="FFFFFF00"/>
      <name val="Arial"/>
      <family val="2"/>
    </font>
    <font>
      <b/>
      <sz val="9"/>
      <color rgb="FFFFFF00"/>
      <name val="Arial"/>
      <family val="2"/>
    </font>
    <font>
      <sz val="8.9"/>
      <color rgb="FF7030A0"/>
      <name val="Arial"/>
      <family val="2"/>
    </font>
    <font>
      <sz val="10"/>
      <color rgb="FF7030A0"/>
      <name val="Arial"/>
      <family val="2"/>
    </font>
    <font>
      <sz val="9"/>
      <color rgb="FF0070C0"/>
      <name val="Arial"/>
      <family val="2"/>
    </font>
    <font>
      <sz val="8.9"/>
      <name val="Arial"/>
      <family val="2"/>
    </font>
    <font>
      <b/>
      <u/>
      <sz val="9"/>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style="thin">
        <color auto="1"/>
      </top>
      <bottom/>
      <diagonal/>
    </border>
    <border>
      <left/>
      <right/>
      <top style="thin">
        <color auto="1"/>
      </top>
      <bottom style="medium">
        <color indexed="64"/>
      </bottom>
      <diagonal/>
    </border>
    <border>
      <left/>
      <right/>
      <top style="thin">
        <color auto="1"/>
      </top>
      <bottom style="thin">
        <color indexed="64"/>
      </bottom>
      <diagonal/>
    </border>
    <border>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2" fillId="0" borderId="0"/>
    <xf numFmtId="0" fontId="2" fillId="0" borderId="0"/>
    <xf numFmtId="44" fontId="1" fillId="0" borderId="0" applyFont="0" applyFill="0" applyBorder="0" applyAlignment="0" applyProtection="0"/>
    <xf numFmtId="0" fontId="9" fillId="0" borderId="0" applyNumberFormat="0" applyFill="0" applyBorder="0" applyAlignment="0" applyProtection="0"/>
    <xf numFmtId="0" fontId="2" fillId="0" borderId="0"/>
    <xf numFmtId="0" fontId="2" fillId="0" borderId="0"/>
  </cellStyleXfs>
  <cellXfs count="448">
    <xf numFmtId="0" fontId="0" fillId="0" borderId="0" xfId="0"/>
    <xf numFmtId="0" fontId="3" fillId="0" borderId="0" xfId="0" applyFont="1" applyAlignment="1">
      <alignment horizontal="center" vertical="top"/>
    </xf>
    <xf numFmtId="0" fontId="3"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horizontal="left" vertical="top"/>
    </xf>
    <xf numFmtId="0" fontId="5" fillId="0" borderId="0" xfId="0" applyFont="1" applyAlignment="1">
      <alignment horizontal="center" vertical="top"/>
    </xf>
    <xf numFmtId="0" fontId="5" fillId="0" borderId="0" xfId="0" applyFont="1" applyAlignment="1">
      <alignment vertical="top" wrapText="1"/>
    </xf>
    <xf numFmtId="1" fontId="5" fillId="0" borderId="0" xfId="0" applyNumberFormat="1" applyFont="1" applyAlignment="1">
      <alignment horizontal="center" vertical="top" wrapText="1"/>
    </xf>
    <xf numFmtId="0" fontId="5" fillId="0" borderId="0" xfId="0" applyFont="1"/>
    <xf numFmtId="0" fontId="4" fillId="0" borderId="0" xfId="0" applyFont="1" applyAlignment="1">
      <alignment horizontal="right" vertical="top" wrapText="1"/>
    </xf>
    <xf numFmtId="165" fontId="5" fillId="0" borderId="0" xfId="0" applyNumberFormat="1" applyFont="1" applyAlignment="1">
      <alignment horizontal="center" vertical="top" wrapText="1"/>
    </xf>
    <xf numFmtId="1" fontId="5" fillId="0" borderId="0" xfId="0" applyNumberFormat="1" applyFont="1" applyAlignment="1">
      <alignment horizontal="center" vertical="top"/>
    </xf>
    <xf numFmtId="0" fontId="4" fillId="0" borderId="0" xfId="0"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left" vertical="top"/>
    </xf>
    <xf numFmtId="0" fontId="4" fillId="0" borderId="0" xfId="0" applyFont="1" applyAlignment="1">
      <alignment horizontal="left" vertical="top" wrapText="1"/>
    </xf>
    <xf numFmtId="166" fontId="5" fillId="0" borderId="0" xfId="0" applyNumberFormat="1" applyFont="1" applyAlignment="1">
      <alignment horizontal="center" vertical="top" wrapText="1"/>
    </xf>
    <xf numFmtId="0" fontId="4" fillId="0" borderId="0" xfId="0" applyFont="1" applyAlignment="1">
      <alignment horizontal="center" vertical="top"/>
    </xf>
    <xf numFmtId="0" fontId="4" fillId="0" borderId="0" xfId="0" applyFont="1" applyAlignment="1">
      <alignment vertical="top"/>
    </xf>
    <xf numFmtId="0" fontId="7" fillId="0" borderId="0" xfId="0" applyFont="1" applyAlignment="1">
      <alignment horizontal="left" vertical="top" wrapText="1"/>
    </xf>
    <xf numFmtId="0" fontId="7" fillId="0" borderId="0" xfId="0" applyFont="1" applyAlignment="1">
      <alignment horizontal="center" vertical="top" wrapText="1"/>
    </xf>
    <xf numFmtId="2" fontId="7" fillId="0" borderId="0" xfId="0" applyNumberFormat="1" applyFont="1" applyAlignment="1">
      <alignment horizontal="center" vertical="top" wrapText="1"/>
    </xf>
    <xf numFmtId="2" fontId="7" fillId="0" borderId="0" xfId="0" applyNumberFormat="1" applyFont="1" applyAlignment="1">
      <alignment horizontal="center" vertical="top"/>
    </xf>
    <xf numFmtId="0" fontId="7" fillId="0" borderId="0" xfId="0" applyFont="1" applyAlignment="1">
      <alignment horizontal="center" vertical="top"/>
    </xf>
    <xf numFmtId="0" fontId="7" fillId="0" borderId="0" xfId="0" quotePrefix="1" applyFont="1" applyAlignment="1">
      <alignment horizontal="center" vertical="top" wrapText="1"/>
    </xf>
    <xf numFmtId="0" fontId="7" fillId="0" borderId="0" xfId="0" applyFont="1" applyAlignment="1">
      <alignment horizontal="center" vertical="center"/>
    </xf>
    <xf numFmtId="2" fontId="7" fillId="0" borderId="0" xfId="0" applyNumberFormat="1" applyFont="1" applyAlignment="1">
      <alignment horizontal="center" vertical="top" shrinkToFit="1"/>
    </xf>
    <xf numFmtId="0" fontId="7" fillId="0" borderId="0" xfId="0" applyFont="1" applyAlignment="1">
      <alignment horizontal="left" vertical="top"/>
    </xf>
    <xf numFmtId="0" fontId="7" fillId="0" borderId="0" xfId="0" applyFont="1" applyAlignment="1">
      <alignment vertical="center"/>
    </xf>
    <xf numFmtId="0" fontId="7" fillId="0" borderId="0" xfId="0" applyFont="1" applyAlignment="1">
      <alignment vertical="top"/>
    </xf>
    <xf numFmtId="0" fontId="7" fillId="0" borderId="0" xfId="0" quotePrefix="1" applyFont="1" applyAlignment="1">
      <alignment horizontal="left" vertical="top" wrapText="1"/>
    </xf>
    <xf numFmtId="0" fontId="8" fillId="0" borderId="0" xfId="2" applyFont="1" applyAlignment="1">
      <alignment horizontal="center" vertical="top" wrapText="1"/>
    </xf>
    <xf numFmtId="0" fontId="7" fillId="0" borderId="0" xfId="2" applyFont="1" applyAlignment="1">
      <alignment horizontal="center" vertical="top" wrapText="1"/>
    </xf>
    <xf numFmtId="1" fontId="8" fillId="0" borderId="1" xfId="2" applyNumberFormat="1" applyFont="1" applyBorder="1" applyAlignment="1">
      <alignment horizontal="center" vertical="top" wrapText="1"/>
    </xf>
    <xf numFmtId="0" fontId="8" fillId="0" borderId="0" xfId="2" applyFont="1" applyAlignment="1">
      <alignment vertical="top" wrapText="1"/>
    </xf>
    <xf numFmtId="0" fontId="7" fillId="0" borderId="0" xfId="2" applyFont="1" applyAlignment="1">
      <alignment horizontal="center" vertical="top"/>
    </xf>
    <xf numFmtId="165" fontId="8" fillId="0" borderId="0" xfId="2" applyNumberFormat="1" applyFont="1" applyAlignment="1">
      <alignment horizontal="center" vertical="top" wrapText="1"/>
    </xf>
    <xf numFmtId="0" fontId="7" fillId="0" borderId="0" xfId="2" applyFont="1" applyAlignment="1">
      <alignment vertical="center"/>
    </xf>
    <xf numFmtId="0" fontId="7" fillId="0" borderId="0" xfId="0" applyFont="1" applyAlignment="1">
      <alignment vertical="top" wrapText="1"/>
    </xf>
    <xf numFmtId="1" fontId="7" fillId="0" borderId="0" xfId="0" applyNumberFormat="1" applyFont="1" applyAlignment="1">
      <alignment horizontal="center" vertical="top" wrapText="1"/>
    </xf>
    <xf numFmtId="10" fontId="7" fillId="0" borderId="0" xfId="0" applyNumberFormat="1" applyFont="1" applyAlignment="1">
      <alignment horizontal="center" vertical="top" wrapText="1"/>
    </xf>
    <xf numFmtId="0" fontId="7" fillId="0" borderId="0" xfId="0" applyFont="1"/>
    <xf numFmtId="0" fontId="8" fillId="0" borderId="0" xfId="0" applyFont="1" applyAlignment="1">
      <alignment horizontal="right" vertical="top" wrapText="1"/>
    </xf>
    <xf numFmtId="1" fontId="8" fillId="0" borderId="0" xfId="0" applyNumberFormat="1" applyFont="1" applyAlignment="1">
      <alignment horizontal="center" vertical="top" wrapText="1"/>
    </xf>
    <xf numFmtId="165" fontId="7" fillId="0" borderId="0" xfId="0" applyNumberFormat="1" applyFont="1" applyAlignment="1">
      <alignment horizontal="center" vertical="top" wrapText="1"/>
    </xf>
    <xf numFmtId="1" fontId="7" fillId="0" borderId="0" xfId="0" applyNumberFormat="1" applyFont="1" applyAlignment="1">
      <alignment horizontal="center" vertical="top"/>
    </xf>
    <xf numFmtId="0" fontId="8" fillId="0" borderId="0" xfId="0" applyFont="1" applyAlignment="1">
      <alignment horizontal="center" vertical="top" wrapText="1"/>
    </xf>
    <xf numFmtId="1" fontId="8" fillId="0" borderId="2" xfId="0" applyNumberFormat="1" applyFont="1" applyBorder="1" applyAlignment="1">
      <alignment horizontal="center" vertical="top" wrapText="1"/>
    </xf>
    <xf numFmtId="0" fontId="8" fillId="0" borderId="0" xfId="2" applyFont="1" applyAlignment="1">
      <alignment horizontal="right" vertical="top" wrapText="1"/>
    </xf>
    <xf numFmtId="0" fontId="7" fillId="0" borderId="0" xfId="2" applyFont="1" applyAlignment="1">
      <alignment horizontal="left" vertical="top" wrapText="1"/>
    </xf>
    <xf numFmtId="0" fontId="7" fillId="0" borderId="0" xfId="2" applyFont="1" applyAlignment="1">
      <alignment horizontal="left" vertical="top"/>
    </xf>
    <xf numFmtId="0" fontId="8" fillId="0" borderId="0" xfId="0" applyFont="1" applyAlignment="1">
      <alignment horizontal="left" vertical="top" wrapText="1"/>
    </xf>
    <xf numFmtId="166" fontId="7" fillId="0" borderId="0" xfId="0" applyNumberFormat="1" applyFont="1" applyAlignment="1">
      <alignment horizontal="center" vertical="top" wrapText="1"/>
    </xf>
    <xf numFmtId="0" fontId="8" fillId="0" borderId="0" xfId="0" applyFont="1" applyAlignment="1">
      <alignment horizontal="center" vertical="top"/>
    </xf>
    <xf numFmtId="0" fontId="8" fillId="0" borderId="0" xfId="0" applyFont="1" applyAlignment="1">
      <alignment vertical="top"/>
    </xf>
    <xf numFmtId="1" fontId="7" fillId="0" borderId="0" xfId="0" applyNumberFormat="1" applyFont="1" applyAlignment="1">
      <alignment horizontal="left" vertical="top"/>
    </xf>
    <xf numFmtId="1" fontId="7" fillId="0" borderId="0" xfId="0" applyNumberFormat="1" applyFont="1"/>
    <xf numFmtId="1" fontId="7" fillId="0" borderId="0" xfId="0" applyNumberFormat="1" applyFont="1" applyAlignment="1">
      <alignment vertical="top" wrapText="1"/>
    </xf>
    <xf numFmtId="1" fontId="8" fillId="0" borderId="3" xfId="0" applyNumberFormat="1" applyFont="1" applyBorder="1" applyAlignment="1">
      <alignment horizontal="center" vertical="top" wrapText="1"/>
    </xf>
    <xf numFmtId="0" fontId="8" fillId="0" borderId="0" xfId="2" applyFont="1" applyAlignment="1">
      <alignment horizontal="left" vertical="top"/>
    </xf>
    <xf numFmtId="0" fontId="8" fillId="0" borderId="0" xfId="2" applyFont="1" applyAlignment="1">
      <alignment horizontal="left" vertical="top" wrapText="1"/>
    </xf>
    <xf numFmtId="0" fontId="8" fillId="0" borderId="0" xfId="0" applyFont="1" applyAlignment="1">
      <alignment horizontal="left" vertical="top"/>
    </xf>
    <xf numFmtId="0" fontId="8" fillId="0" borderId="0" xfId="0" applyFont="1" applyAlignment="1">
      <alignment vertical="top" wrapText="1"/>
    </xf>
    <xf numFmtId="1" fontId="7" fillId="0" borderId="0" xfId="4" applyNumberFormat="1" applyFont="1" applyFill="1" applyBorder="1" applyAlignment="1">
      <alignment horizontal="center" vertical="top" wrapText="1"/>
    </xf>
    <xf numFmtId="1" fontId="7" fillId="0" borderId="0" xfId="1" applyNumberFormat="1" applyFont="1" applyBorder="1" applyAlignment="1">
      <alignment horizontal="center" vertical="top"/>
    </xf>
    <xf numFmtId="0" fontId="7" fillId="2" borderId="0" xfId="0" applyFont="1" applyFill="1" applyAlignment="1">
      <alignment vertical="top"/>
    </xf>
    <xf numFmtId="1" fontId="7" fillId="2" borderId="0" xfId="1" applyNumberFormat="1" applyFont="1" applyFill="1" applyBorder="1" applyAlignment="1">
      <alignment horizontal="center" vertical="top"/>
    </xf>
    <xf numFmtId="0" fontId="10" fillId="0" borderId="0" xfId="5" applyFont="1"/>
    <xf numFmtId="0" fontId="8" fillId="0" borderId="0" xfId="0" applyFont="1" applyAlignment="1">
      <alignment vertical="center" wrapText="1"/>
    </xf>
    <xf numFmtId="0" fontId="11" fillId="0" borderId="0" xfId="0" applyFont="1" applyAlignment="1">
      <alignment vertical="top" wrapText="1"/>
    </xf>
    <xf numFmtId="0" fontId="12" fillId="0" borderId="0" xfId="0" applyFont="1" applyAlignment="1">
      <alignment horizontal="center" vertical="top"/>
    </xf>
    <xf numFmtId="0" fontId="12" fillId="0" borderId="0" xfId="0" applyFont="1" applyAlignment="1">
      <alignment horizontal="left" vertical="top" wrapText="1"/>
    </xf>
    <xf numFmtId="0" fontId="12" fillId="0" borderId="0" xfId="0" applyFont="1" applyAlignment="1">
      <alignment horizontal="center" vertical="top" wrapText="1"/>
    </xf>
    <xf numFmtId="0" fontId="12" fillId="0" borderId="0" xfId="0" applyFont="1" applyAlignment="1">
      <alignment vertical="top"/>
    </xf>
    <xf numFmtId="2" fontId="12" fillId="0" borderId="0" xfId="0" applyNumberFormat="1" applyFont="1" applyAlignment="1">
      <alignment horizontal="center" vertical="top"/>
    </xf>
    <xf numFmtId="0" fontId="12" fillId="0" borderId="0" xfId="0" applyFont="1" applyAlignment="1">
      <alignment horizontal="left" vertical="top"/>
    </xf>
    <xf numFmtId="2" fontId="12" fillId="0" borderId="0" xfId="0" applyNumberFormat="1" applyFont="1" applyAlignment="1">
      <alignment horizontal="center" vertical="top" wrapText="1"/>
    </xf>
    <xf numFmtId="0" fontId="12" fillId="0" borderId="0" xfId="0" quotePrefix="1" applyFont="1" applyAlignment="1">
      <alignment horizontal="left" vertical="top" wrapText="1"/>
    </xf>
    <xf numFmtId="165" fontId="4" fillId="0" borderId="0" xfId="0" applyNumberFormat="1" applyFont="1" applyAlignment="1">
      <alignment horizontal="center" vertical="top" wrapText="1"/>
    </xf>
    <xf numFmtId="0" fontId="4" fillId="0" borderId="0" xfId="0" applyFont="1" applyAlignment="1">
      <alignment horizontal="right" vertical="top"/>
    </xf>
    <xf numFmtId="0" fontId="4" fillId="0" borderId="0" xfId="0" applyFont="1" applyAlignment="1">
      <alignment vertical="top" wrapText="1"/>
    </xf>
    <xf numFmtId="0" fontId="5" fillId="0" borderId="0" xfId="0" applyFont="1" applyAlignment="1">
      <alignment wrapText="1"/>
    </xf>
    <xf numFmtId="0" fontId="4" fillId="0" borderId="0" xfId="0" applyFont="1" applyAlignment="1">
      <alignment horizontal="center" vertical="center"/>
    </xf>
    <xf numFmtId="0" fontId="3" fillId="0" borderId="0" xfId="3" applyFont="1" applyAlignment="1">
      <alignment horizontal="center" vertical="top" wrapText="1"/>
    </xf>
    <xf numFmtId="1" fontId="3" fillId="0" borderId="0" xfId="0" applyNumberFormat="1" applyFont="1" applyAlignment="1">
      <alignment horizontal="center" vertical="top"/>
    </xf>
    <xf numFmtId="2" fontId="3" fillId="0" borderId="0" xfId="0" applyNumberFormat="1" applyFont="1" applyAlignment="1">
      <alignment horizontal="center" vertical="top" wrapText="1"/>
    </xf>
    <xf numFmtId="2" fontId="3" fillId="0" borderId="0" xfId="0" applyNumberFormat="1" applyFont="1" applyAlignment="1">
      <alignment horizontal="center" vertical="top"/>
    </xf>
    <xf numFmtId="0" fontId="13" fillId="0" borderId="0" xfId="0" applyFont="1" applyAlignment="1">
      <alignment vertical="top"/>
    </xf>
    <xf numFmtId="0" fontId="7" fillId="0" borderId="4" xfId="0" applyFont="1" applyBorder="1" applyAlignment="1">
      <alignment horizontal="center" vertical="top" wrapText="1"/>
    </xf>
    <xf numFmtId="0" fontId="5" fillId="0" borderId="4" xfId="0" applyFont="1" applyBorder="1" applyAlignment="1">
      <alignment horizontal="left" vertical="top" wrapText="1"/>
    </xf>
    <xf numFmtId="0" fontId="14" fillId="0" borderId="0" xfId="0" applyFont="1" applyAlignment="1">
      <alignment vertical="top" wrapText="1"/>
    </xf>
    <xf numFmtId="1" fontId="14" fillId="0" borderId="0" xfId="0" applyNumberFormat="1" applyFont="1" applyAlignment="1">
      <alignment horizontal="center" vertical="top"/>
    </xf>
    <xf numFmtId="0" fontId="13" fillId="0" borderId="0" xfId="0" applyFont="1" applyAlignment="1">
      <alignment vertical="top" wrapText="1"/>
    </xf>
    <xf numFmtId="0" fontId="14" fillId="0" borderId="0" xfId="0" applyFont="1" applyAlignment="1">
      <alignment vertical="top"/>
    </xf>
    <xf numFmtId="0" fontId="5" fillId="0" borderId="5" xfId="0" applyFont="1" applyBorder="1" applyAlignment="1">
      <alignment horizontal="center" vertical="top" wrapText="1"/>
    </xf>
    <xf numFmtId="0" fontId="14" fillId="0" borderId="0" xfId="0" applyFont="1" applyAlignment="1">
      <alignment horizontal="center" vertical="top" wrapText="1"/>
    </xf>
    <xf numFmtId="1" fontId="14" fillId="0" borderId="0" xfId="0" applyNumberFormat="1" applyFont="1" applyAlignment="1">
      <alignment horizontal="center" vertical="top" wrapText="1"/>
    </xf>
    <xf numFmtId="2" fontId="5" fillId="0" borderId="0" xfId="0" applyNumberFormat="1" applyFont="1" applyAlignment="1">
      <alignment horizontal="center" vertical="top" wrapText="1"/>
    </xf>
    <xf numFmtId="0" fontId="3" fillId="0" borderId="0" xfId="0" applyFont="1" applyAlignment="1">
      <alignment horizontal="left" vertical="top" wrapText="1" readingOrder="1"/>
    </xf>
    <xf numFmtId="165" fontId="4" fillId="0" borderId="1" xfId="0" applyNumberFormat="1" applyFont="1" applyBorder="1" applyAlignment="1">
      <alignment horizontal="center" vertical="top" wrapText="1"/>
    </xf>
    <xf numFmtId="165" fontId="5" fillId="0" borderId="0" xfId="0" applyNumberFormat="1" applyFont="1" applyAlignment="1">
      <alignment horizontal="left" vertical="top"/>
    </xf>
    <xf numFmtId="165" fontId="4" fillId="0" borderId="0" xfId="0" applyNumberFormat="1" applyFont="1" applyAlignment="1">
      <alignment horizontal="center" vertical="top"/>
    </xf>
    <xf numFmtId="2" fontId="5" fillId="0" borderId="0" xfId="0" applyNumberFormat="1" applyFont="1" applyAlignment="1">
      <alignment horizontal="left" vertical="top"/>
    </xf>
    <xf numFmtId="1" fontId="5" fillId="0" borderId="0" xfId="0" applyNumberFormat="1" applyFont="1" applyAlignment="1">
      <alignment horizontal="left" vertical="top"/>
    </xf>
    <xf numFmtId="165" fontId="3" fillId="0" borderId="0" xfId="0" applyNumberFormat="1" applyFont="1" applyAlignment="1">
      <alignment horizontal="center" vertical="top"/>
    </xf>
    <xf numFmtId="0" fontId="3" fillId="0" borderId="0" xfId="0" applyFont="1" applyAlignment="1">
      <alignment horizontal="left" vertical="top" wrapText="1"/>
    </xf>
    <xf numFmtId="2" fontId="5" fillId="0" borderId="0" xfId="0" applyNumberFormat="1" applyFont="1" applyAlignment="1">
      <alignment horizontal="center" vertical="top"/>
    </xf>
    <xf numFmtId="0" fontId="3" fillId="0" borderId="0" xfId="0" applyFont="1" applyAlignment="1">
      <alignment horizontal="center"/>
    </xf>
    <xf numFmtId="0" fontId="3" fillId="0" borderId="0" xfId="0" applyFont="1"/>
    <xf numFmtId="167" fontId="5" fillId="0" borderId="0" xfId="1" applyNumberFormat="1" applyFont="1" applyAlignment="1">
      <alignment horizontal="center" vertical="top" wrapText="1"/>
    </xf>
    <xf numFmtId="0" fontId="5" fillId="0" borderId="0" xfId="0" applyFont="1" applyAlignment="1">
      <alignment horizontal="center"/>
    </xf>
    <xf numFmtId="0" fontId="12" fillId="0" borderId="0" xfId="0" applyFont="1" applyAlignment="1">
      <alignment vertical="top" wrapText="1"/>
    </xf>
    <xf numFmtId="0" fontId="13" fillId="0" borderId="0" xfId="0" applyFont="1" applyAlignment="1">
      <alignment horizontal="center" vertical="top" wrapText="1"/>
    </xf>
    <xf numFmtId="1" fontId="12" fillId="0" borderId="0" xfId="0" applyNumberFormat="1" applyFont="1" applyAlignment="1">
      <alignment horizontal="center" vertical="top" wrapText="1"/>
    </xf>
    <xf numFmtId="0" fontId="12" fillId="0" borderId="4" xfId="0" applyFont="1" applyBorder="1" applyAlignment="1">
      <alignment horizontal="center" vertical="top" wrapText="1"/>
    </xf>
    <xf numFmtId="0" fontId="15" fillId="0" borderId="0" xfId="0" applyFont="1" applyAlignment="1">
      <alignment vertical="top" wrapText="1"/>
    </xf>
    <xf numFmtId="1" fontId="15" fillId="0" borderId="0" xfId="0" applyNumberFormat="1" applyFont="1" applyAlignment="1">
      <alignment horizontal="center" vertical="top"/>
    </xf>
    <xf numFmtId="0" fontId="12" fillId="0" borderId="5" xfId="0" applyFont="1" applyBorder="1" applyAlignment="1">
      <alignment horizontal="center" vertical="top" wrapText="1"/>
    </xf>
    <xf numFmtId="1" fontId="12" fillId="0" borderId="0" xfId="1" applyNumberFormat="1" applyFont="1" applyBorder="1" applyAlignment="1">
      <alignment horizontal="center" vertical="top"/>
    </xf>
    <xf numFmtId="0" fontId="15" fillId="0" borderId="0" xfId="0" applyFont="1" applyAlignment="1">
      <alignment horizontal="center" vertical="top" wrapText="1"/>
    </xf>
    <xf numFmtId="0" fontId="12" fillId="0" borderId="0" xfId="0" applyFont="1" applyAlignment="1">
      <alignment vertical="center"/>
    </xf>
    <xf numFmtId="0" fontId="12" fillId="0" borderId="0" xfId="0" applyFont="1" applyAlignment="1">
      <alignment horizontal="center" vertical="center"/>
    </xf>
    <xf numFmtId="0" fontId="12" fillId="0" borderId="0" xfId="0" quotePrefix="1" applyFont="1" applyAlignment="1">
      <alignment horizontal="center" vertical="top" wrapText="1"/>
    </xf>
    <xf numFmtId="0" fontId="13" fillId="0" borderId="0" xfId="0" applyFont="1" applyAlignment="1">
      <alignment horizontal="left" vertical="top" wrapText="1" readingOrder="1"/>
    </xf>
    <xf numFmtId="2" fontId="12" fillId="0" borderId="0" xfId="0" applyNumberFormat="1" applyFont="1" applyAlignment="1">
      <alignment horizontal="center" vertical="top" shrinkToFit="1"/>
    </xf>
    <xf numFmtId="1" fontId="12" fillId="0" borderId="0" xfId="0" applyNumberFormat="1" applyFont="1" applyAlignment="1">
      <alignment horizontal="center" vertical="top"/>
    </xf>
    <xf numFmtId="0" fontId="12" fillId="2" borderId="0" xfId="0" applyFont="1" applyFill="1" applyAlignment="1">
      <alignment vertical="top"/>
    </xf>
    <xf numFmtId="1" fontId="12" fillId="2" borderId="0" xfId="1" applyNumberFormat="1" applyFont="1" applyFill="1" applyBorder="1" applyAlignment="1">
      <alignment horizontal="center" vertical="top"/>
    </xf>
    <xf numFmtId="0" fontId="4" fillId="0" borderId="0" xfId="0" applyFont="1" applyAlignment="1">
      <alignment horizontal="center" vertical="center" wrapText="1"/>
    </xf>
    <xf numFmtId="0" fontId="5" fillId="0" borderId="0" xfId="0" applyFont="1" applyAlignment="1">
      <alignment horizontal="left" vertical="top" wrapText="1"/>
    </xf>
    <xf numFmtId="0" fontId="5" fillId="0" borderId="0" xfId="2" applyFont="1" applyAlignment="1">
      <alignment horizontal="center" vertical="top" wrapText="1"/>
    </xf>
    <xf numFmtId="0" fontId="4" fillId="0" borderId="0" xfId="0" applyFont="1" applyAlignment="1">
      <alignment horizontal="left" vertical="top"/>
    </xf>
    <xf numFmtId="0" fontId="12" fillId="0" borderId="0" xfId="2" applyFont="1" applyAlignment="1">
      <alignment horizontal="center" vertical="top" wrapText="1"/>
    </xf>
    <xf numFmtId="0" fontId="12" fillId="0" borderId="0" xfId="0" applyFont="1"/>
    <xf numFmtId="1" fontId="4" fillId="0" borderId="0" xfId="0" applyNumberFormat="1" applyFont="1" applyAlignment="1">
      <alignment horizontal="center" vertical="top" wrapText="1"/>
    </xf>
    <xf numFmtId="0" fontId="4" fillId="0" borderId="0" xfId="0" applyFont="1" applyAlignment="1">
      <alignment horizont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13" fillId="0" borderId="0" xfId="0" applyFont="1" applyAlignment="1">
      <alignment horizontal="left" vertical="top" wrapText="1"/>
    </xf>
    <xf numFmtId="0" fontId="12" fillId="0" borderId="0" xfId="0" applyFont="1" applyAlignment="1">
      <alignment horizontal="justify" vertical="top" wrapText="1"/>
    </xf>
    <xf numFmtId="0" fontId="4" fillId="0" borderId="0" xfId="2" applyFont="1" applyAlignment="1">
      <alignment horizontal="right" vertical="top" wrapText="1"/>
    </xf>
    <xf numFmtId="0" fontId="5" fillId="0" borderId="0" xfId="0" applyFont="1" applyAlignment="1">
      <alignment vertical="center"/>
    </xf>
    <xf numFmtId="0" fontId="4" fillId="0" borderId="0" xfId="0" applyFont="1" applyAlignment="1">
      <alignment horizontal="right" vertical="center" wrapText="1"/>
    </xf>
    <xf numFmtId="0" fontId="5" fillId="0" borderId="0" xfId="2" applyFont="1" applyAlignment="1">
      <alignment horizontal="center" vertical="center" wrapText="1"/>
    </xf>
    <xf numFmtId="0" fontId="5" fillId="0" borderId="0" xfId="0" applyFont="1" applyAlignment="1">
      <alignment vertical="top"/>
    </xf>
    <xf numFmtId="0" fontId="4" fillId="0" borderId="0" xfId="0" applyFont="1"/>
    <xf numFmtId="0" fontId="4" fillId="0" borderId="0" xfId="2" applyFont="1" applyAlignment="1">
      <alignment horizontal="center" vertical="top" wrapText="1"/>
    </xf>
    <xf numFmtId="0" fontId="5" fillId="0" borderId="0" xfId="0" applyFont="1" applyAlignment="1">
      <alignment vertical="center" wrapText="1"/>
    </xf>
    <xf numFmtId="0" fontId="5" fillId="0" borderId="0" xfId="0" applyFont="1" applyAlignment="1">
      <alignment horizontal="left" vertical="center" wrapText="1"/>
    </xf>
    <xf numFmtId="0" fontId="5" fillId="2" borderId="0" xfId="0" applyFont="1" applyFill="1" applyAlignment="1">
      <alignment vertical="center" wrapText="1"/>
    </xf>
    <xf numFmtId="2" fontId="5" fillId="2" borderId="0" xfId="0" applyNumberFormat="1" applyFont="1" applyFill="1" applyAlignment="1">
      <alignment horizontal="center" vertical="top" wrapText="1"/>
    </xf>
    <xf numFmtId="165" fontId="5" fillId="0" borderId="0" xfId="0" applyNumberFormat="1" applyFont="1" applyAlignment="1">
      <alignment horizontal="center" vertical="top"/>
    </xf>
    <xf numFmtId="0" fontId="5" fillId="2" borderId="0" xfId="0" applyFont="1" applyFill="1" applyAlignment="1">
      <alignment horizontal="justify" vertical="top" wrapText="1"/>
    </xf>
    <xf numFmtId="2" fontId="5" fillId="0" borderId="0" xfId="1" applyNumberFormat="1" applyFont="1" applyBorder="1" applyAlignment="1">
      <alignment horizontal="center" vertical="top"/>
    </xf>
    <xf numFmtId="165" fontId="5" fillId="0" borderId="0" xfId="1" applyNumberFormat="1" applyFont="1" applyBorder="1" applyAlignment="1">
      <alignment horizontal="center" vertical="top"/>
    </xf>
    <xf numFmtId="2" fontId="5" fillId="0" borderId="0" xfId="1" applyNumberFormat="1" applyFont="1" applyBorder="1" applyAlignment="1">
      <alignment horizontal="right" vertical="top" wrapText="1"/>
    </xf>
    <xf numFmtId="2" fontId="5" fillId="0" borderId="0" xfId="1" applyNumberFormat="1" applyFont="1" applyBorder="1" applyAlignment="1">
      <alignment horizontal="right" vertical="top"/>
    </xf>
    <xf numFmtId="1" fontId="5" fillId="0" borderId="0" xfId="1" applyNumberFormat="1" applyFont="1" applyBorder="1" applyAlignment="1">
      <alignment horizontal="center" vertical="top"/>
    </xf>
    <xf numFmtId="0" fontId="5" fillId="0" borderId="0" xfId="7" applyFont="1" applyAlignment="1">
      <alignment vertical="top" wrapText="1"/>
    </xf>
    <xf numFmtId="0" fontId="3" fillId="0" borderId="0" xfId="0" applyFont="1" applyAlignment="1">
      <alignment horizontal="justify" vertical="top" wrapText="1"/>
    </xf>
    <xf numFmtId="2" fontId="5" fillId="0" borderId="0" xfId="1" applyNumberFormat="1" applyFont="1" applyFill="1" applyBorder="1" applyAlignment="1">
      <alignment horizontal="center" vertical="top"/>
    </xf>
    <xf numFmtId="0" fontId="4" fillId="0" borderId="0" xfId="2" applyFont="1" applyAlignment="1">
      <alignment horizontal="center" vertical="center" wrapText="1"/>
    </xf>
    <xf numFmtId="1" fontId="4" fillId="0" borderId="0" xfId="0" applyNumberFormat="1" applyFont="1" applyAlignment="1">
      <alignment horizontal="center" vertical="top"/>
    </xf>
    <xf numFmtId="1" fontId="12" fillId="0" borderId="0" xfId="4" applyNumberFormat="1" applyFont="1" applyFill="1" applyBorder="1" applyAlignment="1">
      <alignment horizontal="center" vertical="top" wrapText="1"/>
    </xf>
    <xf numFmtId="1" fontId="4" fillId="0" borderId="2" xfId="0" applyNumberFormat="1" applyFont="1" applyBorder="1" applyAlignment="1">
      <alignment horizontal="center" vertical="top" wrapText="1"/>
    </xf>
    <xf numFmtId="0" fontId="4" fillId="0" borderId="2" xfId="0" applyFont="1" applyBorder="1" applyAlignment="1">
      <alignment horizontal="center" vertical="top" wrapText="1"/>
    </xf>
    <xf numFmtId="1" fontId="4" fillId="0" borderId="2" xfId="2" applyNumberFormat="1" applyFont="1" applyBorder="1" applyAlignment="1">
      <alignment horizontal="center" vertical="top" wrapText="1"/>
    </xf>
    <xf numFmtId="0" fontId="16" fillId="0" borderId="2" xfId="2" applyFont="1" applyBorder="1" applyAlignment="1">
      <alignment horizontal="center" vertical="top" wrapText="1"/>
    </xf>
    <xf numFmtId="1" fontId="16" fillId="0" borderId="2" xfId="0" applyNumberFormat="1" applyFont="1" applyBorder="1" applyAlignment="1">
      <alignment horizontal="center" vertical="top" wrapText="1"/>
    </xf>
    <xf numFmtId="1" fontId="16" fillId="0" borderId="2" xfId="2" applyNumberFormat="1" applyFont="1" applyBorder="1" applyAlignment="1">
      <alignment horizontal="center" vertical="top" wrapText="1"/>
    </xf>
    <xf numFmtId="0" fontId="4" fillId="0" borderId="0" xfId="0" applyFont="1" applyAlignment="1">
      <alignment wrapText="1"/>
    </xf>
    <xf numFmtId="165" fontId="5" fillId="0" borderId="0" xfId="0" applyNumberFormat="1" applyFont="1" applyAlignment="1">
      <alignment horizontal="center" vertical="center" shrinkToFit="1"/>
    </xf>
    <xf numFmtId="0" fontId="5" fillId="0" borderId="0" xfId="0" applyFont="1" applyAlignment="1">
      <alignment horizontal="left" vertical="center"/>
    </xf>
    <xf numFmtId="0" fontId="5" fillId="0" borderId="0" xfId="2" applyFont="1" applyAlignment="1">
      <alignment horizontal="right" vertical="top" wrapText="1"/>
    </xf>
    <xf numFmtId="1" fontId="5" fillId="0" borderId="0" xfId="2" applyNumberFormat="1" applyFont="1" applyAlignment="1">
      <alignment horizontal="center" vertical="top" wrapText="1"/>
    </xf>
    <xf numFmtId="0" fontId="17" fillId="0" borderId="0" xfId="0" applyFont="1" applyAlignment="1">
      <alignment horizontal="center" vertical="top"/>
    </xf>
    <xf numFmtId="0" fontId="17" fillId="0" borderId="0" xfId="0" applyFont="1" applyAlignment="1">
      <alignment horizontal="left" vertical="top" wrapText="1"/>
    </xf>
    <xf numFmtId="0" fontId="17" fillId="0" borderId="0" xfId="0" applyFont="1" applyAlignment="1">
      <alignment horizontal="center" vertical="top" wrapText="1"/>
    </xf>
    <xf numFmtId="0" fontId="17" fillId="0" borderId="0" xfId="2" applyFont="1" applyAlignment="1">
      <alignment horizontal="center" vertical="top" wrapText="1"/>
    </xf>
    <xf numFmtId="1" fontId="17" fillId="0" borderId="0" xfId="0" applyNumberFormat="1" applyFont="1" applyAlignment="1">
      <alignment horizontal="center" vertical="top" wrapText="1"/>
    </xf>
    <xf numFmtId="0" fontId="17" fillId="0" borderId="0" xfId="0" applyFont="1" applyAlignment="1">
      <alignment horizontal="center" vertical="center"/>
    </xf>
    <xf numFmtId="0" fontId="17" fillId="0" borderId="0" xfId="0" applyFont="1"/>
    <xf numFmtId="0" fontId="18" fillId="0" borderId="0" xfId="0" applyFont="1" applyAlignment="1">
      <alignment horizontal="center" vertical="top"/>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0" xfId="2" applyFont="1" applyAlignment="1">
      <alignment horizontal="center" vertical="top" wrapText="1"/>
    </xf>
    <xf numFmtId="1" fontId="18" fillId="0" borderId="0" xfId="0" applyNumberFormat="1" applyFont="1" applyAlignment="1">
      <alignment horizontal="center" vertical="top" wrapText="1"/>
    </xf>
    <xf numFmtId="0" fontId="18" fillId="0" borderId="0" xfId="0" applyFont="1" applyAlignment="1">
      <alignment horizontal="center" vertical="center"/>
    </xf>
    <xf numFmtId="0" fontId="18" fillId="0" borderId="0" xfId="0" applyFont="1"/>
    <xf numFmtId="1" fontId="5" fillId="0" borderId="0" xfId="0" applyNumberFormat="1" applyFont="1"/>
    <xf numFmtId="0" fontId="19"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xf>
    <xf numFmtId="0" fontId="19" fillId="0" borderId="0" xfId="2" applyFont="1" applyAlignment="1">
      <alignment horizontal="center" vertical="top" wrapText="1"/>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xf numFmtId="0" fontId="20" fillId="0" borderId="0" xfId="0" applyFont="1" applyAlignment="1">
      <alignment horizontal="center" vertical="top" wrapText="1"/>
    </xf>
    <xf numFmtId="165" fontId="20" fillId="0" borderId="0" xfId="0" applyNumberFormat="1" applyFont="1" applyAlignment="1">
      <alignment horizontal="center" vertical="top" wrapText="1"/>
    </xf>
    <xf numFmtId="0" fontId="19" fillId="0" borderId="0" xfId="0" applyFont="1" applyAlignment="1">
      <alignment wrapText="1"/>
    </xf>
    <xf numFmtId="1" fontId="19" fillId="0" borderId="0" xfId="0" applyNumberFormat="1" applyFont="1" applyAlignment="1">
      <alignment horizontal="center" vertical="top" wrapText="1"/>
    </xf>
    <xf numFmtId="0" fontId="19" fillId="0" borderId="0" xfId="0" applyFont="1" applyAlignment="1">
      <alignment horizontal="center" vertical="center" wrapText="1"/>
    </xf>
    <xf numFmtId="1" fontId="19" fillId="0" borderId="0" xfId="0" applyNumberFormat="1" applyFont="1" applyAlignment="1">
      <alignment horizontal="center" vertical="top"/>
    </xf>
    <xf numFmtId="0" fontId="20" fillId="0" borderId="0" xfId="0" applyFont="1" applyAlignment="1">
      <alignment horizontal="center" vertical="center" wrapText="1"/>
    </xf>
    <xf numFmtId="168" fontId="7" fillId="0" borderId="0" xfId="0" applyNumberFormat="1" applyFont="1" applyAlignment="1">
      <alignment horizontal="center" vertical="top"/>
    </xf>
    <xf numFmtId="0" fontId="21" fillId="0" borderId="0" xfId="0" applyFont="1" applyAlignment="1">
      <alignment horizontal="center" vertical="top" wrapText="1"/>
    </xf>
    <xf numFmtId="0" fontId="21" fillId="0" borderId="0" xfId="0" applyFont="1" applyAlignment="1">
      <alignment horizontal="left" vertical="top" wrapText="1"/>
    </xf>
    <xf numFmtId="0" fontId="21" fillId="0" borderId="0" xfId="2" applyFont="1" applyAlignment="1">
      <alignment horizontal="center" vertical="top" wrapText="1"/>
    </xf>
    <xf numFmtId="0" fontId="21" fillId="0" borderId="0" xfId="0" applyFont="1" applyAlignment="1">
      <alignment horizontal="center" vertical="top"/>
    </xf>
    <xf numFmtId="2" fontId="21" fillId="0" borderId="0" xfId="0" applyNumberFormat="1" applyFont="1" applyAlignment="1">
      <alignment horizontal="center" vertical="top"/>
    </xf>
    <xf numFmtId="0" fontId="21" fillId="0" borderId="0" xfId="0" applyFont="1" applyAlignment="1">
      <alignment horizontal="center" vertical="center"/>
    </xf>
    <xf numFmtId="0" fontId="21" fillId="0" borderId="0" xfId="0" applyFont="1" applyAlignment="1">
      <alignment vertical="center"/>
    </xf>
    <xf numFmtId="0" fontId="21" fillId="0" borderId="0" xfId="0" applyFont="1"/>
    <xf numFmtId="0" fontId="22" fillId="0" borderId="0" xfId="0" applyFont="1" applyAlignment="1">
      <alignment horizontal="center" vertical="top" wrapText="1"/>
    </xf>
    <xf numFmtId="165" fontId="22" fillId="0" borderId="0" xfId="0" applyNumberFormat="1" applyFont="1" applyAlignment="1">
      <alignment horizontal="center" vertical="top" wrapText="1"/>
    </xf>
    <xf numFmtId="0" fontId="21" fillId="0" borderId="0" xfId="0" applyFont="1" applyAlignment="1">
      <alignment wrapText="1"/>
    </xf>
    <xf numFmtId="1" fontId="21" fillId="0" borderId="0" xfId="0" applyNumberFormat="1" applyFont="1" applyAlignment="1">
      <alignment horizontal="center" vertical="top" wrapText="1"/>
    </xf>
    <xf numFmtId="0" fontId="21" fillId="0" borderId="0" xfId="0" applyFont="1" applyAlignment="1">
      <alignment horizontal="center" vertical="center" wrapText="1"/>
    </xf>
    <xf numFmtId="1" fontId="21" fillId="0" borderId="0" xfId="0" applyNumberFormat="1" applyFont="1" applyAlignment="1">
      <alignment horizontal="center" vertical="top"/>
    </xf>
    <xf numFmtId="0" fontId="22" fillId="0" borderId="0" xfId="0" applyFont="1" applyAlignment="1">
      <alignment horizontal="center" vertical="center" wrapText="1"/>
    </xf>
    <xf numFmtId="2" fontId="5" fillId="0" borderId="0" xfId="0" applyNumberFormat="1" applyFont="1"/>
    <xf numFmtId="2" fontId="18" fillId="0" borderId="0" xfId="0" applyNumberFormat="1" applyFont="1" applyAlignment="1">
      <alignment wrapText="1"/>
    </xf>
    <xf numFmtId="2" fontId="18" fillId="0" borderId="0" xfId="0" applyNumberFormat="1" applyFont="1" applyAlignment="1">
      <alignment vertical="top" wrapText="1"/>
    </xf>
    <xf numFmtId="2" fontId="18" fillId="0" borderId="0" xfId="0" applyNumberFormat="1" applyFont="1" applyAlignment="1">
      <alignment horizontal="center" vertical="center" wrapText="1"/>
    </xf>
    <xf numFmtId="2" fontId="18" fillId="0" borderId="0" xfId="0" applyNumberFormat="1" applyFont="1" applyAlignment="1">
      <alignment horizontal="center" vertical="top" wrapText="1"/>
    </xf>
    <xf numFmtId="2" fontId="23" fillId="0" borderId="0" xfId="0" applyNumberFormat="1" applyFont="1" applyAlignment="1">
      <alignment vertical="top" wrapText="1"/>
    </xf>
    <xf numFmtId="2" fontId="18" fillId="0" borderId="0" xfId="0" applyNumberFormat="1" applyFont="1" applyAlignment="1">
      <alignment horizontal="center" vertical="top"/>
    </xf>
    <xf numFmtId="2" fontId="23" fillId="0" borderId="2" xfId="0" applyNumberFormat="1" applyFont="1" applyBorder="1" applyAlignment="1">
      <alignment horizontal="center" vertical="top" wrapText="1"/>
    </xf>
    <xf numFmtId="2" fontId="23" fillId="0" borderId="0" xfId="0" applyNumberFormat="1" applyFont="1" applyAlignment="1">
      <alignment horizontal="center" vertical="top"/>
    </xf>
    <xf numFmtId="2" fontId="23" fillId="0" borderId="2" xfId="2" applyNumberFormat="1" applyFont="1" applyBorder="1" applyAlignment="1">
      <alignment horizontal="center" vertical="top" wrapText="1"/>
    </xf>
    <xf numFmtId="2" fontId="18" fillId="0" borderId="0" xfId="0" applyNumberFormat="1" applyFont="1" applyAlignment="1">
      <alignment horizontal="center"/>
    </xf>
    <xf numFmtId="2" fontId="18" fillId="0" borderId="0" xfId="0" applyNumberFormat="1" applyFont="1"/>
    <xf numFmtId="0" fontId="21" fillId="0" borderId="0" xfId="0" applyFont="1" applyAlignment="1">
      <alignment vertical="top"/>
    </xf>
    <xf numFmtId="2" fontId="4" fillId="0" borderId="0" xfId="0" applyNumberFormat="1" applyFont="1" applyAlignment="1">
      <alignment horizontal="center" vertical="center" wrapText="1"/>
    </xf>
    <xf numFmtId="2" fontId="5" fillId="0" borderId="0" xfId="0" applyNumberFormat="1" applyFont="1" applyAlignment="1">
      <alignment wrapText="1"/>
    </xf>
    <xf numFmtId="2" fontId="5" fillId="0" borderId="0" xfId="0" applyNumberFormat="1" applyFont="1" applyAlignment="1">
      <alignment vertical="top" wrapText="1"/>
    </xf>
    <xf numFmtId="0" fontId="5" fillId="0" borderId="0" xfId="0" applyFont="1" applyAlignment="1">
      <alignment horizontal="justify" vertical="top" wrapText="1"/>
    </xf>
    <xf numFmtId="2" fontId="4" fillId="0" borderId="2" xfId="2" applyNumberFormat="1" applyFont="1" applyBorder="1" applyAlignment="1">
      <alignment horizontal="center" vertical="top" wrapText="1"/>
    </xf>
    <xf numFmtId="168" fontId="5" fillId="0" borderId="0" xfId="0" applyNumberFormat="1" applyFont="1" applyAlignment="1">
      <alignment horizontal="center" vertical="top"/>
    </xf>
    <xf numFmtId="1" fontId="5" fillId="0" borderId="0" xfId="4" applyNumberFormat="1" applyFont="1" applyFill="1" applyBorder="1" applyAlignment="1">
      <alignment horizontal="center" vertical="top" wrapText="1"/>
    </xf>
    <xf numFmtId="0" fontId="4" fillId="0" borderId="2" xfId="2" applyFont="1" applyBorder="1" applyAlignment="1">
      <alignment horizontal="center" vertical="top" wrapText="1"/>
    </xf>
    <xf numFmtId="1" fontId="4" fillId="0" borderId="2" xfId="0" applyNumberFormat="1" applyFont="1" applyBorder="1" applyAlignment="1">
      <alignment horizontal="center" vertical="top"/>
    </xf>
    <xf numFmtId="0" fontId="24" fillId="0" borderId="0" xfId="0" applyFont="1" applyAlignment="1">
      <alignment horizontal="center" vertical="top" wrapText="1"/>
    </xf>
    <xf numFmtId="0" fontId="25" fillId="0" borderId="0" xfId="2" applyFont="1" applyAlignment="1">
      <alignment horizontal="center" vertical="top" wrapText="1"/>
    </xf>
    <xf numFmtId="0" fontId="24" fillId="0" borderId="0" xfId="2" applyFont="1" applyAlignment="1">
      <alignment horizontal="center" vertical="top" wrapText="1"/>
    </xf>
    <xf numFmtId="2" fontId="25" fillId="0" borderId="0" xfId="0" applyNumberFormat="1" applyFont="1" applyAlignment="1">
      <alignment horizontal="center" vertical="top" wrapText="1"/>
    </xf>
    <xf numFmtId="0" fontId="24" fillId="0" borderId="0" xfId="0" applyFont="1" applyAlignment="1">
      <alignment horizontal="center" vertical="top"/>
    </xf>
    <xf numFmtId="0" fontId="18" fillId="0" borderId="0" xfId="0" applyFont="1" applyAlignment="1">
      <alignment vertical="top" wrapText="1"/>
    </xf>
    <xf numFmtId="0" fontId="18" fillId="0" borderId="0" xfId="0" applyFont="1" applyAlignment="1">
      <alignment vertical="center"/>
    </xf>
    <xf numFmtId="0" fontId="18" fillId="2" borderId="0" xfId="0" applyFont="1" applyFill="1" applyAlignment="1">
      <alignment horizontal="justify" vertical="top" wrapText="1"/>
    </xf>
    <xf numFmtId="0" fontId="18" fillId="0" borderId="0" xfId="0" applyFont="1" applyAlignment="1">
      <alignment horizontal="left" vertical="top"/>
    </xf>
    <xf numFmtId="2" fontId="19" fillId="0" borderId="0" xfId="0" applyNumberFormat="1" applyFont="1" applyAlignment="1">
      <alignment horizontal="center" vertical="top"/>
    </xf>
    <xf numFmtId="0" fontId="19" fillId="0" borderId="0" xfId="0" applyFont="1" applyAlignment="1">
      <alignment vertical="top"/>
    </xf>
    <xf numFmtId="2" fontId="19" fillId="0" borderId="0" xfId="0" applyNumberFormat="1" applyFont="1" applyAlignment="1">
      <alignment horizontal="center" vertical="top" wrapText="1"/>
    </xf>
    <xf numFmtId="0" fontId="19" fillId="0" borderId="0" xfId="7" applyFont="1" applyAlignment="1">
      <alignment vertical="top" wrapText="1"/>
    </xf>
    <xf numFmtId="165" fontId="19" fillId="0" borderId="0" xfId="0" applyNumberFormat="1" applyFont="1" applyAlignment="1">
      <alignment horizontal="center" vertical="top"/>
    </xf>
    <xf numFmtId="0" fontId="19" fillId="0" borderId="0" xfId="0" applyFont="1" applyAlignment="1">
      <alignment vertical="top" wrapText="1"/>
    </xf>
    <xf numFmtId="2" fontId="19" fillId="0" borderId="0" xfId="1" applyNumberFormat="1" applyFont="1" applyFill="1" applyBorder="1" applyAlignment="1">
      <alignment horizontal="center" vertical="top"/>
    </xf>
    <xf numFmtId="0" fontId="26" fillId="0" borderId="0" xfId="0" applyFont="1" applyAlignment="1">
      <alignment vertical="top" wrapText="1"/>
    </xf>
    <xf numFmtId="0" fontId="19" fillId="0" borderId="5" xfId="0" applyFont="1" applyBorder="1" applyAlignment="1">
      <alignment horizontal="center" vertical="top" wrapText="1"/>
    </xf>
    <xf numFmtId="2" fontId="19" fillId="0" borderId="0" xfId="1" applyNumberFormat="1" applyFont="1" applyBorder="1" applyAlignment="1">
      <alignment horizontal="center" vertical="top"/>
    </xf>
    <xf numFmtId="0" fontId="27" fillId="0" borderId="0" xfId="0" applyFont="1" applyAlignment="1">
      <alignment horizontal="justify" vertical="top" wrapText="1"/>
    </xf>
    <xf numFmtId="0" fontId="17" fillId="0" borderId="0" xfId="0" applyFont="1" applyAlignment="1">
      <alignment vertical="top" wrapText="1"/>
    </xf>
    <xf numFmtId="2" fontId="17" fillId="0" borderId="0" xfId="0" applyNumberFormat="1" applyFont="1" applyAlignment="1">
      <alignment horizontal="center" vertical="top" wrapText="1"/>
    </xf>
    <xf numFmtId="0" fontId="17" fillId="0" borderId="0" xfId="0" applyFont="1" applyAlignment="1">
      <alignment vertical="center"/>
    </xf>
    <xf numFmtId="0" fontId="28" fillId="0" borderId="0" xfId="0" applyFont="1" applyAlignment="1">
      <alignment horizontal="center" vertical="top" wrapText="1"/>
    </xf>
    <xf numFmtId="0" fontId="28" fillId="0" borderId="0" xfId="0" applyFont="1" applyAlignment="1">
      <alignment horizontal="left" vertical="top" wrapText="1"/>
    </xf>
    <xf numFmtId="0" fontId="28" fillId="0" borderId="0" xfId="2" applyFont="1" applyAlignment="1">
      <alignment horizontal="center" vertical="top" wrapText="1"/>
    </xf>
    <xf numFmtId="0" fontId="28" fillId="0" borderId="0" xfId="0" applyFont="1" applyAlignment="1">
      <alignment horizontal="center" vertical="top"/>
    </xf>
    <xf numFmtId="2" fontId="28" fillId="0" borderId="0" xfId="0" applyNumberFormat="1" applyFont="1" applyAlignment="1">
      <alignment horizontal="center" vertical="top"/>
    </xf>
    <xf numFmtId="0" fontId="28" fillId="0" borderId="0" xfId="0" quotePrefix="1" applyFont="1" applyAlignment="1">
      <alignment horizontal="center" vertical="top" wrapText="1"/>
    </xf>
    <xf numFmtId="0" fontId="28" fillId="0" borderId="0" xfId="0" applyFont="1" applyAlignment="1">
      <alignment horizontal="center" vertical="center"/>
    </xf>
    <xf numFmtId="0" fontId="28" fillId="0" borderId="0" xfId="0" applyFont="1" applyAlignment="1">
      <alignment vertical="center"/>
    </xf>
    <xf numFmtId="0" fontId="28" fillId="0" borderId="0" xfId="0" applyFont="1"/>
    <xf numFmtId="0" fontId="28" fillId="0" borderId="0" xfId="0" applyFont="1" applyAlignment="1">
      <alignment vertical="top" wrapText="1"/>
    </xf>
    <xf numFmtId="0" fontId="28" fillId="0" borderId="4" xfId="0" applyFont="1" applyBorder="1" applyAlignment="1">
      <alignment horizontal="center" vertical="top" wrapText="1"/>
    </xf>
    <xf numFmtId="0" fontId="28" fillId="0" borderId="0" xfId="0" applyFont="1" applyAlignment="1">
      <alignment vertical="top"/>
    </xf>
    <xf numFmtId="0" fontId="19" fillId="0" borderId="0" xfId="0" applyFont="1" applyAlignment="1">
      <alignment horizontal="left" vertical="top"/>
    </xf>
    <xf numFmtId="0" fontId="19" fillId="0" borderId="0" xfId="0" applyFont="1" applyAlignment="1">
      <alignment horizontal="left" vertical="center"/>
    </xf>
    <xf numFmtId="0" fontId="19" fillId="0" borderId="0" xfId="0" applyFont="1" applyAlignment="1">
      <alignment horizontal="left" vertical="center" wrapText="1"/>
    </xf>
    <xf numFmtId="2" fontId="19" fillId="0" borderId="0" xfId="0" applyNumberFormat="1" applyFont="1" applyAlignment="1">
      <alignment horizontal="center" vertical="top" shrinkToFit="1"/>
    </xf>
    <xf numFmtId="165" fontId="19" fillId="0" borderId="0" xfId="0" applyNumberFormat="1" applyFont="1" applyAlignment="1">
      <alignment horizontal="center" vertical="top" shrinkToFit="1"/>
    </xf>
    <xf numFmtId="0" fontId="26" fillId="0" borderId="0" xfId="0" applyFont="1" applyAlignment="1">
      <alignment horizontal="center" vertical="top" wrapText="1"/>
    </xf>
    <xf numFmtId="0" fontId="27" fillId="0" borderId="0" xfId="0" applyFont="1" applyAlignment="1">
      <alignment horizontal="center" vertical="top" wrapText="1"/>
    </xf>
    <xf numFmtId="0" fontId="19" fillId="0" borderId="4" xfId="0" applyFont="1" applyBorder="1" applyAlignment="1">
      <alignment horizontal="center" vertical="top" wrapText="1"/>
    </xf>
    <xf numFmtId="0" fontId="19" fillId="0" borderId="0" xfId="0" quotePrefix="1" applyFont="1" applyAlignment="1">
      <alignment horizontal="center" vertical="top" wrapText="1"/>
    </xf>
    <xf numFmtId="0" fontId="7" fillId="0" borderId="0" xfId="0" applyFont="1" applyAlignment="1">
      <alignment wrapText="1"/>
    </xf>
    <xf numFmtId="2" fontId="7" fillId="0" borderId="0" xfId="0" applyNumberFormat="1" applyFont="1" applyAlignment="1">
      <alignment wrapText="1"/>
    </xf>
    <xf numFmtId="2" fontId="7" fillId="0" borderId="0" xfId="0" applyNumberFormat="1" applyFont="1" applyAlignment="1">
      <alignment vertical="top"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wrapText="1"/>
    </xf>
    <xf numFmtId="165" fontId="8" fillId="0" borderId="0" xfId="0" applyNumberFormat="1" applyFont="1" applyAlignment="1">
      <alignment horizontal="center" vertical="top" wrapText="1"/>
    </xf>
    <xf numFmtId="0" fontId="8" fillId="0" borderId="0" xfId="0" applyFont="1" applyAlignment="1">
      <alignment wrapText="1"/>
    </xf>
    <xf numFmtId="0" fontId="8" fillId="0" borderId="0" xfId="0" applyFont="1" applyAlignment="1">
      <alignment horizontal="center" vertical="center"/>
    </xf>
    <xf numFmtId="0" fontId="7" fillId="0" borderId="0" xfId="0" applyFont="1" applyAlignment="1">
      <alignment vertical="center" wrapText="1"/>
    </xf>
    <xf numFmtId="0" fontId="8" fillId="0" borderId="0" xfId="0" applyFont="1"/>
    <xf numFmtId="0" fontId="7" fillId="0" borderId="0" xfId="0" applyFont="1" applyAlignment="1">
      <alignment horizontal="left" vertical="center"/>
    </xf>
    <xf numFmtId="0" fontId="2" fillId="0" borderId="0" xfId="0" applyFont="1" applyAlignment="1">
      <alignment horizontal="center" vertical="top" wrapText="1"/>
    </xf>
    <xf numFmtId="0" fontId="8" fillId="0" borderId="2" xfId="2" applyFont="1" applyBorder="1" applyAlignment="1">
      <alignment horizontal="center" vertical="top" wrapText="1"/>
    </xf>
    <xf numFmtId="2" fontId="8" fillId="0" borderId="2" xfId="2" applyNumberFormat="1" applyFont="1" applyBorder="1" applyAlignment="1">
      <alignment horizontal="center" vertical="top" wrapText="1"/>
    </xf>
    <xf numFmtId="2" fontId="8" fillId="0" borderId="0" xfId="0" applyNumberFormat="1" applyFont="1" applyAlignment="1">
      <alignment horizontal="center" vertical="top" wrapText="1"/>
    </xf>
    <xf numFmtId="0" fontId="2" fillId="0" borderId="0" xfId="0" applyFont="1" applyAlignment="1">
      <alignment horizontal="center" vertical="top"/>
    </xf>
    <xf numFmtId="1" fontId="2" fillId="0" borderId="0" xfId="0" applyNumberFormat="1" applyFont="1" applyAlignment="1">
      <alignment horizontal="center" vertical="top"/>
    </xf>
    <xf numFmtId="1" fontId="19" fillId="0" borderId="0" xfId="1" applyNumberFormat="1" applyFont="1" applyBorder="1" applyAlignment="1">
      <alignment horizontal="center" vertical="top"/>
    </xf>
    <xf numFmtId="0" fontId="17" fillId="0" borderId="0" xfId="0" applyFont="1" applyAlignment="1">
      <alignment horizontal="left" vertical="top"/>
    </xf>
    <xf numFmtId="0" fontId="17" fillId="0" borderId="0" xfId="0" applyFont="1" applyAlignment="1">
      <alignment vertical="top"/>
    </xf>
    <xf numFmtId="2" fontId="17" fillId="0" borderId="0" xfId="0" applyNumberFormat="1" applyFont="1" applyAlignment="1">
      <alignment horizontal="center" vertical="top"/>
    </xf>
    <xf numFmtId="1" fontId="17" fillId="0" borderId="0" xfId="1" applyNumberFormat="1" applyFont="1" applyBorder="1" applyAlignment="1">
      <alignment horizontal="center" vertical="top"/>
    </xf>
    <xf numFmtId="0" fontId="7" fillId="2" borderId="0" xfId="0" applyFont="1" applyFill="1" applyAlignment="1">
      <alignment horizontal="center" vertical="top"/>
    </xf>
    <xf numFmtId="0" fontId="7" fillId="2" borderId="0" xfId="2" applyFont="1" applyFill="1" applyAlignment="1">
      <alignment horizontal="center" vertical="top" wrapText="1"/>
    </xf>
    <xf numFmtId="0" fontId="7" fillId="2" borderId="0" xfId="0" applyFont="1" applyFill="1" applyAlignment="1">
      <alignment horizontal="center" vertical="top" wrapText="1"/>
    </xf>
    <xf numFmtId="0" fontId="7" fillId="2" borderId="0" xfId="0" applyFont="1" applyFill="1" applyAlignment="1">
      <alignment horizontal="center" vertical="center"/>
    </xf>
    <xf numFmtId="0" fontId="7" fillId="2" borderId="0" xfId="0" applyFont="1" applyFill="1"/>
    <xf numFmtId="0" fontId="7" fillId="2" borderId="0" xfId="0" applyFont="1" applyFill="1" applyAlignment="1">
      <alignment vertical="center"/>
    </xf>
    <xf numFmtId="0" fontId="7" fillId="0" borderId="6" xfId="0" applyFont="1" applyBorder="1" applyAlignment="1">
      <alignment horizontal="center" vertical="top" wrapText="1"/>
    </xf>
    <xf numFmtId="0" fontId="8" fillId="0" borderId="6" xfId="0" applyFont="1" applyBorder="1" applyAlignment="1">
      <alignment horizontal="center" vertical="top" wrapText="1"/>
    </xf>
    <xf numFmtId="0" fontId="8" fillId="0" borderId="6" xfId="0" applyFont="1" applyBorder="1" applyAlignment="1">
      <alignment horizontal="left" vertical="top"/>
    </xf>
    <xf numFmtId="0" fontId="7" fillId="0" borderId="6" xfId="0" applyFont="1" applyBorder="1" applyAlignment="1">
      <alignment horizontal="center" vertical="top"/>
    </xf>
    <xf numFmtId="0" fontId="7" fillId="0" borderId="6" xfId="0" applyFont="1" applyBorder="1" applyAlignment="1">
      <alignment horizontal="left" vertical="top" wrapText="1"/>
    </xf>
    <xf numFmtId="0" fontId="7" fillId="0" borderId="6" xfId="2" applyFont="1" applyBorder="1" applyAlignment="1">
      <alignment horizontal="center" vertical="top" wrapText="1"/>
    </xf>
    <xf numFmtId="0" fontId="8" fillId="0" borderId="6" xfId="0" applyFont="1" applyBorder="1" applyAlignment="1">
      <alignment horizontal="right" vertical="top" wrapText="1"/>
    </xf>
    <xf numFmtId="1" fontId="8" fillId="0" borderId="6" xfId="0" applyNumberFormat="1" applyFont="1" applyBorder="1" applyAlignment="1">
      <alignment horizontal="center" vertical="top" wrapText="1"/>
    </xf>
    <xf numFmtId="0" fontId="7" fillId="0" borderId="6" xfId="0" applyFont="1" applyBorder="1" applyAlignment="1">
      <alignment wrapText="1"/>
    </xf>
    <xf numFmtId="0" fontId="8" fillId="0" borderId="6" xfId="0" applyFont="1" applyBorder="1" applyAlignment="1">
      <alignment horizontal="center" vertical="top"/>
    </xf>
    <xf numFmtId="0" fontId="7" fillId="0" borderId="6" xfId="0" applyFont="1" applyBorder="1" applyAlignment="1">
      <alignment vertical="top" wrapText="1"/>
    </xf>
    <xf numFmtId="2" fontId="7" fillId="0" borderId="6" xfId="0" applyNumberFormat="1" applyFont="1" applyBorder="1" applyAlignment="1">
      <alignment horizontal="center" vertical="top" wrapText="1"/>
    </xf>
    <xf numFmtId="1" fontId="7" fillId="0" borderId="6" xfId="0" applyNumberFormat="1" applyFont="1" applyBorder="1" applyAlignment="1">
      <alignment horizontal="center" vertical="top"/>
    </xf>
    <xf numFmtId="2" fontId="7" fillId="0" borderId="6" xfId="0" applyNumberFormat="1" applyFont="1" applyBorder="1" applyAlignment="1">
      <alignment horizontal="center" vertical="top"/>
    </xf>
    <xf numFmtId="0" fontId="7" fillId="0" borderId="6" xfId="0" applyFont="1" applyBorder="1" applyAlignment="1">
      <alignment horizontal="left" vertical="center" wrapText="1"/>
    </xf>
    <xf numFmtId="0" fontId="7" fillId="2" borderId="6" xfId="0" applyFont="1" applyFill="1" applyBorder="1" applyAlignment="1">
      <alignment vertical="top" wrapText="1"/>
    </xf>
    <xf numFmtId="2" fontId="7" fillId="2" borderId="6" xfId="0" applyNumberFormat="1" applyFont="1" applyFill="1" applyBorder="1" applyAlignment="1">
      <alignment horizontal="center" vertical="top" wrapText="1"/>
    </xf>
    <xf numFmtId="0" fontId="7" fillId="2" borderId="6" xfId="0" applyFont="1" applyFill="1" applyBorder="1" applyAlignment="1">
      <alignment vertical="center" wrapText="1"/>
    </xf>
    <xf numFmtId="0" fontId="7" fillId="0" borderId="6" xfId="0" applyFont="1" applyBorder="1" applyAlignment="1">
      <alignment vertical="center" wrapText="1"/>
    </xf>
    <xf numFmtId="165" fontId="7" fillId="0" borderId="6" xfId="0" applyNumberFormat="1" applyFont="1" applyBorder="1" applyAlignment="1">
      <alignment horizontal="center" vertical="top"/>
    </xf>
    <xf numFmtId="1" fontId="7" fillId="0" borderId="6" xfId="0" applyNumberFormat="1" applyFont="1" applyBorder="1" applyAlignment="1">
      <alignment horizontal="center" vertical="top" wrapText="1"/>
    </xf>
    <xf numFmtId="0" fontId="7" fillId="2" borderId="6" xfId="0" applyFont="1" applyFill="1" applyBorder="1" applyAlignment="1">
      <alignment horizontal="justify" vertical="top" wrapText="1"/>
    </xf>
    <xf numFmtId="2" fontId="7" fillId="0" borderId="6" xfId="1" applyNumberFormat="1" applyFont="1" applyBorder="1" applyAlignment="1">
      <alignment horizontal="center" vertical="top"/>
    </xf>
    <xf numFmtId="165" fontId="7" fillId="0" borderId="6" xfId="1" applyNumberFormat="1" applyFont="1" applyBorder="1" applyAlignment="1">
      <alignment horizontal="center" vertical="top"/>
    </xf>
    <xf numFmtId="2" fontId="7" fillId="0" borderId="6" xfId="1" applyNumberFormat="1" applyFont="1" applyBorder="1" applyAlignment="1">
      <alignment horizontal="right" vertical="top" wrapText="1"/>
    </xf>
    <xf numFmtId="2" fontId="7" fillId="0" borderId="6" xfId="1" applyNumberFormat="1" applyFont="1" applyBorder="1" applyAlignment="1">
      <alignment horizontal="right" vertical="top"/>
    </xf>
    <xf numFmtId="1" fontId="7" fillId="0" borderId="6" xfId="1" applyNumberFormat="1" applyFont="1" applyBorder="1" applyAlignment="1">
      <alignment horizontal="center" vertical="top"/>
    </xf>
    <xf numFmtId="0" fontId="2" fillId="0" borderId="6" xfId="0" applyFont="1" applyBorder="1" applyAlignment="1">
      <alignment horizontal="justify" vertical="top" wrapText="1"/>
    </xf>
    <xf numFmtId="0" fontId="7" fillId="0" borderId="6" xfId="7" applyFont="1" applyBorder="1" applyAlignment="1">
      <alignment vertical="top" wrapText="1"/>
    </xf>
    <xf numFmtId="2" fontId="7" fillId="0" borderId="6" xfId="1" applyNumberFormat="1" applyFont="1" applyFill="1" applyBorder="1" applyAlignment="1">
      <alignment horizontal="center" vertical="top"/>
    </xf>
    <xf numFmtId="165" fontId="7" fillId="0" borderId="6" xfId="0" applyNumberFormat="1" applyFont="1" applyBorder="1" applyAlignment="1">
      <alignment horizontal="center" vertical="top" shrinkToFit="1"/>
    </xf>
    <xf numFmtId="0" fontId="2" fillId="0" borderId="6" xfId="0" applyFont="1" applyBorder="1" applyAlignment="1">
      <alignment horizontal="left" vertical="top" wrapText="1"/>
    </xf>
    <xf numFmtId="0" fontId="7" fillId="2" borderId="6" xfId="0" applyFont="1" applyFill="1" applyBorder="1" applyAlignment="1">
      <alignment horizontal="center" vertical="top"/>
    </xf>
    <xf numFmtId="0" fontId="2" fillId="2" borderId="6" xfId="0" applyFont="1" applyFill="1" applyBorder="1" applyAlignment="1">
      <alignment horizontal="left" vertical="top" wrapText="1"/>
    </xf>
    <xf numFmtId="1" fontId="7" fillId="2" borderId="6" xfId="0" applyNumberFormat="1" applyFont="1" applyFill="1" applyBorder="1" applyAlignment="1">
      <alignment horizontal="center" vertical="top"/>
    </xf>
    <xf numFmtId="0" fontId="7" fillId="2" borderId="6" xfId="2" applyFont="1" applyFill="1" applyBorder="1" applyAlignment="1">
      <alignment horizontal="center" vertical="top" wrapText="1"/>
    </xf>
    <xf numFmtId="0" fontId="7" fillId="2" borderId="6" xfId="0" applyFont="1" applyFill="1" applyBorder="1" applyAlignment="1">
      <alignment horizontal="center" vertical="top" wrapText="1"/>
    </xf>
    <xf numFmtId="0" fontId="7" fillId="0" borderId="6" xfId="0" applyFont="1" applyBorder="1" applyAlignment="1">
      <alignment horizontal="justify" vertical="top" wrapText="1"/>
    </xf>
    <xf numFmtId="0" fontId="7" fillId="2" borderId="6" xfId="0" applyFont="1" applyFill="1" applyBorder="1" applyAlignment="1">
      <alignment horizontal="left" vertical="top" wrapText="1"/>
    </xf>
    <xf numFmtId="168" fontId="7" fillId="0" borderId="6" xfId="0" applyNumberFormat="1" applyFont="1" applyBorder="1" applyAlignment="1">
      <alignment horizontal="center" vertical="top"/>
    </xf>
    <xf numFmtId="1" fontId="7" fillId="0" borderId="6" xfId="4" applyNumberFormat="1" applyFont="1" applyFill="1" applyBorder="1" applyAlignment="1">
      <alignment horizontal="center" vertical="top" wrapText="1"/>
    </xf>
    <xf numFmtId="0" fontId="2" fillId="0" borderId="6" xfId="0" applyFont="1" applyBorder="1" applyAlignment="1">
      <alignment horizontal="left" vertical="top" wrapText="1" readingOrder="1"/>
    </xf>
    <xf numFmtId="0" fontId="2" fillId="0" borderId="6" xfId="0" applyFont="1" applyBorder="1" applyAlignment="1">
      <alignment horizontal="center" vertical="top" wrapText="1"/>
    </xf>
    <xf numFmtId="0" fontId="29" fillId="0" borderId="6" xfId="0" applyFont="1" applyBorder="1" applyAlignment="1">
      <alignment vertical="top" wrapText="1"/>
    </xf>
    <xf numFmtId="0" fontId="29" fillId="0" borderId="6" xfId="0" applyFont="1" applyBorder="1" applyAlignment="1">
      <alignment horizontal="center" vertical="top" wrapText="1"/>
    </xf>
    <xf numFmtId="0" fontId="7" fillId="0" borderId="6" xfId="0" applyFont="1" applyBorder="1" applyAlignment="1">
      <alignment horizontal="center" vertical="center" wrapText="1"/>
    </xf>
    <xf numFmtId="0" fontId="8" fillId="0" borderId="6" xfId="0" applyFont="1" applyBorder="1" applyAlignment="1">
      <alignment horizontal="right" vertical="center" wrapText="1"/>
    </xf>
    <xf numFmtId="0" fontId="8" fillId="0" borderId="6" xfId="0" applyFont="1" applyBorder="1" applyAlignment="1">
      <alignment horizontal="center" vertical="center" wrapText="1"/>
    </xf>
    <xf numFmtId="0" fontId="8" fillId="0" borderId="6" xfId="2" applyFont="1" applyBorder="1" applyAlignment="1">
      <alignment horizontal="center" vertical="top" wrapText="1"/>
    </xf>
    <xf numFmtId="0" fontId="7" fillId="0" borderId="6" xfId="0" applyFont="1" applyBorder="1" applyAlignment="1">
      <alignment vertical="top"/>
    </xf>
    <xf numFmtId="0" fontId="8" fillId="0" borderId="6" xfId="0" applyFont="1" applyBorder="1" applyAlignment="1">
      <alignment horizontal="right" vertical="top"/>
    </xf>
    <xf numFmtId="1" fontId="8" fillId="0" borderId="6" xfId="0" applyNumberFormat="1" applyFont="1" applyBorder="1" applyAlignment="1">
      <alignment horizontal="center" vertical="top"/>
    </xf>
    <xf numFmtId="0" fontId="5" fillId="0" borderId="6" xfId="0" applyFont="1" applyBorder="1" applyAlignment="1">
      <alignment horizontal="left" vertical="top" wrapText="1"/>
    </xf>
    <xf numFmtId="0" fontId="5" fillId="0" borderId="6" xfId="0" applyFont="1" applyBorder="1" applyAlignment="1">
      <alignment horizontal="center" vertical="top" wrapText="1"/>
    </xf>
    <xf numFmtId="0" fontId="4" fillId="0" borderId="6" xfId="0" applyFont="1" applyBorder="1" applyAlignment="1">
      <alignment horizontal="center" vertical="top" wrapText="1"/>
    </xf>
    <xf numFmtId="0" fontId="4" fillId="0" borderId="6" xfId="0" applyFont="1" applyBorder="1" applyAlignment="1">
      <alignment horizontal="left" vertical="top"/>
    </xf>
    <xf numFmtId="0" fontId="4" fillId="0" borderId="6" xfId="2" applyFont="1" applyBorder="1" applyAlignment="1">
      <alignment horizontal="center" vertical="top" wrapText="1"/>
    </xf>
    <xf numFmtId="0" fontId="5" fillId="0" borderId="6" xfId="0" applyFont="1" applyBorder="1" applyAlignment="1">
      <alignment horizontal="center" vertical="top"/>
    </xf>
    <xf numFmtId="0" fontId="5" fillId="0" borderId="6" xfId="2" applyFont="1" applyBorder="1" applyAlignment="1">
      <alignment horizontal="center" vertical="top" wrapText="1"/>
    </xf>
    <xf numFmtId="0" fontId="4" fillId="0" borderId="6" xfId="0" applyFont="1" applyBorder="1" applyAlignment="1">
      <alignment horizontal="right" vertical="top" wrapText="1"/>
    </xf>
    <xf numFmtId="165" fontId="4" fillId="0" borderId="6" xfId="0" applyNumberFormat="1" applyFont="1" applyBorder="1" applyAlignment="1">
      <alignment horizontal="center" vertical="top" wrapText="1"/>
    </xf>
    <xf numFmtId="1" fontId="4" fillId="0" borderId="6" xfId="0" applyNumberFormat="1" applyFont="1" applyBorder="1" applyAlignment="1">
      <alignment horizontal="center" vertical="top" wrapText="1"/>
    </xf>
    <xf numFmtId="0" fontId="5" fillId="0" borderId="6" xfId="0" applyFont="1" applyBorder="1" applyAlignment="1">
      <alignment wrapText="1"/>
    </xf>
    <xf numFmtId="0" fontId="5" fillId="0" borderId="6" xfId="0" applyFont="1" applyBorder="1" applyAlignment="1">
      <alignment vertical="top" wrapText="1"/>
    </xf>
    <xf numFmtId="2" fontId="5" fillId="0" borderId="6" xfId="0" applyNumberFormat="1" applyFont="1" applyBorder="1" applyAlignment="1">
      <alignment horizontal="center" vertical="top" wrapText="1"/>
    </xf>
    <xf numFmtId="1" fontId="5" fillId="0" borderId="6" xfId="0" applyNumberFormat="1" applyFont="1" applyBorder="1" applyAlignment="1">
      <alignment horizontal="center" vertical="top"/>
    </xf>
    <xf numFmtId="2" fontId="5" fillId="0" borderId="6" xfId="0" applyNumberFormat="1" applyFont="1" applyBorder="1" applyAlignment="1">
      <alignment horizontal="center" vertical="top"/>
    </xf>
    <xf numFmtId="0" fontId="5" fillId="0" borderId="6" xfId="0" applyFont="1" applyBorder="1" applyAlignment="1">
      <alignment horizontal="left" vertical="center" wrapText="1"/>
    </xf>
    <xf numFmtId="0" fontId="5" fillId="0" borderId="6" xfId="0" applyFont="1" applyBorder="1" applyAlignment="1">
      <alignment vertical="center" wrapText="1"/>
    </xf>
    <xf numFmtId="0" fontId="5" fillId="2" borderId="6" xfId="0" applyFont="1" applyFill="1" applyBorder="1" applyAlignment="1">
      <alignment vertical="center" wrapText="1"/>
    </xf>
    <xf numFmtId="2" fontId="5" fillId="2" borderId="6" xfId="0" applyNumberFormat="1" applyFont="1" applyFill="1" applyBorder="1" applyAlignment="1">
      <alignment horizontal="center" vertical="top" wrapText="1"/>
    </xf>
    <xf numFmtId="165" fontId="5" fillId="0" borderId="6" xfId="0" applyNumberFormat="1" applyFont="1" applyBorder="1" applyAlignment="1">
      <alignment horizontal="center" vertical="top"/>
    </xf>
    <xf numFmtId="1" fontId="5" fillId="0" borderId="6" xfId="0" applyNumberFormat="1" applyFont="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6" xfId="2" applyFont="1" applyBorder="1" applyAlignment="1">
      <alignment horizontal="center" vertical="top" wrapText="1"/>
    </xf>
    <xf numFmtId="0" fontId="5" fillId="2" borderId="6" xfId="0" applyFont="1" applyFill="1" applyBorder="1" applyAlignment="1">
      <alignment horizontal="justify" vertical="top" wrapText="1"/>
    </xf>
    <xf numFmtId="2" fontId="5" fillId="0" borderId="6" xfId="1" applyNumberFormat="1" applyFont="1" applyBorder="1" applyAlignment="1">
      <alignment horizontal="center" vertical="top"/>
    </xf>
    <xf numFmtId="165" fontId="5" fillId="0" borderId="6" xfId="1" applyNumberFormat="1" applyFont="1" applyBorder="1" applyAlignment="1">
      <alignment horizontal="center" vertical="top"/>
    </xf>
    <xf numFmtId="2" fontId="5" fillId="0" borderId="6" xfId="1" applyNumberFormat="1" applyFont="1" applyBorder="1" applyAlignment="1">
      <alignment horizontal="right" vertical="top" wrapText="1"/>
    </xf>
    <xf numFmtId="2" fontId="5" fillId="0" borderId="6" xfId="1" applyNumberFormat="1" applyFont="1" applyBorder="1" applyAlignment="1">
      <alignment horizontal="right" vertical="top"/>
    </xf>
    <xf numFmtId="1" fontId="5" fillId="0" borderId="6" xfId="1" applyNumberFormat="1" applyFont="1" applyBorder="1" applyAlignment="1">
      <alignment horizontal="center" vertical="top"/>
    </xf>
    <xf numFmtId="0" fontId="5" fillId="0" borderId="6" xfId="7" applyFont="1" applyBorder="1" applyAlignment="1">
      <alignment vertical="top" wrapText="1"/>
    </xf>
    <xf numFmtId="0" fontId="3" fillId="0" borderId="6" xfId="0" applyFont="1" applyBorder="1" applyAlignment="1">
      <alignment horizontal="justify" vertical="top" wrapText="1"/>
    </xf>
    <xf numFmtId="2" fontId="5" fillId="0" borderId="6" xfId="1" applyNumberFormat="1" applyFont="1" applyFill="1" applyBorder="1" applyAlignment="1">
      <alignment horizontal="center" vertical="top"/>
    </xf>
    <xf numFmtId="0" fontId="12" fillId="0" borderId="6" xfId="0" applyFont="1" applyBorder="1" applyAlignment="1">
      <alignment vertical="top" wrapText="1"/>
    </xf>
    <xf numFmtId="0" fontId="3" fillId="0" borderId="6" xfId="0" applyFont="1" applyBorder="1" applyAlignment="1">
      <alignment horizontal="left" vertical="top" wrapText="1"/>
    </xf>
    <xf numFmtId="2" fontId="12" fillId="0" borderId="6" xfId="0" applyNumberFormat="1" applyFont="1" applyBorder="1" applyAlignment="1">
      <alignment horizontal="center" vertical="top"/>
    </xf>
    <xf numFmtId="1" fontId="5" fillId="0" borderId="6" xfId="2" applyNumberFormat="1" applyFont="1" applyBorder="1" applyAlignment="1">
      <alignment horizontal="center" vertical="top" wrapText="1"/>
    </xf>
    <xf numFmtId="0" fontId="4" fillId="0" borderId="6" xfId="0" applyFont="1" applyBorder="1" applyAlignment="1">
      <alignment horizontal="right" vertical="center" wrapText="1"/>
    </xf>
    <xf numFmtId="0" fontId="4" fillId="0" borderId="6" xfId="0" applyFont="1" applyBorder="1" applyAlignment="1">
      <alignment horizontal="center" vertical="center" wrapText="1"/>
    </xf>
    <xf numFmtId="0" fontId="4" fillId="0" borderId="6" xfId="2" applyFont="1" applyBorder="1" applyAlignment="1">
      <alignment horizontal="center" vertical="center" wrapText="1"/>
    </xf>
    <xf numFmtId="0" fontId="5" fillId="0" borderId="6" xfId="0" applyFont="1" applyBorder="1" applyAlignment="1">
      <alignment vertical="top"/>
    </xf>
    <xf numFmtId="0" fontId="4" fillId="0" borderId="6" xfId="0" applyFont="1" applyBorder="1" applyAlignment="1">
      <alignment horizontal="right" vertical="top"/>
    </xf>
    <xf numFmtId="1" fontId="4" fillId="0" borderId="6" xfId="0" applyNumberFormat="1" applyFont="1" applyBorder="1" applyAlignment="1">
      <alignment horizontal="center" vertical="top"/>
    </xf>
    <xf numFmtId="0" fontId="14" fillId="0" borderId="6" xfId="0" applyFont="1" applyBorder="1" applyAlignment="1">
      <alignment vertical="top" wrapText="1"/>
    </xf>
    <xf numFmtId="0" fontId="5" fillId="0" borderId="6" xfId="0" applyFont="1" applyBorder="1" applyAlignment="1">
      <alignment horizontal="justify" vertical="top" wrapText="1"/>
    </xf>
    <xf numFmtId="0" fontId="5" fillId="0" borderId="6" xfId="0" applyFont="1" applyBorder="1"/>
    <xf numFmtId="168" fontId="5" fillId="0" borderId="6" xfId="0" applyNumberFormat="1" applyFont="1" applyBorder="1" applyAlignment="1">
      <alignment horizontal="center" vertical="top"/>
    </xf>
    <xf numFmtId="1" fontId="5" fillId="0" borderId="6" xfId="4" applyNumberFormat="1" applyFont="1" applyFill="1" applyBorder="1" applyAlignment="1">
      <alignment horizontal="center" vertical="top" wrapText="1"/>
    </xf>
    <xf numFmtId="0" fontId="3" fillId="0" borderId="6" xfId="0" applyFont="1" applyBorder="1" applyAlignment="1">
      <alignment horizontal="left" vertical="top" wrapText="1" readingOrder="1"/>
    </xf>
    <xf numFmtId="0" fontId="3" fillId="0" borderId="6" xfId="0" applyFont="1" applyBorder="1" applyAlignment="1">
      <alignment horizontal="center" vertical="top" wrapText="1"/>
    </xf>
    <xf numFmtId="0" fontId="14" fillId="0" borderId="6" xfId="0" applyFont="1" applyBorder="1" applyAlignment="1">
      <alignment horizontal="center" vertical="top" wrapText="1"/>
    </xf>
    <xf numFmtId="0" fontId="12" fillId="0" borderId="6" xfId="0" applyFont="1" applyBorder="1" applyAlignment="1">
      <alignment horizontal="center" vertical="center"/>
    </xf>
    <xf numFmtId="0" fontId="12" fillId="0" borderId="6" xfId="0" applyFont="1" applyBorder="1" applyAlignment="1">
      <alignment horizontal="left" vertical="center" wrapText="1"/>
    </xf>
    <xf numFmtId="0" fontId="12" fillId="0" borderId="6" xfId="0" applyFont="1" applyBorder="1" applyAlignment="1">
      <alignment horizontal="center" vertical="center" wrapText="1"/>
    </xf>
    <xf numFmtId="165" fontId="12" fillId="0" borderId="6" xfId="0" applyNumberFormat="1" applyFont="1" applyBorder="1" applyAlignment="1">
      <alignment horizontal="center" vertical="center" shrinkToFit="1"/>
    </xf>
    <xf numFmtId="0" fontId="12" fillId="0" borderId="6" xfId="2" applyFont="1" applyBorder="1" applyAlignment="1">
      <alignment horizontal="center" vertical="center" wrapText="1"/>
    </xf>
    <xf numFmtId="165" fontId="4" fillId="0" borderId="0" xfId="0" applyNumberFormat="1" applyFont="1" applyAlignment="1">
      <alignment horizontal="center" vertical="top" wrapText="1"/>
    </xf>
    <xf numFmtId="0" fontId="4" fillId="0" borderId="0" xfId="0" applyFont="1" applyAlignment="1">
      <alignment horizontal="center" vertical="center" wrapText="1"/>
    </xf>
    <xf numFmtId="0" fontId="4"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11" fillId="0" borderId="0" xfId="0" applyFont="1" applyAlignment="1">
      <alignment horizontal="center" vertical="top" wrapText="1"/>
    </xf>
    <xf numFmtId="0" fontId="8" fillId="0" borderId="0" xfId="0" applyFont="1" applyAlignment="1">
      <alignment horizontal="center" vertical="top" wrapText="1"/>
    </xf>
    <xf numFmtId="0" fontId="7" fillId="0" borderId="0" xfId="0" applyFont="1" applyAlignment="1">
      <alignment horizontal="center" vertical="top" wrapText="1"/>
    </xf>
    <xf numFmtId="0" fontId="8" fillId="0" borderId="0" xfId="0" applyFont="1" applyAlignment="1">
      <alignment horizontal="left" vertical="top" wrapText="1"/>
    </xf>
    <xf numFmtId="0" fontId="8" fillId="0" borderId="0" xfId="0" applyFont="1" applyAlignment="1">
      <alignment vertical="top" wrapText="1"/>
    </xf>
    <xf numFmtId="0" fontId="5" fillId="0" borderId="0" xfId="0" applyFont="1" applyAlignment="1">
      <alignment horizontal="left" vertical="top"/>
    </xf>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horizontal="center" vertical="top" wrapText="1"/>
    </xf>
    <xf numFmtId="0" fontId="5" fillId="0" borderId="0" xfId="0" applyFont="1" applyAlignment="1">
      <alignment horizontal="center" vertical="center" wrapText="1"/>
    </xf>
    <xf numFmtId="0" fontId="5" fillId="0" borderId="0" xfId="0" applyFont="1" applyAlignment="1">
      <alignment horizontal="center" vertical="top"/>
    </xf>
    <xf numFmtId="0" fontId="4" fillId="0" borderId="0" xfId="0" applyFont="1" applyAlignment="1">
      <alignment horizontal="center" wrapText="1"/>
    </xf>
    <xf numFmtId="0" fontId="7" fillId="0" borderId="6" xfId="0" applyFont="1" applyBorder="1" applyAlignment="1">
      <alignment horizontal="left" vertical="top"/>
    </xf>
    <xf numFmtId="0" fontId="8" fillId="0" borderId="6" xfId="0" applyFont="1" applyBorder="1" applyAlignment="1">
      <alignment horizontal="center" wrapText="1"/>
    </xf>
    <xf numFmtId="0" fontId="7" fillId="0" borderId="6" xfId="0" applyFont="1" applyBorder="1" applyAlignment="1">
      <alignment horizontal="center" vertical="top" wrapText="1"/>
    </xf>
    <xf numFmtId="0" fontId="7" fillId="0" borderId="6" xfId="0" applyFont="1" applyBorder="1" applyAlignment="1">
      <alignment horizontal="center" vertical="center" wrapText="1"/>
    </xf>
    <xf numFmtId="0" fontId="5" fillId="0" borderId="6" xfId="0" applyFont="1" applyBorder="1" applyAlignment="1">
      <alignment horizontal="center" wrapText="1"/>
    </xf>
    <xf numFmtId="0" fontId="5" fillId="0" borderId="6" xfId="0" applyFont="1" applyBorder="1" applyAlignment="1">
      <alignment horizontal="left" vertical="top" wrapText="1"/>
    </xf>
    <xf numFmtId="0" fontId="5" fillId="0" borderId="6" xfId="0" applyFont="1" applyBorder="1" applyAlignment="1">
      <alignment horizontal="center" vertical="top" wrapText="1"/>
    </xf>
    <xf numFmtId="0" fontId="5" fillId="0" borderId="6" xfId="0" applyFont="1" applyBorder="1" applyAlignment="1">
      <alignment horizontal="center" vertical="center" wrapText="1"/>
    </xf>
  </cellXfs>
  <cellStyles count="8">
    <cellStyle name="Comma" xfId="1" builtinId="3"/>
    <cellStyle name="Currency" xfId="4" builtinId="4"/>
    <cellStyle name="Hyperlink" xfId="5" builtinId="8"/>
    <cellStyle name="Normal" xfId="0" builtinId="0"/>
    <cellStyle name="Normal 2" xfId="7" xr:uid="{00000000-0005-0000-0000-000004000000}"/>
    <cellStyle name="Normal 6" xfId="6" xr:uid="{00000000-0005-0000-0000-000005000000}"/>
    <cellStyle name="Normal 7" xfId="2" xr:uid="{00000000-0005-0000-0000-000006000000}"/>
    <cellStyle name="Normal 8" xfId="3" xr:uid="{00000000-0005-0000-0000-000007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KTOP-IFLBOPU\1.%20Renovation%20relocation%20of%20PCOM%20chambers-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M &amp; PCSO chamber"/>
      <sheetName val="PCOM office"/>
      <sheetName val="PCOM &amp; PCSO chamber -1"/>
      <sheetName val="PCOM  chamber "/>
      <sheetName val="PCSO chamber"/>
      <sheetName val="PCSO chamber-1"/>
      <sheetName val="PCOM &amp; PCSO chamber -1F"/>
      <sheetName val="PCOM Est 2-7-24"/>
      <sheetName val="PCOM Anji 2-7-24-1"/>
    </sheetNames>
    <sheetDataSet>
      <sheetData sheetId="0" refreshError="1"/>
      <sheetData sheetId="1" refreshError="1"/>
      <sheetData sheetId="2" refreshError="1">
        <row r="40">
          <cell r="H40">
            <v>975047</v>
          </cell>
        </row>
      </sheetData>
      <sheetData sheetId="3" refreshError="1"/>
      <sheetData sheetId="4" refreshError="1"/>
      <sheetData sheetId="5" refreshError="1"/>
      <sheetData sheetId="6" refreshError="1">
        <row r="41">
          <cell r="H41">
            <v>858461</v>
          </cell>
        </row>
      </sheetData>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T60"/>
  <sheetViews>
    <sheetView topLeftCell="A28" workbookViewId="0">
      <selection activeCell="B8" sqref="B8"/>
    </sheetView>
  </sheetViews>
  <sheetFormatPr defaultColWidth="13.28515625" defaultRowHeight="12.75" x14ac:dyDescent="0.25"/>
  <cols>
    <col min="1" max="1" width="5" style="1" customWidth="1"/>
    <col min="2" max="2" width="27.85546875" style="4" customWidth="1"/>
    <col min="3" max="3" width="4.85546875" style="1" customWidth="1"/>
    <col min="4" max="4" width="4.7109375" style="1" bestFit="1" customWidth="1"/>
    <col min="5" max="5" width="9.5703125" style="1" bestFit="1" customWidth="1"/>
    <col min="6" max="6" width="8.5703125" style="1" bestFit="1" customWidth="1"/>
    <col min="7" max="7" width="6" style="3" bestFit="1" customWidth="1"/>
    <col min="8" max="8" width="9.85546875" style="1" bestFit="1" customWidth="1"/>
    <col min="9" max="9" width="11.140625" style="4" customWidth="1"/>
    <col min="10" max="16384" width="13.28515625" style="4"/>
  </cols>
  <sheetData>
    <row r="1" spans="1:11" s="80" customFormat="1" ht="12" x14ac:dyDescent="0.25">
      <c r="A1" s="425" t="s">
        <v>16</v>
      </c>
      <c r="B1" s="425"/>
      <c r="C1" s="12"/>
      <c r="D1" s="12"/>
      <c r="E1" s="12"/>
      <c r="F1" s="12"/>
      <c r="G1" s="78"/>
      <c r="H1" s="12"/>
      <c r="I1" s="79" t="s">
        <v>27</v>
      </c>
    </row>
    <row r="2" spans="1:11" s="80" customFormat="1" ht="12" x14ac:dyDescent="0.25">
      <c r="A2" s="425" t="s">
        <v>159</v>
      </c>
      <c r="B2" s="425"/>
      <c r="C2" s="12"/>
      <c r="D2" s="12"/>
      <c r="E2" s="12"/>
      <c r="F2" s="12"/>
      <c r="G2" s="78"/>
      <c r="H2" s="12"/>
      <c r="I2" s="79" t="s">
        <v>160</v>
      </c>
    </row>
    <row r="3" spans="1:11" s="80" customFormat="1" ht="12" x14ac:dyDescent="0.25">
      <c r="A3" s="18" t="s">
        <v>161</v>
      </c>
      <c r="B3" s="15"/>
      <c r="C3" s="12"/>
      <c r="D3" s="12"/>
      <c r="E3" s="12"/>
      <c r="F3" s="78"/>
      <c r="G3" s="78"/>
      <c r="H3" s="78"/>
    </row>
    <row r="4" spans="1:11" s="81" customFormat="1" ht="12" x14ac:dyDescent="0.2">
      <c r="A4" s="426" t="s">
        <v>162</v>
      </c>
      <c r="B4" s="426"/>
      <c r="C4" s="426"/>
      <c r="D4" s="426"/>
      <c r="E4" s="426"/>
      <c r="F4" s="426"/>
      <c r="G4" s="426"/>
      <c r="H4" s="426"/>
      <c r="I4" s="426"/>
      <c r="K4" s="81" t="s">
        <v>29</v>
      </c>
    </row>
    <row r="5" spans="1:11" s="6" customFormat="1" ht="41.25" customHeight="1" x14ac:dyDescent="0.25">
      <c r="A5" s="426" t="s">
        <v>163</v>
      </c>
      <c r="B5" s="426"/>
      <c r="C5" s="426"/>
      <c r="D5" s="426"/>
      <c r="E5" s="426"/>
      <c r="F5" s="426"/>
      <c r="G5" s="426"/>
      <c r="H5" s="426"/>
      <c r="I5" s="426"/>
    </row>
    <row r="6" spans="1:11" s="82" customFormat="1" ht="12" x14ac:dyDescent="0.25">
      <c r="A6" s="426" t="s">
        <v>19</v>
      </c>
      <c r="B6" s="426" t="s">
        <v>20</v>
      </c>
      <c r="C6" s="427" t="s">
        <v>21</v>
      </c>
      <c r="D6" s="427" t="s">
        <v>0</v>
      </c>
      <c r="E6" s="426" t="s">
        <v>22</v>
      </c>
      <c r="F6" s="423" t="s">
        <v>164</v>
      </c>
      <c r="G6" s="423"/>
      <c r="H6" s="423" t="s">
        <v>23</v>
      </c>
      <c r="I6" s="424" t="s">
        <v>24</v>
      </c>
    </row>
    <row r="7" spans="1:11" s="82" customFormat="1" ht="12" x14ac:dyDescent="0.25">
      <c r="A7" s="426"/>
      <c r="B7" s="426"/>
      <c r="C7" s="427"/>
      <c r="D7" s="427"/>
      <c r="E7" s="426"/>
      <c r="F7" s="78" t="s">
        <v>165</v>
      </c>
      <c r="G7" s="78" t="s">
        <v>26</v>
      </c>
      <c r="H7" s="423"/>
      <c r="I7" s="424"/>
    </row>
    <row r="8" spans="1:11" ht="60" x14ac:dyDescent="0.25">
      <c r="A8" s="83">
        <v>1</v>
      </c>
      <c r="B8" s="2" t="s">
        <v>166</v>
      </c>
      <c r="C8" s="3">
        <v>4</v>
      </c>
      <c r="D8" s="3" t="s">
        <v>167</v>
      </c>
      <c r="E8" s="3">
        <v>7080</v>
      </c>
      <c r="F8" s="5">
        <f t="shared" ref="F8:F35" si="0">E8*C8</f>
        <v>28320</v>
      </c>
      <c r="G8" s="3">
        <v>0</v>
      </c>
      <c r="H8" s="5">
        <f>F8+G8</f>
        <v>28320</v>
      </c>
      <c r="I8" s="13" t="s">
        <v>168</v>
      </c>
    </row>
    <row r="9" spans="1:11" ht="76.5" x14ac:dyDescent="0.25">
      <c r="A9" s="83">
        <f>A8+1</f>
        <v>2</v>
      </c>
      <c r="B9" s="2" t="s">
        <v>169</v>
      </c>
      <c r="C9" s="3">
        <v>100</v>
      </c>
      <c r="D9" s="3" t="s">
        <v>45</v>
      </c>
      <c r="E9" s="3">
        <v>78</v>
      </c>
      <c r="F9" s="5">
        <f t="shared" si="0"/>
        <v>7800</v>
      </c>
      <c r="G9" s="3">
        <v>0</v>
      </c>
      <c r="H9" s="5">
        <f t="shared" ref="H9:H35" si="1">F9+G9</f>
        <v>7800</v>
      </c>
      <c r="I9" s="3" t="s">
        <v>170</v>
      </c>
    </row>
    <row r="10" spans="1:11" ht="72" x14ac:dyDescent="0.25">
      <c r="A10" s="83">
        <f t="shared" ref="A10:A35" si="2">A9+1</f>
        <v>3</v>
      </c>
      <c r="B10" s="2" t="s">
        <v>171</v>
      </c>
      <c r="C10" s="3">
        <v>16</v>
      </c>
      <c r="D10" s="3" t="s">
        <v>8</v>
      </c>
      <c r="E10" s="3">
        <v>1480</v>
      </c>
      <c r="F10" s="5">
        <f t="shared" si="0"/>
        <v>23680</v>
      </c>
      <c r="G10" s="3">
        <v>0</v>
      </c>
      <c r="H10" s="5">
        <f t="shared" si="1"/>
        <v>23680</v>
      </c>
      <c r="I10" s="13" t="s">
        <v>172</v>
      </c>
    </row>
    <row r="11" spans="1:11" ht="84" x14ac:dyDescent="0.25">
      <c r="A11" s="83">
        <f t="shared" si="2"/>
        <v>4</v>
      </c>
      <c r="B11" s="2" t="s">
        <v>173</v>
      </c>
      <c r="C11" s="3">
        <v>50</v>
      </c>
      <c r="D11" s="3" t="s">
        <v>45</v>
      </c>
      <c r="E11" s="3">
        <v>163</v>
      </c>
      <c r="F11" s="5">
        <f t="shared" si="0"/>
        <v>8150</v>
      </c>
      <c r="G11" s="3">
        <v>0</v>
      </c>
      <c r="H11" s="5">
        <f t="shared" si="1"/>
        <v>8150</v>
      </c>
      <c r="I11" s="13" t="s">
        <v>174</v>
      </c>
    </row>
    <row r="12" spans="1:11" ht="76.5" x14ac:dyDescent="0.25">
      <c r="A12" s="83">
        <f t="shared" si="2"/>
        <v>5</v>
      </c>
      <c r="B12" s="6" t="s">
        <v>175</v>
      </c>
      <c r="C12" s="5">
        <v>200</v>
      </c>
      <c r="D12" s="3" t="s">
        <v>45</v>
      </c>
      <c r="E12" s="5">
        <v>42</v>
      </c>
      <c r="F12" s="5">
        <f t="shared" si="0"/>
        <v>8400</v>
      </c>
      <c r="G12" s="3">
        <v>0</v>
      </c>
      <c r="H12" s="5">
        <f t="shared" si="1"/>
        <v>8400</v>
      </c>
      <c r="I12" s="3" t="s">
        <v>176</v>
      </c>
    </row>
    <row r="13" spans="1:11" ht="36" x14ac:dyDescent="0.25">
      <c r="A13" s="83">
        <f t="shared" si="2"/>
        <v>6</v>
      </c>
      <c r="B13" s="6" t="s">
        <v>177</v>
      </c>
      <c r="C13" s="5">
        <v>3</v>
      </c>
      <c r="D13" s="5" t="s">
        <v>178</v>
      </c>
      <c r="E13" s="5">
        <v>545</v>
      </c>
      <c r="F13" s="5">
        <f t="shared" si="0"/>
        <v>1635</v>
      </c>
      <c r="G13" s="3">
        <v>0</v>
      </c>
      <c r="H13" s="5">
        <f t="shared" si="1"/>
        <v>1635</v>
      </c>
      <c r="I13" s="13" t="s">
        <v>179</v>
      </c>
    </row>
    <row r="14" spans="1:11" ht="114.75" x14ac:dyDescent="0.25">
      <c r="A14" s="83">
        <f t="shared" si="2"/>
        <v>7</v>
      </c>
      <c r="B14" s="6" t="s">
        <v>180</v>
      </c>
      <c r="C14" s="13">
        <v>1</v>
      </c>
      <c r="D14" s="7" t="s">
        <v>178</v>
      </c>
      <c r="E14" s="5">
        <v>7000</v>
      </c>
      <c r="F14" s="5">
        <f t="shared" si="0"/>
        <v>7000</v>
      </c>
      <c r="G14" s="3">
        <v>0</v>
      </c>
      <c r="H14" s="5">
        <f t="shared" si="1"/>
        <v>7000</v>
      </c>
      <c r="I14" s="3" t="s">
        <v>181</v>
      </c>
    </row>
    <row r="15" spans="1:11" ht="38.25" x14ac:dyDescent="0.25">
      <c r="A15" s="83">
        <f t="shared" si="2"/>
        <v>8</v>
      </c>
      <c r="B15" s="2" t="s">
        <v>182</v>
      </c>
      <c r="C15" s="84">
        <v>1</v>
      </c>
      <c r="D15" s="85" t="s">
        <v>5</v>
      </c>
      <c r="E15" s="86">
        <v>38000</v>
      </c>
      <c r="F15" s="5">
        <f t="shared" si="0"/>
        <v>38000</v>
      </c>
      <c r="G15" s="3">
        <v>0</v>
      </c>
      <c r="H15" s="5">
        <f t="shared" si="1"/>
        <v>38000</v>
      </c>
      <c r="I15" s="87" t="s">
        <v>88</v>
      </c>
    </row>
    <row r="16" spans="1:11" ht="89.25" x14ac:dyDescent="0.25">
      <c r="A16" s="83">
        <f t="shared" si="2"/>
        <v>9</v>
      </c>
      <c r="B16" s="6" t="s">
        <v>183</v>
      </c>
      <c r="C16" s="13">
        <v>1</v>
      </c>
      <c r="D16" s="13" t="s">
        <v>5</v>
      </c>
      <c r="E16" s="88">
        <v>17200</v>
      </c>
      <c r="F16" s="5">
        <f t="shared" si="0"/>
        <v>17200</v>
      </c>
      <c r="G16" s="3">
        <v>0</v>
      </c>
      <c r="H16" s="5">
        <f t="shared" si="1"/>
        <v>17200</v>
      </c>
      <c r="I16" s="2" t="s">
        <v>184</v>
      </c>
      <c r="J16" s="89">
        <v>21000</v>
      </c>
    </row>
    <row r="17" spans="1:10" ht="36" x14ac:dyDescent="0.25">
      <c r="A17" s="83">
        <f t="shared" si="2"/>
        <v>10</v>
      </c>
      <c r="B17" s="6" t="s">
        <v>185</v>
      </c>
      <c r="C17" s="13">
        <v>2</v>
      </c>
      <c r="D17" s="13" t="s">
        <v>178</v>
      </c>
      <c r="E17" s="88">
        <v>21000</v>
      </c>
      <c r="F17" s="5">
        <f t="shared" si="0"/>
        <v>42000</v>
      </c>
      <c r="G17" s="3">
        <v>0</v>
      </c>
      <c r="H17" s="5">
        <f t="shared" si="1"/>
        <v>42000</v>
      </c>
      <c r="I17" s="2" t="s">
        <v>186</v>
      </c>
      <c r="J17" s="89">
        <v>17200</v>
      </c>
    </row>
    <row r="18" spans="1:10" ht="76.5" x14ac:dyDescent="0.25">
      <c r="A18" s="83">
        <f t="shared" si="2"/>
        <v>11</v>
      </c>
      <c r="B18" s="90" t="s">
        <v>187</v>
      </c>
      <c r="C18" s="91">
        <v>1</v>
      </c>
      <c r="D18" s="13" t="s">
        <v>5</v>
      </c>
      <c r="E18" s="13">
        <v>80709</v>
      </c>
      <c r="F18" s="5">
        <f t="shared" si="0"/>
        <v>80709</v>
      </c>
      <c r="G18" s="3">
        <v>0</v>
      </c>
      <c r="H18" s="5">
        <f t="shared" si="1"/>
        <v>80709</v>
      </c>
      <c r="I18" s="92" t="s">
        <v>188</v>
      </c>
      <c r="J18" s="93" t="s">
        <v>187</v>
      </c>
    </row>
    <row r="19" spans="1:10" ht="96" x14ac:dyDescent="0.25">
      <c r="A19" s="83">
        <f t="shared" si="2"/>
        <v>12</v>
      </c>
      <c r="B19" s="90" t="s">
        <v>189</v>
      </c>
      <c r="C19" s="91">
        <v>2</v>
      </c>
      <c r="D19" s="13" t="s">
        <v>5</v>
      </c>
      <c r="E19" s="94">
        <v>20250</v>
      </c>
      <c r="F19" s="5">
        <f t="shared" si="0"/>
        <v>40500</v>
      </c>
      <c r="G19" s="3">
        <v>0</v>
      </c>
      <c r="H19" s="5">
        <f t="shared" si="1"/>
        <v>40500</v>
      </c>
      <c r="I19" s="13" t="s">
        <v>190</v>
      </c>
    </row>
    <row r="20" spans="1:10" ht="60" x14ac:dyDescent="0.25">
      <c r="A20" s="83">
        <f t="shared" si="2"/>
        <v>13</v>
      </c>
      <c r="B20" s="90" t="s">
        <v>191</v>
      </c>
      <c r="C20" s="91">
        <v>10</v>
      </c>
      <c r="D20" s="13" t="s">
        <v>5</v>
      </c>
      <c r="E20" s="95">
        <v>250</v>
      </c>
      <c r="F20" s="5">
        <f t="shared" si="0"/>
        <v>2500</v>
      </c>
      <c r="G20" s="3">
        <v>0</v>
      </c>
      <c r="H20" s="5">
        <f t="shared" si="1"/>
        <v>2500</v>
      </c>
      <c r="I20" s="13" t="s">
        <v>192</v>
      </c>
    </row>
    <row r="21" spans="1:10" ht="25.5" x14ac:dyDescent="0.25">
      <c r="A21" s="83">
        <f t="shared" si="2"/>
        <v>14</v>
      </c>
      <c r="B21" s="6" t="s">
        <v>193</v>
      </c>
      <c r="C21" s="5">
        <v>1</v>
      </c>
      <c r="D21" s="5" t="s">
        <v>5</v>
      </c>
      <c r="E21" s="5">
        <v>18500</v>
      </c>
      <c r="F21" s="5">
        <f t="shared" si="0"/>
        <v>18500</v>
      </c>
      <c r="G21" s="3">
        <v>0</v>
      </c>
      <c r="H21" s="5">
        <f t="shared" si="1"/>
        <v>18500</v>
      </c>
      <c r="I21" s="3" t="s">
        <v>194</v>
      </c>
    </row>
    <row r="22" spans="1:10" ht="84" x14ac:dyDescent="0.25">
      <c r="A22" s="83">
        <f t="shared" si="2"/>
        <v>15</v>
      </c>
      <c r="B22" s="93" t="s">
        <v>195</v>
      </c>
      <c r="C22" s="91">
        <v>1</v>
      </c>
      <c r="D22" s="95" t="s">
        <v>5</v>
      </c>
      <c r="E22" s="3">
        <v>27022</v>
      </c>
      <c r="F22" s="5">
        <f t="shared" si="0"/>
        <v>27022</v>
      </c>
      <c r="G22" s="3">
        <v>0</v>
      </c>
      <c r="H22" s="5">
        <f t="shared" si="1"/>
        <v>27022</v>
      </c>
      <c r="I22" s="13" t="s">
        <v>196</v>
      </c>
    </row>
    <row r="23" spans="1:10" ht="25.5" x14ac:dyDescent="0.25">
      <c r="A23" s="83">
        <f t="shared" si="2"/>
        <v>16</v>
      </c>
      <c r="B23" s="90" t="s">
        <v>197</v>
      </c>
      <c r="C23" s="96">
        <v>1</v>
      </c>
      <c r="D23" s="95" t="s">
        <v>5</v>
      </c>
      <c r="E23" s="3">
        <v>11776</v>
      </c>
      <c r="F23" s="5">
        <f t="shared" si="0"/>
        <v>11776</v>
      </c>
      <c r="G23" s="3">
        <v>0</v>
      </c>
      <c r="H23" s="5">
        <f t="shared" si="1"/>
        <v>11776</v>
      </c>
      <c r="I23" s="3" t="s">
        <v>198</v>
      </c>
    </row>
    <row r="24" spans="1:10" ht="25.5" x14ac:dyDescent="0.25">
      <c r="A24" s="83">
        <f t="shared" si="2"/>
        <v>17</v>
      </c>
      <c r="B24" s="90" t="s">
        <v>199</v>
      </c>
      <c r="C24" s="91">
        <v>1</v>
      </c>
      <c r="D24" s="95" t="s">
        <v>5</v>
      </c>
      <c r="E24" s="3">
        <v>1770</v>
      </c>
      <c r="F24" s="5">
        <f t="shared" si="0"/>
        <v>1770</v>
      </c>
      <c r="G24" s="3">
        <v>0</v>
      </c>
      <c r="H24" s="5">
        <f t="shared" si="1"/>
        <v>1770</v>
      </c>
      <c r="I24" s="3" t="s">
        <v>200</v>
      </c>
    </row>
    <row r="25" spans="1:10" ht="84" x14ac:dyDescent="0.25">
      <c r="A25" s="83">
        <f t="shared" si="2"/>
        <v>18</v>
      </c>
      <c r="B25" s="6" t="s">
        <v>201</v>
      </c>
      <c r="C25" s="13">
        <v>30</v>
      </c>
      <c r="D25" s="13" t="s">
        <v>45</v>
      </c>
      <c r="E25" s="97">
        <v>380</v>
      </c>
      <c r="F25" s="5">
        <f t="shared" si="0"/>
        <v>11400</v>
      </c>
      <c r="G25" s="3">
        <v>0</v>
      </c>
      <c r="H25" s="5">
        <f t="shared" si="1"/>
        <v>11400</v>
      </c>
      <c r="I25" s="13" t="s">
        <v>202</v>
      </c>
    </row>
    <row r="26" spans="1:10" ht="48" x14ac:dyDescent="0.25">
      <c r="A26" s="83">
        <f t="shared" si="2"/>
        <v>19</v>
      </c>
      <c r="B26" s="6" t="s">
        <v>203</v>
      </c>
      <c r="C26" s="13">
        <v>30</v>
      </c>
      <c r="D26" s="13" t="s">
        <v>64</v>
      </c>
      <c r="E26" s="97">
        <v>85</v>
      </c>
      <c r="F26" s="5">
        <f t="shared" si="0"/>
        <v>2550</v>
      </c>
      <c r="G26" s="3">
        <v>0</v>
      </c>
      <c r="H26" s="5">
        <f t="shared" si="1"/>
        <v>2550</v>
      </c>
      <c r="I26" s="3" t="s">
        <v>204</v>
      </c>
    </row>
    <row r="27" spans="1:10" ht="72" x14ac:dyDescent="0.25">
      <c r="A27" s="83">
        <f t="shared" si="2"/>
        <v>20</v>
      </c>
      <c r="B27" s="6" t="s">
        <v>58</v>
      </c>
      <c r="C27" s="13">
        <v>3</v>
      </c>
      <c r="D27" s="13" t="s">
        <v>2</v>
      </c>
      <c r="E27" s="97">
        <v>300</v>
      </c>
      <c r="F27" s="5">
        <f t="shared" si="0"/>
        <v>900</v>
      </c>
      <c r="G27" s="3">
        <v>0</v>
      </c>
      <c r="H27" s="5">
        <f t="shared" si="1"/>
        <v>900</v>
      </c>
      <c r="I27" s="3" t="s">
        <v>205</v>
      </c>
    </row>
    <row r="28" spans="1:10" ht="76.5" x14ac:dyDescent="0.25">
      <c r="A28" s="83">
        <f t="shared" si="2"/>
        <v>21</v>
      </c>
      <c r="B28" s="98" t="s">
        <v>206</v>
      </c>
      <c r="C28" s="3">
        <v>30</v>
      </c>
      <c r="D28" s="3" t="s">
        <v>45</v>
      </c>
      <c r="E28" s="3">
        <v>250</v>
      </c>
      <c r="F28" s="5">
        <f t="shared" si="0"/>
        <v>7500</v>
      </c>
      <c r="G28" s="3">
        <v>0</v>
      </c>
      <c r="H28" s="5">
        <f t="shared" si="1"/>
        <v>7500</v>
      </c>
      <c r="I28" s="3" t="s">
        <v>207</v>
      </c>
    </row>
    <row r="29" spans="1:10" ht="63.75" x14ac:dyDescent="0.25">
      <c r="A29" s="83">
        <f t="shared" si="2"/>
        <v>22</v>
      </c>
      <c r="B29" s="90" t="s">
        <v>208</v>
      </c>
      <c r="C29" s="91">
        <v>100</v>
      </c>
      <c r="D29" s="13" t="s">
        <v>4</v>
      </c>
      <c r="E29" s="95">
        <v>100</v>
      </c>
      <c r="F29" s="5">
        <f t="shared" si="0"/>
        <v>10000</v>
      </c>
      <c r="G29" s="3">
        <v>0</v>
      </c>
      <c r="H29" s="5">
        <f t="shared" si="1"/>
        <v>10000</v>
      </c>
      <c r="I29" s="92" t="s">
        <v>209</v>
      </c>
    </row>
    <row r="30" spans="1:10" ht="36" x14ac:dyDescent="0.25">
      <c r="A30" s="83">
        <f t="shared" si="2"/>
        <v>23</v>
      </c>
      <c r="B30" s="90" t="s">
        <v>210</v>
      </c>
      <c r="C30" s="91">
        <v>1</v>
      </c>
      <c r="D30" s="13" t="s">
        <v>211</v>
      </c>
      <c r="E30" s="95">
        <v>29500</v>
      </c>
      <c r="F30" s="5">
        <f t="shared" si="0"/>
        <v>29500</v>
      </c>
      <c r="G30" s="3">
        <v>0</v>
      </c>
      <c r="H30" s="5">
        <f t="shared" si="1"/>
        <v>29500</v>
      </c>
      <c r="I30" s="92" t="s">
        <v>212</v>
      </c>
    </row>
    <row r="31" spans="1:10" ht="25.5" x14ac:dyDescent="0.25">
      <c r="A31" s="83">
        <f t="shared" si="2"/>
        <v>24</v>
      </c>
      <c r="B31" s="90" t="s">
        <v>213</v>
      </c>
      <c r="C31" s="91">
        <v>1</v>
      </c>
      <c r="D31" s="13" t="s">
        <v>2</v>
      </c>
      <c r="E31" s="95">
        <v>43223</v>
      </c>
      <c r="F31" s="5">
        <f t="shared" si="0"/>
        <v>43223</v>
      </c>
      <c r="G31" s="3">
        <v>0</v>
      </c>
      <c r="H31" s="5">
        <f t="shared" si="1"/>
        <v>43223</v>
      </c>
      <c r="I31" s="92" t="s">
        <v>214</v>
      </c>
    </row>
    <row r="32" spans="1:10" ht="25.5" x14ac:dyDescent="0.25">
      <c r="A32" s="83">
        <f t="shared" si="2"/>
        <v>25</v>
      </c>
      <c r="B32" s="90" t="s">
        <v>215</v>
      </c>
      <c r="C32" s="91">
        <v>1</v>
      </c>
      <c r="D32" s="13" t="s">
        <v>2</v>
      </c>
      <c r="E32" s="95">
        <v>9853</v>
      </c>
      <c r="F32" s="5">
        <f t="shared" si="0"/>
        <v>9853</v>
      </c>
      <c r="G32" s="3">
        <v>0</v>
      </c>
      <c r="H32" s="5">
        <f t="shared" si="1"/>
        <v>9853</v>
      </c>
      <c r="I32" s="92" t="s">
        <v>216</v>
      </c>
    </row>
    <row r="33" spans="1:254" ht="84" x14ac:dyDescent="0.25">
      <c r="A33" s="83">
        <f t="shared" si="2"/>
        <v>26</v>
      </c>
      <c r="B33" s="6" t="s">
        <v>217</v>
      </c>
      <c r="C33" s="13">
        <v>400</v>
      </c>
      <c r="D33" s="13" t="s">
        <v>45</v>
      </c>
      <c r="E33" s="13">
        <v>41.3</v>
      </c>
      <c r="F33" s="5">
        <f t="shared" si="0"/>
        <v>16520</v>
      </c>
      <c r="G33" s="3">
        <v>0</v>
      </c>
      <c r="H33" s="5">
        <f t="shared" si="1"/>
        <v>16520</v>
      </c>
      <c r="I33" s="7" t="s">
        <v>218</v>
      </c>
    </row>
    <row r="34" spans="1:254" ht="84" x14ac:dyDescent="0.25">
      <c r="A34" s="83">
        <f t="shared" si="2"/>
        <v>27</v>
      </c>
      <c r="B34" s="2" t="s">
        <v>219</v>
      </c>
      <c r="C34" s="3">
        <v>1</v>
      </c>
      <c r="D34" s="3" t="s">
        <v>2</v>
      </c>
      <c r="E34" s="11">
        <v>38350</v>
      </c>
      <c r="F34" s="5">
        <f t="shared" si="0"/>
        <v>38350</v>
      </c>
      <c r="G34" s="3">
        <v>0</v>
      </c>
      <c r="H34" s="5">
        <f t="shared" si="1"/>
        <v>38350</v>
      </c>
      <c r="I34" s="13" t="s">
        <v>220</v>
      </c>
    </row>
    <row r="35" spans="1:254" ht="84" x14ac:dyDescent="0.25">
      <c r="A35" s="83">
        <f t="shared" si="2"/>
        <v>28</v>
      </c>
      <c r="B35" s="2" t="s">
        <v>221</v>
      </c>
      <c r="C35" s="3">
        <v>2</v>
      </c>
      <c r="D35" s="3" t="s">
        <v>2</v>
      </c>
      <c r="E35" s="3">
        <v>2500</v>
      </c>
      <c r="F35" s="5">
        <f t="shared" si="0"/>
        <v>5000</v>
      </c>
      <c r="G35" s="3">
        <v>0</v>
      </c>
      <c r="H35" s="5">
        <f t="shared" si="1"/>
        <v>5000</v>
      </c>
      <c r="I35" s="13" t="s">
        <v>222</v>
      </c>
    </row>
    <row r="36" spans="1:254" x14ac:dyDescent="0.25">
      <c r="A36" s="83"/>
    </row>
    <row r="37" spans="1:254" s="8" customFormat="1" ht="12" x14ac:dyDescent="0.2">
      <c r="A37" s="13" t="s">
        <v>28</v>
      </c>
      <c r="B37" s="79" t="s">
        <v>223</v>
      </c>
      <c r="C37" s="11"/>
      <c r="D37" s="12"/>
      <c r="E37" s="13"/>
      <c r="F37" s="99">
        <f>SUM(F8:F36)</f>
        <v>539758</v>
      </c>
      <c r="G37" s="99">
        <f>SUM(G8:G36)</f>
        <v>0</v>
      </c>
      <c r="H37" s="99">
        <f>SUM(H8:H36)</f>
        <v>539758</v>
      </c>
      <c r="I37" s="13"/>
      <c r="J37" s="14"/>
      <c r="K37" s="14">
        <v>19324373.9172769</v>
      </c>
      <c r="L37" s="100">
        <f>K37-H37</f>
        <v>18784615.9172769</v>
      </c>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c r="IG37" s="14"/>
      <c r="IH37" s="14"/>
      <c r="II37" s="14"/>
      <c r="IJ37" s="14"/>
      <c r="IK37" s="14"/>
      <c r="IL37" s="14"/>
      <c r="IM37" s="14"/>
      <c r="IN37" s="14"/>
      <c r="IO37" s="14"/>
      <c r="IP37" s="14"/>
      <c r="IQ37" s="14"/>
      <c r="IR37" s="14"/>
      <c r="IS37" s="14"/>
      <c r="IT37" s="14"/>
    </row>
    <row r="38" spans="1:254" s="8" customFormat="1" ht="12" x14ac:dyDescent="0.2">
      <c r="A38" s="23" t="s">
        <v>30</v>
      </c>
      <c r="B38" s="29" t="s">
        <v>31</v>
      </c>
      <c r="C38" s="20"/>
      <c r="D38" s="20"/>
      <c r="E38" s="20"/>
      <c r="F38" s="39">
        <f>H37*1%</f>
        <v>5397.58</v>
      </c>
      <c r="G38" s="39">
        <v>0</v>
      </c>
      <c r="H38" s="39">
        <f t="shared" ref="H38" si="3">SUM(F38:G38)</f>
        <v>5397.58</v>
      </c>
      <c r="I38" s="40"/>
    </row>
    <row r="39" spans="1:254" s="8" customFormat="1" ht="12" x14ac:dyDescent="0.2">
      <c r="A39" s="23"/>
      <c r="B39" s="38"/>
      <c r="C39" s="20"/>
      <c r="D39" s="20"/>
      <c r="E39" s="20"/>
      <c r="F39" s="39"/>
      <c r="G39" s="39"/>
      <c r="H39" s="39"/>
      <c r="I39" s="40"/>
    </row>
    <row r="40" spans="1:254" s="8" customFormat="1" ht="12" x14ac:dyDescent="0.2">
      <c r="A40" s="23"/>
      <c r="B40" s="42" t="s">
        <v>224</v>
      </c>
      <c r="C40" s="20"/>
      <c r="D40" s="20"/>
      <c r="E40" s="20"/>
      <c r="F40" s="58">
        <f>SUM(F37:F38)</f>
        <v>545155.57999999996</v>
      </c>
      <c r="G40" s="58">
        <f t="shared" ref="G40:H40" si="4">SUM(G37:G38)</f>
        <v>0</v>
      </c>
      <c r="H40" s="58">
        <f t="shared" si="4"/>
        <v>545155.57999999996</v>
      </c>
      <c r="I40" s="40"/>
    </row>
    <row r="41" spans="1:254" s="8" customFormat="1" ht="12" x14ac:dyDescent="0.2">
      <c r="A41" s="32"/>
      <c r="B41" s="48"/>
      <c r="C41" s="32"/>
      <c r="D41" s="32"/>
      <c r="E41" s="35"/>
      <c r="F41" s="35"/>
      <c r="G41" s="35"/>
      <c r="H41" s="35"/>
      <c r="I41" s="35"/>
    </row>
    <row r="42" spans="1:254" s="8" customFormat="1" ht="12" x14ac:dyDescent="0.2">
      <c r="A42" s="13"/>
      <c r="B42" s="9"/>
      <c r="C42" s="11"/>
      <c r="D42" s="12"/>
      <c r="E42" s="13"/>
      <c r="F42" s="78"/>
      <c r="G42" s="78"/>
      <c r="H42" s="101"/>
      <c r="I42" s="13"/>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c r="IB42" s="14"/>
      <c r="IC42" s="14"/>
      <c r="ID42" s="14"/>
      <c r="IE42" s="14"/>
      <c r="IF42" s="14"/>
      <c r="IG42" s="14"/>
      <c r="IH42" s="14"/>
      <c r="II42" s="14"/>
      <c r="IJ42" s="14"/>
      <c r="IK42" s="14"/>
      <c r="IL42" s="14"/>
      <c r="IM42" s="14"/>
      <c r="IN42" s="14"/>
      <c r="IO42" s="14"/>
      <c r="IP42" s="14"/>
      <c r="IQ42" s="14"/>
      <c r="IR42" s="14"/>
      <c r="IS42" s="14"/>
      <c r="IT42" s="14"/>
    </row>
    <row r="43" spans="1:254" s="8" customFormat="1" ht="12" x14ac:dyDescent="0.2">
      <c r="A43" s="13"/>
      <c r="B43" s="9"/>
      <c r="C43" s="11"/>
      <c r="D43" s="12"/>
      <c r="E43" s="13"/>
      <c r="F43" s="78"/>
      <c r="G43" s="78"/>
      <c r="H43" s="10"/>
      <c r="I43" s="13"/>
      <c r="J43" s="102"/>
      <c r="K43" s="14"/>
      <c r="L43" s="103"/>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c r="IG43" s="14"/>
      <c r="IH43" s="14"/>
      <c r="II43" s="14"/>
      <c r="IJ43" s="14"/>
      <c r="IK43" s="14"/>
      <c r="IL43" s="14"/>
      <c r="IM43" s="14"/>
      <c r="IN43" s="14"/>
      <c r="IO43" s="14"/>
      <c r="IP43" s="14"/>
      <c r="IQ43" s="14"/>
      <c r="IR43" s="14"/>
      <c r="IS43" s="14"/>
      <c r="IT43" s="14"/>
    </row>
    <row r="44" spans="1:254" s="8" customFormat="1" ht="12" x14ac:dyDescent="0.2">
      <c r="A44" s="13"/>
      <c r="B44" s="15"/>
      <c r="C44" s="13"/>
      <c r="D44" s="13"/>
      <c r="E44" s="13"/>
      <c r="F44" s="10"/>
      <c r="G44" s="10"/>
      <c r="H44" s="10"/>
      <c r="I44" s="13"/>
      <c r="J44" s="16"/>
    </row>
    <row r="45" spans="1:254" s="8" customFormat="1" ht="12" x14ac:dyDescent="0.2">
      <c r="A45" s="17"/>
      <c r="B45" s="18" t="s">
        <v>225</v>
      </c>
      <c r="C45" s="12"/>
      <c r="D45" s="17"/>
      <c r="E45" s="17"/>
      <c r="F45" s="101"/>
      <c r="G45" s="101"/>
      <c r="H45" s="101"/>
      <c r="I45" s="12"/>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row>
    <row r="47" spans="1:254" x14ac:dyDescent="0.25">
      <c r="H47" s="104">
        <f>'[1]PCOM &amp; PCSO chamber -1'!H40-'[1]PCOM &amp; PCSO chamber -1F'!H41</f>
        <v>116586</v>
      </c>
    </row>
    <row r="54" spans="1:12" ht="25.5" x14ac:dyDescent="0.25">
      <c r="B54" s="105" t="s">
        <v>226</v>
      </c>
      <c r="C54" s="1">
        <v>2</v>
      </c>
      <c r="E54" s="1">
        <v>7500</v>
      </c>
    </row>
    <row r="59" spans="1:12" s="108" customFormat="1" ht="120" x14ac:dyDescent="0.2">
      <c r="A59" s="3">
        <f>A35+1</f>
        <v>29</v>
      </c>
      <c r="B59" s="2" t="s">
        <v>227</v>
      </c>
      <c r="C59" s="84">
        <v>1</v>
      </c>
      <c r="D59" s="3" t="s">
        <v>5</v>
      </c>
      <c r="E59" s="106">
        <v>39325.769999999997</v>
      </c>
      <c r="F59" s="13">
        <f>E59*C59</f>
        <v>39325.769999999997</v>
      </c>
      <c r="G59" s="107"/>
      <c r="H59" s="13">
        <f ca="1">SUM(F59:I59)</f>
        <v>39325.769999999997</v>
      </c>
      <c r="I59" s="6" t="s">
        <v>228</v>
      </c>
    </row>
    <row r="60" spans="1:12" s="8" customFormat="1" ht="24" x14ac:dyDescent="0.2">
      <c r="A60" s="3">
        <f>A59+1</f>
        <v>30</v>
      </c>
      <c r="B60" s="6" t="s">
        <v>229</v>
      </c>
      <c r="C60" s="13">
        <v>1</v>
      </c>
      <c r="D60" s="13" t="s">
        <v>5</v>
      </c>
      <c r="E60" s="106">
        <v>7080</v>
      </c>
      <c r="F60" s="109">
        <f t="shared" ref="F60" si="5">C60*E60</f>
        <v>7080</v>
      </c>
      <c r="G60" s="110"/>
      <c r="H60" s="97">
        <f ca="1">SUM(F60:I60)</f>
        <v>7080</v>
      </c>
      <c r="I60" s="13" t="s">
        <v>230</v>
      </c>
      <c r="L60" s="13" t="s">
        <v>231</v>
      </c>
    </row>
  </sheetData>
  <mergeCells count="12">
    <mergeCell ref="H6:H7"/>
    <mergeCell ref="I6:I7"/>
    <mergeCell ref="A1:B1"/>
    <mergeCell ref="A2:B2"/>
    <mergeCell ref="A4:I4"/>
    <mergeCell ref="A5:I5"/>
    <mergeCell ref="A6:A7"/>
    <mergeCell ref="B6:B7"/>
    <mergeCell ref="C6:C7"/>
    <mergeCell ref="D6:D7"/>
    <mergeCell ref="E6:E7"/>
    <mergeCell ref="F6: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IR91"/>
  <sheetViews>
    <sheetView view="pageBreakPreview" topLeftCell="A40" zoomScale="110" zoomScaleSheetLayoutView="110" workbookViewId="0">
      <selection activeCell="F70" sqref="F70:G70"/>
    </sheetView>
  </sheetViews>
  <sheetFormatPr defaultRowHeight="12" x14ac:dyDescent="0.25"/>
  <cols>
    <col min="1" max="1" width="5.28515625" style="23" customWidth="1"/>
    <col min="2" max="2" width="19.42578125" style="27" customWidth="1"/>
    <col min="3" max="3" width="5.140625" style="23" bestFit="1" customWidth="1"/>
    <col min="4" max="4" width="6.7109375" style="23" customWidth="1"/>
    <col min="5" max="5" width="5.140625" style="23" customWidth="1"/>
    <col min="6" max="6" width="6.85546875" style="23" bestFit="1" customWidth="1"/>
    <col min="7" max="7" width="10.7109375" style="23" bestFit="1" customWidth="1"/>
    <col min="8" max="8" width="11.28515625" style="23" customWidth="1"/>
    <col min="9" max="9" width="12.140625" style="23" customWidth="1"/>
    <col min="10" max="10" width="12.42578125" style="23" customWidth="1"/>
    <col min="11" max="11" width="13.140625" style="29" customWidth="1"/>
    <col min="12" max="12" width="10.7109375" style="23" bestFit="1" customWidth="1"/>
    <col min="13" max="13" width="9.28515625" style="29" bestFit="1" customWidth="1"/>
    <col min="14" max="16384" width="9.140625" style="29"/>
  </cols>
  <sheetData>
    <row r="1" spans="1:13" ht="12" customHeight="1" x14ac:dyDescent="0.25">
      <c r="A1" s="428" t="s">
        <v>155</v>
      </c>
      <c r="B1" s="428"/>
      <c r="C1" s="428"/>
      <c r="D1" s="428"/>
      <c r="E1" s="428"/>
      <c r="F1" s="428"/>
      <c r="G1" s="428"/>
      <c r="H1" s="428"/>
      <c r="I1" s="428"/>
      <c r="J1" s="69"/>
      <c r="K1" s="62"/>
      <c r="L1" s="29"/>
    </row>
    <row r="2" spans="1:13" x14ac:dyDescent="0.25">
      <c r="A2" s="46"/>
      <c r="B2" s="46"/>
      <c r="C2" s="46"/>
      <c r="D2" s="46"/>
      <c r="E2" s="46"/>
      <c r="F2" s="46"/>
      <c r="G2" s="46"/>
      <c r="H2" s="46"/>
      <c r="I2" s="46"/>
      <c r="J2" s="46"/>
      <c r="K2" s="62"/>
      <c r="L2" s="29"/>
    </row>
    <row r="3" spans="1:13" ht="33.75" customHeight="1" x14ac:dyDescent="0.25">
      <c r="A3" s="430" t="s">
        <v>109</v>
      </c>
      <c r="B3" s="430"/>
      <c r="C3" s="430"/>
      <c r="D3" s="430"/>
      <c r="E3" s="430"/>
      <c r="F3" s="430"/>
      <c r="G3" s="430"/>
      <c r="H3" s="430"/>
      <c r="I3" s="430"/>
      <c r="J3" s="20"/>
      <c r="K3" s="38"/>
      <c r="L3" s="29"/>
    </row>
    <row r="4" spans="1:13" x14ac:dyDescent="0.25">
      <c r="A4" s="429" t="s">
        <v>19</v>
      </c>
      <c r="B4" s="431" t="s">
        <v>20</v>
      </c>
      <c r="C4" s="429" t="s">
        <v>21</v>
      </c>
      <c r="D4" s="429"/>
      <c r="E4" s="429"/>
      <c r="F4" s="429" t="s">
        <v>0</v>
      </c>
      <c r="G4" s="429" t="s">
        <v>22</v>
      </c>
      <c r="H4" s="429" t="s">
        <v>23</v>
      </c>
      <c r="I4" s="429" t="s">
        <v>156</v>
      </c>
      <c r="J4" s="429" t="s">
        <v>24</v>
      </c>
      <c r="K4" s="46"/>
      <c r="L4" s="429"/>
    </row>
    <row r="5" spans="1:13" ht="24" x14ac:dyDescent="0.25">
      <c r="A5" s="429"/>
      <c r="B5" s="431"/>
      <c r="C5" s="62" t="s">
        <v>157</v>
      </c>
      <c r="D5" s="46" t="s">
        <v>158</v>
      </c>
      <c r="E5" s="46" t="s">
        <v>370</v>
      </c>
      <c r="F5" s="429"/>
      <c r="G5" s="429"/>
      <c r="H5" s="429"/>
      <c r="I5" s="429"/>
      <c r="J5" s="429"/>
      <c r="K5" s="46"/>
      <c r="L5" s="429"/>
    </row>
    <row r="6" spans="1:13" ht="48" x14ac:dyDescent="0.25">
      <c r="A6" s="23">
        <v>1</v>
      </c>
      <c r="B6" s="19" t="s">
        <v>39</v>
      </c>
      <c r="C6" s="23">
        <v>1</v>
      </c>
      <c r="E6" s="20">
        <f>C6+D6</f>
        <v>1</v>
      </c>
      <c r="F6" s="23" t="s">
        <v>1</v>
      </c>
      <c r="G6" s="23">
        <v>159987</v>
      </c>
      <c r="H6" s="23">
        <f>G6*E6</f>
        <v>159987</v>
      </c>
      <c r="J6" s="20" t="s">
        <v>100</v>
      </c>
    </row>
    <row r="7" spans="1:13" ht="36" x14ac:dyDescent="0.25">
      <c r="A7" s="23">
        <v>2</v>
      </c>
      <c r="B7" s="19" t="s">
        <v>129</v>
      </c>
      <c r="C7" s="23">
        <v>7</v>
      </c>
      <c r="E7" s="20">
        <f t="shared" ref="E7:E68" si="0">C7+D7</f>
        <v>7</v>
      </c>
      <c r="F7" s="23" t="s">
        <v>1</v>
      </c>
      <c r="G7" s="23">
        <v>7200</v>
      </c>
      <c r="H7" s="23">
        <f t="shared" ref="H7:H70" si="1">G7*E7</f>
        <v>50400</v>
      </c>
      <c r="J7" s="23" t="s">
        <v>88</v>
      </c>
    </row>
    <row r="8" spans="1:13" ht="72" x14ac:dyDescent="0.25">
      <c r="A8" s="23">
        <v>3</v>
      </c>
      <c r="B8" s="19" t="s">
        <v>130</v>
      </c>
      <c r="C8" s="23">
        <v>6</v>
      </c>
      <c r="E8" s="20">
        <f t="shared" si="0"/>
        <v>6</v>
      </c>
      <c r="F8" s="23" t="s">
        <v>1</v>
      </c>
      <c r="G8" s="23">
        <v>69390</v>
      </c>
      <c r="H8" s="23">
        <f t="shared" si="1"/>
        <v>416340</v>
      </c>
      <c r="J8" s="20" t="s">
        <v>89</v>
      </c>
    </row>
    <row r="9" spans="1:13" ht="60" x14ac:dyDescent="0.25">
      <c r="A9" s="23">
        <v>4</v>
      </c>
      <c r="B9" s="19" t="s">
        <v>111</v>
      </c>
      <c r="C9" s="23">
        <v>3</v>
      </c>
      <c r="E9" s="20">
        <f t="shared" si="0"/>
        <v>3</v>
      </c>
      <c r="F9" s="23" t="s">
        <v>1</v>
      </c>
      <c r="G9" s="23">
        <v>83200</v>
      </c>
      <c r="H9" s="23">
        <f t="shared" si="1"/>
        <v>249600</v>
      </c>
      <c r="J9" s="20" t="s">
        <v>47</v>
      </c>
      <c r="K9" s="38"/>
    </row>
    <row r="10" spans="1:13" s="73" customFormat="1" ht="36" x14ac:dyDescent="0.25">
      <c r="A10" s="70">
        <v>5</v>
      </c>
      <c r="B10" s="71" t="s">
        <v>110</v>
      </c>
      <c r="C10" s="70">
        <f>25*305</f>
        <v>7625</v>
      </c>
      <c r="D10" s="70">
        <f>4*305</f>
        <v>1220</v>
      </c>
      <c r="E10" s="72">
        <f t="shared" si="0"/>
        <v>8845</v>
      </c>
      <c r="F10" s="70" t="s">
        <v>41</v>
      </c>
      <c r="G10" s="70">
        <v>23.21</v>
      </c>
      <c r="H10" s="23">
        <f t="shared" si="1"/>
        <v>205292.45</v>
      </c>
      <c r="I10" s="70"/>
      <c r="J10" s="72" t="s">
        <v>40</v>
      </c>
      <c r="K10" s="73">
        <f>7080/305</f>
        <v>23.21311475409836</v>
      </c>
      <c r="L10" s="70">
        <f>(37-23.21)*7625</f>
        <v>105148.75</v>
      </c>
    </row>
    <row r="11" spans="1:13" ht="84" x14ac:dyDescent="0.25">
      <c r="A11" s="23">
        <v>6</v>
      </c>
      <c r="B11" s="19" t="s">
        <v>42</v>
      </c>
      <c r="C11" s="23">
        <v>1</v>
      </c>
      <c r="E11" s="20">
        <f t="shared" si="0"/>
        <v>1</v>
      </c>
      <c r="F11" s="23" t="s">
        <v>1</v>
      </c>
      <c r="G11" s="23">
        <v>18000</v>
      </c>
      <c r="H11" s="23">
        <f t="shared" si="1"/>
        <v>18000</v>
      </c>
      <c r="J11" s="20" t="s">
        <v>43</v>
      </c>
    </row>
    <row r="12" spans="1:13" s="75" customFormat="1" ht="36" x14ac:dyDescent="0.25">
      <c r="A12" s="70">
        <v>7</v>
      </c>
      <c r="B12" s="71" t="s">
        <v>44</v>
      </c>
      <c r="C12" s="72">
        <v>600</v>
      </c>
      <c r="D12" s="72">
        <v>400</v>
      </c>
      <c r="E12" s="72">
        <f t="shared" si="0"/>
        <v>1000</v>
      </c>
      <c r="F12" s="72" t="s">
        <v>45</v>
      </c>
      <c r="G12" s="124">
        <v>41.3</v>
      </c>
      <c r="H12" s="23">
        <f t="shared" si="1"/>
        <v>41300</v>
      </c>
      <c r="I12" s="70"/>
      <c r="J12" s="72" t="s">
        <v>46</v>
      </c>
      <c r="K12" s="72"/>
      <c r="L12" s="72"/>
      <c r="M12" s="72"/>
    </row>
    <row r="13" spans="1:13" s="27" customFormat="1" ht="48" x14ac:dyDescent="0.2">
      <c r="A13" s="23">
        <v>8</v>
      </c>
      <c r="B13" s="19" t="s">
        <v>91</v>
      </c>
      <c r="C13" s="20">
        <v>4</v>
      </c>
      <c r="D13" s="20"/>
      <c r="E13" s="20">
        <f t="shared" si="0"/>
        <v>4</v>
      </c>
      <c r="F13" s="20" t="s">
        <v>1</v>
      </c>
      <c r="G13" s="21">
        <v>9266</v>
      </c>
      <c r="H13" s="23">
        <f t="shared" si="1"/>
        <v>37064</v>
      </c>
      <c r="I13" s="23"/>
      <c r="J13" s="20" t="s">
        <v>92</v>
      </c>
      <c r="L13" s="67"/>
      <c r="M13" s="20"/>
    </row>
    <row r="14" spans="1:13" ht="72" x14ac:dyDescent="0.25">
      <c r="A14" s="23">
        <v>9</v>
      </c>
      <c r="B14" s="19" t="s">
        <v>3</v>
      </c>
      <c r="C14" s="20">
        <v>2</v>
      </c>
      <c r="D14" s="20"/>
      <c r="E14" s="20">
        <f t="shared" si="0"/>
        <v>2</v>
      </c>
      <c r="F14" s="23" t="s">
        <v>1</v>
      </c>
      <c r="G14" s="20">
        <v>32300</v>
      </c>
      <c r="H14" s="23">
        <f t="shared" si="1"/>
        <v>64600</v>
      </c>
      <c r="J14" s="20" t="s">
        <v>56</v>
      </c>
      <c r="L14" s="20"/>
    </row>
    <row r="15" spans="1:13" s="27" customFormat="1" ht="96" x14ac:dyDescent="0.25">
      <c r="A15" s="23">
        <v>10</v>
      </c>
      <c r="B15" s="19" t="s">
        <v>49</v>
      </c>
      <c r="C15" s="23">
        <v>3</v>
      </c>
      <c r="D15" s="23"/>
      <c r="E15" s="20">
        <f t="shared" si="0"/>
        <v>3</v>
      </c>
      <c r="F15" s="20" t="s">
        <v>1</v>
      </c>
      <c r="G15" s="22">
        <v>27022</v>
      </c>
      <c r="H15" s="23">
        <f t="shared" si="1"/>
        <v>81066</v>
      </c>
      <c r="I15" s="23"/>
      <c r="J15" s="24" t="s">
        <v>50</v>
      </c>
      <c r="K15" s="19"/>
      <c r="L15" s="23"/>
      <c r="M15" s="20"/>
    </row>
    <row r="16" spans="1:13" s="120" customFormat="1" ht="48" x14ac:dyDescent="0.25">
      <c r="A16" s="70">
        <v>11</v>
      </c>
      <c r="B16" s="71" t="s">
        <v>52</v>
      </c>
      <c r="C16" s="70">
        <v>3</v>
      </c>
      <c r="D16" s="70">
        <v>1</v>
      </c>
      <c r="E16" s="72">
        <f t="shared" si="0"/>
        <v>4</v>
      </c>
      <c r="F16" s="72" t="s">
        <v>1</v>
      </c>
      <c r="G16" s="74">
        <v>11776</v>
      </c>
      <c r="H16" s="23">
        <f t="shared" si="1"/>
        <v>47104</v>
      </c>
      <c r="I16" s="70"/>
      <c r="J16" s="72" t="s">
        <v>53</v>
      </c>
      <c r="L16" s="121"/>
      <c r="M16" s="72"/>
    </row>
    <row r="17" spans="1:13" s="120" customFormat="1" ht="60" x14ac:dyDescent="0.25">
      <c r="A17" s="70">
        <v>12</v>
      </c>
      <c r="B17" s="71" t="s">
        <v>54</v>
      </c>
      <c r="C17" s="70">
        <v>3</v>
      </c>
      <c r="D17" s="70">
        <v>1</v>
      </c>
      <c r="E17" s="72">
        <f t="shared" si="0"/>
        <v>4</v>
      </c>
      <c r="F17" s="72" t="s">
        <v>1</v>
      </c>
      <c r="G17" s="74">
        <v>1770</v>
      </c>
      <c r="H17" s="23">
        <f t="shared" si="1"/>
        <v>7080</v>
      </c>
      <c r="I17" s="70"/>
      <c r="J17" s="72" t="s">
        <v>55</v>
      </c>
      <c r="L17" s="121"/>
      <c r="M17" s="72"/>
    </row>
    <row r="18" spans="1:13" s="25" customFormat="1" ht="72" x14ac:dyDescent="0.25">
      <c r="A18" s="23">
        <v>13</v>
      </c>
      <c r="B18" s="19" t="s">
        <v>94</v>
      </c>
      <c r="C18" s="23">
        <v>2</v>
      </c>
      <c r="D18" s="23"/>
      <c r="E18" s="20">
        <f t="shared" si="0"/>
        <v>2</v>
      </c>
      <c r="F18" s="23" t="s">
        <v>5</v>
      </c>
      <c r="G18" s="22">
        <v>26485</v>
      </c>
      <c r="H18" s="23">
        <f t="shared" si="1"/>
        <v>52970</v>
      </c>
      <c r="I18" s="23"/>
      <c r="J18" s="20" t="s">
        <v>93</v>
      </c>
      <c r="K18" s="23"/>
      <c r="L18" s="23"/>
      <c r="M18" s="23"/>
    </row>
    <row r="19" spans="1:13" ht="60" x14ac:dyDescent="0.25">
      <c r="A19" s="23">
        <v>14</v>
      </c>
      <c r="B19" s="19" t="s">
        <v>107</v>
      </c>
      <c r="C19" s="23">
        <v>1</v>
      </c>
      <c r="E19" s="20">
        <f t="shared" si="0"/>
        <v>1</v>
      </c>
      <c r="F19" s="23" t="s">
        <v>1</v>
      </c>
      <c r="G19" s="23">
        <v>168000</v>
      </c>
      <c r="H19" s="23">
        <f t="shared" si="1"/>
        <v>168000</v>
      </c>
      <c r="J19" s="23" t="s">
        <v>88</v>
      </c>
    </row>
    <row r="20" spans="1:13" ht="96" x14ac:dyDescent="0.25">
      <c r="A20" s="23">
        <v>15</v>
      </c>
      <c r="B20" s="19" t="s">
        <v>86</v>
      </c>
      <c r="C20" s="20">
        <v>15</v>
      </c>
      <c r="D20" s="20"/>
      <c r="E20" s="20">
        <f t="shared" si="0"/>
        <v>15</v>
      </c>
      <c r="F20" s="23" t="s">
        <v>5</v>
      </c>
      <c r="G20" s="22">
        <v>20874.2</v>
      </c>
      <c r="H20" s="23">
        <f t="shared" si="1"/>
        <v>313113</v>
      </c>
      <c r="J20" s="24" t="s">
        <v>87</v>
      </c>
      <c r="L20" s="29"/>
      <c r="M20" s="23"/>
    </row>
    <row r="21" spans="1:13" ht="60" x14ac:dyDescent="0.25">
      <c r="A21" s="23">
        <v>16</v>
      </c>
      <c r="B21" s="19" t="s">
        <v>7</v>
      </c>
      <c r="C21" s="23">
        <v>1</v>
      </c>
      <c r="E21" s="20">
        <f t="shared" si="0"/>
        <v>1</v>
      </c>
      <c r="F21" s="23" t="s">
        <v>1</v>
      </c>
      <c r="G21" s="23">
        <v>72000</v>
      </c>
      <c r="H21" s="23">
        <f t="shared" si="1"/>
        <v>72000</v>
      </c>
      <c r="J21" s="20" t="s">
        <v>103</v>
      </c>
    </row>
    <row r="22" spans="1:13" s="73" customFormat="1" ht="96" x14ac:dyDescent="0.25">
      <c r="A22" s="70">
        <v>17</v>
      </c>
      <c r="B22" s="71" t="s">
        <v>60</v>
      </c>
      <c r="C22" s="70">
        <v>150</v>
      </c>
      <c r="D22" s="70">
        <v>30</v>
      </c>
      <c r="E22" s="72">
        <f t="shared" si="0"/>
        <v>180</v>
      </c>
      <c r="F22" s="70" t="s">
        <v>4</v>
      </c>
      <c r="G22" s="70">
        <v>380</v>
      </c>
      <c r="H22" s="23">
        <f t="shared" si="1"/>
        <v>68400</v>
      </c>
      <c r="I22" s="70"/>
      <c r="J22" s="122" t="s">
        <v>133</v>
      </c>
      <c r="L22" s="70"/>
    </row>
    <row r="23" spans="1:13" s="73" customFormat="1" ht="84" x14ac:dyDescent="0.25">
      <c r="A23" s="70">
        <v>18</v>
      </c>
      <c r="B23" s="71" t="s">
        <v>59</v>
      </c>
      <c r="C23" s="70">
        <v>150</v>
      </c>
      <c r="D23" s="70">
        <v>30</v>
      </c>
      <c r="E23" s="72">
        <f t="shared" si="0"/>
        <v>180</v>
      </c>
      <c r="F23" s="70" t="s">
        <v>4</v>
      </c>
      <c r="G23" s="70">
        <v>85</v>
      </c>
      <c r="H23" s="23">
        <f t="shared" si="1"/>
        <v>15300</v>
      </c>
      <c r="I23" s="70"/>
      <c r="J23" s="72" t="s">
        <v>57</v>
      </c>
      <c r="L23" s="70"/>
    </row>
    <row r="24" spans="1:13" s="75" customFormat="1" ht="108" x14ac:dyDescent="0.25">
      <c r="A24" s="70">
        <v>19</v>
      </c>
      <c r="B24" s="71" t="s">
        <v>58</v>
      </c>
      <c r="C24" s="72">
        <v>25</v>
      </c>
      <c r="D24" s="72">
        <v>3</v>
      </c>
      <c r="E24" s="72">
        <f t="shared" si="0"/>
        <v>28</v>
      </c>
      <c r="F24" s="72" t="s">
        <v>1</v>
      </c>
      <c r="G24" s="76">
        <v>300</v>
      </c>
      <c r="H24" s="23">
        <f t="shared" si="1"/>
        <v>8400</v>
      </c>
      <c r="I24" s="70"/>
      <c r="J24" s="72" t="s">
        <v>61</v>
      </c>
      <c r="K24" s="77"/>
      <c r="L24" s="70"/>
      <c r="M24" s="72"/>
    </row>
    <row r="25" spans="1:13" s="27" customFormat="1" ht="120" x14ac:dyDescent="0.25">
      <c r="A25" s="23">
        <v>20</v>
      </c>
      <c r="B25" s="19" t="s">
        <v>63</v>
      </c>
      <c r="C25" s="20">
        <v>150</v>
      </c>
      <c r="D25" s="20"/>
      <c r="E25" s="20">
        <f t="shared" si="0"/>
        <v>150</v>
      </c>
      <c r="F25" s="23" t="s">
        <v>64</v>
      </c>
      <c r="G25" s="22">
        <v>100</v>
      </c>
      <c r="H25" s="23">
        <f t="shared" si="1"/>
        <v>15000</v>
      </c>
      <c r="I25" s="23"/>
      <c r="J25" s="20" t="s">
        <v>65</v>
      </c>
      <c r="K25" s="30"/>
      <c r="L25" s="23"/>
      <c r="M25" s="20"/>
    </row>
    <row r="26" spans="1:13" s="75" customFormat="1" ht="96" x14ac:dyDescent="0.25">
      <c r="A26" s="70">
        <v>21</v>
      </c>
      <c r="B26" s="71" t="s">
        <v>67</v>
      </c>
      <c r="C26" s="72">
        <v>100</v>
      </c>
      <c r="D26" s="72">
        <v>16</v>
      </c>
      <c r="E26" s="72">
        <f t="shared" si="0"/>
        <v>116</v>
      </c>
      <c r="F26" s="72" t="s">
        <v>1</v>
      </c>
      <c r="G26" s="76">
        <v>1480</v>
      </c>
      <c r="H26" s="23">
        <f t="shared" si="1"/>
        <v>171680</v>
      </c>
      <c r="I26" s="70"/>
      <c r="J26" s="72" t="s">
        <v>68</v>
      </c>
      <c r="L26" s="70"/>
      <c r="M26" s="72"/>
    </row>
    <row r="27" spans="1:13" s="75" customFormat="1" ht="72" x14ac:dyDescent="0.25">
      <c r="A27" s="70">
        <v>22</v>
      </c>
      <c r="B27" s="71" t="s">
        <v>69</v>
      </c>
      <c r="C27" s="72">
        <v>150</v>
      </c>
      <c r="D27" s="72">
        <v>50</v>
      </c>
      <c r="E27" s="72">
        <f t="shared" si="0"/>
        <v>200</v>
      </c>
      <c r="F27" s="70" t="s">
        <v>45</v>
      </c>
      <c r="G27" s="74">
        <v>163</v>
      </c>
      <c r="H27" s="23">
        <f t="shared" si="1"/>
        <v>32600</v>
      </c>
      <c r="I27" s="70"/>
      <c r="J27" s="72" t="s">
        <v>70</v>
      </c>
      <c r="K27" s="77"/>
      <c r="L27" s="70"/>
      <c r="M27" s="72"/>
    </row>
    <row r="28" spans="1:13" s="75" customFormat="1" ht="72" x14ac:dyDescent="0.25">
      <c r="A28" s="70">
        <v>23</v>
      </c>
      <c r="B28" s="71" t="s">
        <v>72</v>
      </c>
      <c r="C28" s="72">
        <v>400</v>
      </c>
      <c r="D28" s="72">
        <v>100</v>
      </c>
      <c r="E28" s="72">
        <f t="shared" si="0"/>
        <v>500</v>
      </c>
      <c r="F28" s="70" t="s">
        <v>45</v>
      </c>
      <c r="G28" s="74">
        <v>78</v>
      </c>
      <c r="H28" s="23">
        <f t="shared" si="1"/>
        <v>39000</v>
      </c>
      <c r="I28" s="70"/>
      <c r="J28" s="72" t="s">
        <v>73</v>
      </c>
      <c r="K28" s="71"/>
      <c r="L28" s="70"/>
      <c r="M28" s="72"/>
    </row>
    <row r="29" spans="1:13" s="27" customFormat="1" ht="48" x14ac:dyDescent="0.25">
      <c r="A29" s="23">
        <v>24</v>
      </c>
      <c r="B29" s="19" t="s">
        <v>75</v>
      </c>
      <c r="C29" s="20">
        <v>250</v>
      </c>
      <c r="D29" s="20"/>
      <c r="E29" s="20">
        <f t="shared" si="0"/>
        <v>250</v>
      </c>
      <c r="F29" s="23" t="s">
        <v>45</v>
      </c>
      <c r="G29" s="22">
        <v>60</v>
      </c>
      <c r="H29" s="23">
        <f t="shared" si="1"/>
        <v>15000</v>
      </c>
      <c r="I29" s="23"/>
      <c r="J29" s="20" t="s">
        <v>76</v>
      </c>
      <c r="K29" s="19"/>
      <c r="L29" s="23"/>
      <c r="M29" s="20"/>
    </row>
    <row r="30" spans="1:13" s="72" customFormat="1" ht="48" x14ac:dyDescent="0.25">
      <c r="A30" s="70">
        <v>25</v>
      </c>
      <c r="B30" s="71" t="s">
        <v>82</v>
      </c>
      <c r="C30" s="72">
        <v>800</v>
      </c>
      <c r="D30" s="72">
        <v>200</v>
      </c>
      <c r="E30" s="72">
        <f t="shared" si="0"/>
        <v>1000</v>
      </c>
      <c r="F30" s="72" t="s">
        <v>45</v>
      </c>
      <c r="G30" s="72">
        <v>42</v>
      </c>
      <c r="H30" s="23">
        <f t="shared" si="1"/>
        <v>42000</v>
      </c>
      <c r="I30" s="70"/>
      <c r="J30" s="72" t="s">
        <v>83</v>
      </c>
    </row>
    <row r="31" spans="1:13" s="75" customFormat="1" ht="72" x14ac:dyDescent="0.25">
      <c r="A31" s="70">
        <v>26</v>
      </c>
      <c r="B31" s="71" t="s">
        <v>6</v>
      </c>
      <c r="C31" s="72">
        <v>5</v>
      </c>
      <c r="D31" s="72">
        <v>1</v>
      </c>
      <c r="E31" s="72">
        <f t="shared" si="0"/>
        <v>6</v>
      </c>
      <c r="F31" s="72" t="s">
        <v>1</v>
      </c>
      <c r="G31" s="74">
        <v>80709.64</v>
      </c>
      <c r="H31" s="23">
        <f t="shared" si="1"/>
        <v>484257.83999999997</v>
      </c>
      <c r="I31" s="70"/>
      <c r="J31" s="72" t="s">
        <v>84</v>
      </c>
      <c r="K31" s="71"/>
      <c r="L31" s="70"/>
      <c r="M31" s="72"/>
    </row>
    <row r="32" spans="1:13" ht="24" x14ac:dyDescent="0.25">
      <c r="A32" s="23">
        <v>27</v>
      </c>
      <c r="B32" s="19" t="s">
        <v>108</v>
      </c>
      <c r="C32" s="23">
        <v>1</v>
      </c>
      <c r="E32" s="20">
        <f t="shared" si="0"/>
        <v>1</v>
      </c>
      <c r="F32" s="23" t="s">
        <v>1</v>
      </c>
      <c r="G32" s="23">
        <v>32000</v>
      </c>
      <c r="H32" s="23">
        <f t="shared" si="1"/>
        <v>32000</v>
      </c>
      <c r="J32" s="23" t="s">
        <v>88</v>
      </c>
    </row>
    <row r="33" spans="1:15" s="25" customFormat="1" ht="72" x14ac:dyDescent="0.25">
      <c r="A33" s="23">
        <v>28</v>
      </c>
      <c r="B33" s="19" t="s">
        <v>95</v>
      </c>
      <c r="C33" s="23">
        <v>8</v>
      </c>
      <c r="D33" s="23"/>
      <c r="E33" s="20">
        <f t="shared" si="0"/>
        <v>8</v>
      </c>
      <c r="F33" s="23" t="s">
        <v>5</v>
      </c>
      <c r="G33" s="22">
        <v>12117.125</v>
      </c>
      <c r="H33" s="23">
        <f t="shared" si="1"/>
        <v>96937</v>
      </c>
      <c r="I33" s="23"/>
      <c r="J33" s="20" t="s">
        <v>96</v>
      </c>
      <c r="K33" s="23"/>
      <c r="L33" s="23"/>
      <c r="M33" s="23"/>
    </row>
    <row r="34" spans="1:15" s="73" customFormat="1" ht="156" x14ac:dyDescent="0.25">
      <c r="A34" s="70">
        <v>29</v>
      </c>
      <c r="B34" s="71" t="s">
        <v>14</v>
      </c>
      <c r="C34" s="70">
        <v>1</v>
      </c>
      <c r="D34" s="70">
        <v>1</v>
      </c>
      <c r="E34" s="72">
        <f t="shared" si="0"/>
        <v>2</v>
      </c>
      <c r="F34" s="72" t="s">
        <v>13</v>
      </c>
      <c r="G34" s="70">
        <v>380000</v>
      </c>
      <c r="H34" s="23">
        <f t="shared" si="1"/>
        <v>760000</v>
      </c>
      <c r="I34" s="70"/>
      <c r="J34" s="70" t="s">
        <v>88</v>
      </c>
      <c r="L34" s="70"/>
    </row>
    <row r="35" spans="1:15" ht="72" x14ac:dyDescent="0.25">
      <c r="A35" s="23">
        <v>30</v>
      </c>
      <c r="B35" s="19" t="s">
        <v>15</v>
      </c>
      <c r="C35" s="23">
        <v>1</v>
      </c>
      <c r="E35" s="20">
        <f t="shared" si="0"/>
        <v>1</v>
      </c>
      <c r="F35" s="23" t="s">
        <v>1</v>
      </c>
      <c r="G35" s="63">
        <v>110000</v>
      </c>
      <c r="H35" s="23">
        <f t="shared" si="1"/>
        <v>110000</v>
      </c>
      <c r="J35" s="20" t="s">
        <v>153</v>
      </c>
    </row>
    <row r="36" spans="1:15" ht="60" x14ac:dyDescent="0.25">
      <c r="A36" s="23">
        <v>31</v>
      </c>
      <c r="B36" s="19" t="s">
        <v>101</v>
      </c>
      <c r="C36" s="23">
        <v>2</v>
      </c>
      <c r="E36" s="20">
        <f t="shared" si="0"/>
        <v>2</v>
      </c>
      <c r="F36" s="23" t="s">
        <v>1</v>
      </c>
      <c r="G36" s="23">
        <v>193849.22</v>
      </c>
      <c r="H36" s="23">
        <f t="shared" si="1"/>
        <v>387698.44</v>
      </c>
      <c r="J36" s="20" t="s">
        <v>102</v>
      </c>
    </row>
    <row r="37" spans="1:15" ht="24" x14ac:dyDescent="0.25">
      <c r="A37" s="23">
        <v>32</v>
      </c>
      <c r="B37" s="19" t="s">
        <v>104</v>
      </c>
      <c r="C37" s="23">
        <v>1</v>
      </c>
      <c r="E37" s="20">
        <f t="shared" si="0"/>
        <v>1</v>
      </c>
      <c r="F37" s="23" t="s">
        <v>1</v>
      </c>
      <c r="G37" s="23">
        <v>38000</v>
      </c>
      <c r="H37" s="23">
        <f t="shared" si="1"/>
        <v>38000</v>
      </c>
      <c r="J37" s="23" t="s">
        <v>88</v>
      </c>
      <c r="K37" s="20"/>
    </row>
    <row r="38" spans="1:15" s="27" customFormat="1" ht="60" x14ac:dyDescent="0.25">
      <c r="A38" s="23">
        <v>33</v>
      </c>
      <c r="B38" s="19" t="s">
        <v>78</v>
      </c>
      <c r="C38" s="20">
        <v>30</v>
      </c>
      <c r="D38" s="20"/>
      <c r="E38" s="20">
        <f t="shared" si="0"/>
        <v>30</v>
      </c>
      <c r="F38" s="23" t="s">
        <v>79</v>
      </c>
      <c r="G38" s="22">
        <v>5007</v>
      </c>
      <c r="H38" s="23">
        <f t="shared" si="1"/>
        <v>150210</v>
      </c>
      <c r="I38" s="23"/>
      <c r="J38" s="20" t="s">
        <v>80</v>
      </c>
      <c r="K38" s="19"/>
      <c r="L38" s="23"/>
      <c r="M38" s="20"/>
    </row>
    <row r="39" spans="1:15" ht="72" x14ac:dyDescent="0.25">
      <c r="A39" s="23">
        <v>34</v>
      </c>
      <c r="B39" s="19" t="s">
        <v>9</v>
      </c>
      <c r="C39" s="20">
        <v>1</v>
      </c>
      <c r="D39" s="20"/>
      <c r="E39" s="20">
        <f t="shared" si="0"/>
        <v>1</v>
      </c>
      <c r="F39" s="23" t="s">
        <v>1</v>
      </c>
      <c r="G39" s="64">
        <v>20100</v>
      </c>
      <c r="H39" s="23">
        <f t="shared" si="1"/>
        <v>20100</v>
      </c>
      <c r="J39" s="20" t="s">
        <v>97</v>
      </c>
      <c r="L39" s="64"/>
    </row>
    <row r="40" spans="1:15" ht="48" x14ac:dyDescent="0.25">
      <c r="A40" s="23">
        <v>35</v>
      </c>
      <c r="B40" s="19" t="s">
        <v>10</v>
      </c>
      <c r="C40" s="20">
        <v>1</v>
      </c>
      <c r="D40" s="20"/>
      <c r="E40" s="20">
        <f t="shared" si="0"/>
        <v>1</v>
      </c>
      <c r="F40" s="23" t="s">
        <v>11</v>
      </c>
      <c r="G40" s="64">
        <v>130000</v>
      </c>
      <c r="H40" s="23">
        <f t="shared" si="1"/>
        <v>130000</v>
      </c>
      <c r="J40" s="20" t="s">
        <v>98</v>
      </c>
      <c r="L40" s="64"/>
    </row>
    <row r="41" spans="1:15" ht="24" x14ac:dyDescent="0.25">
      <c r="A41" s="23">
        <v>36</v>
      </c>
      <c r="B41" s="19" t="s">
        <v>12</v>
      </c>
      <c r="C41" s="20">
        <v>1</v>
      </c>
      <c r="D41" s="20"/>
      <c r="E41" s="20">
        <f t="shared" si="0"/>
        <v>1</v>
      </c>
      <c r="F41" s="23" t="s">
        <v>1</v>
      </c>
      <c r="G41" s="64">
        <v>86000</v>
      </c>
      <c r="H41" s="23">
        <f t="shared" si="1"/>
        <v>86000</v>
      </c>
      <c r="J41" s="20" t="s">
        <v>99</v>
      </c>
      <c r="L41" s="64"/>
    </row>
    <row r="42" spans="1:15" ht="96" x14ac:dyDescent="0.25">
      <c r="A42" s="23">
        <v>37</v>
      </c>
      <c r="B42" s="19" t="s">
        <v>122</v>
      </c>
      <c r="C42" s="20">
        <v>5</v>
      </c>
      <c r="D42" s="20"/>
      <c r="E42" s="20">
        <f t="shared" si="0"/>
        <v>5</v>
      </c>
      <c r="F42" s="23" t="s">
        <v>5</v>
      </c>
      <c r="G42" s="64">
        <v>38500</v>
      </c>
      <c r="H42" s="23">
        <f t="shared" si="1"/>
        <v>192500</v>
      </c>
      <c r="J42" s="24" t="s">
        <v>134</v>
      </c>
      <c r="L42" s="64"/>
    </row>
    <row r="43" spans="1:15" s="73" customFormat="1" ht="36" x14ac:dyDescent="0.25">
      <c r="A43" s="70">
        <v>38</v>
      </c>
      <c r="B43" s="111" t="s">
        <v>137</v>
      </c>
      <c r="C43" s="72">
        <v>18</v>
      </c>
      <c r="D43" s="72">
        <v>10</v>
      </c>
      <c r="E43" s="72">
        <f t="shared" si="0"/>
        <v>28</v>
      </c>
      <c r="F43" s="72" t="s">
        <v>125</v>
      </c>
      <c r="G43" s="76">
        <v>250</v>
      </c>
      <c r="H43" s="23">
        <f t="shared" si="1"/>
        <v>7000</v>
      </c>
      <c r="I43" s="70"/>
      <c r="J43" s="72" t="s">
        <v>136</v>
      </c>
      <c r="L43" s="118"/>
    </row>
    <row r="44" spans="1:15" ht="24" x14ac:dyDescent="0.25">
      <c r="A44" s="23">
        <v>39</v>
      </c>
      <c r="B44" s="19" t="s">
        <v>131</v>
      </c>
      <c r="C44" s="20">
        <v>488</v>
      </c>
      <c r="D44" s="20"/>
      <c r="E44" s="20">
        <f t="shared" si="0"/>
        <v>488</v>
      </c>
      <c r="F44" s="20" t="s">
        <v>5</v>
      </c>
      <c r="G44" s="20">
        <v>10.75</v>
      </c>
      <c r="H44" s="23">
        <f t="shared" si="1"/>
        <v>5246</v>
      </c>
      <c r="J44" s="20" t="s">
        <v>135</v>
      </c>
    </row>
    <row r="45" spans="1:15" s="65" customFormat="1" ht="36" x14ac:dyDescent="0.25">
      <c r="A45" s="23">
        <v>40</v>
      </c>
      <c r="B45" s="19" t="s">
        <v>127</v>
      </c>
      <c r="C45" s="20">
        <v>2</v>
      </c>
      <c r="D45" s="20"/>
      <c r="E45" s="20">
        <f t="shared" si="0"/>
        <v>2</v>
      </c>
      <c r="F45" s="20" t="s">
        <v>2</v>
      </c>
      <c r="G45" s="20">
        <v>18900</v>
      </c>
      <c r="H45" s="23">
        <f t="shared" si="1"/>
        <v>37800</v>
      </c>
      <c r="I45" s="23"/>
      <c r="J45" s="20" t="s">
        <v>139</v>
      </c>
      <c r="K45" s="20"/>
      <c r="L45" s="66"/>
    </row>
    <row r="46" spans="1:15" s="65" customFormat="1" ht="48" x14ac:dyDescent="0.25">
      <c r="A46" s="23">
        <v>41</v>
      </c>
      <c r="B46" s="19" t="s">
        <v>128</v>
      </c>
      <c r="C46" s="20">
        <v>1</v>
      </c>
      <c r="D46" s="20"/>
      <c r="E46" s="20">
        <f t="shared" si="0"/>
        <v>1</v>
      </c>
      <c r="F46" s="20" t="s">
        <v>2</v>
      </c>
      <c r="G46" s="20">
        <v>23000</v>
      </c>
      <c r="H46" s="23">
        <f t="shared" si="1"/>
        <v>23000</v>
      </c>
      <c r="I46" s="23"/>
      <c r="J46" s="20" t="s">
        <v>140</v>
      </c>
      <c r="L46" s="66"/>
    </row>
    <row r="47" spans="1:15" ht="60" x14ac:dyDescent="0.25">
      <c r="A47" s="23">
        <v>42</v>
      </c>
      <c r="B47" s="19" t="s">
        <v>112</v>
      </c>
      <c r="C47" s="20">
        <v>1</v>
      </c>
      <c r="D47" s="20"/>
      <c r="E47" s="20">
        <f t="shared" si="0"/>
        <v>1</v>
      </c>
      <c r="F47" s="23" t="s">
        <v>1</v>
      </c>
      <c r="G47" s="64">
        <v>96116</v>
      </c>
      <c r="H47" s="23">
        <f t="shared" si="1"/>
        <v>96116</v>
      </c>
      <c r="J47" s="20" t="s">
        <v>141</v>
      </c>
      <c r="L47" s="64"/>
      <c r="O47" s="68"/>
    </row>
    <row r="48" spans="1:15" ht="60" x14ac:dyDescent="0.25">
      <c r="A48" s="23">
        <v>43</v>
      </c>
      <c r="B48" s="19" t="s">
        <v>113</v>
      </c>
      <c r="C48" s="20">
        <v>1</v>
      </c>
      <c r="D48" s="20"/>
      <c r="E48" s="20">
        <f t="shared" si="0"/>
        <v>1</v>
      </c>
      <c r="F48" s="23" t="s">
        <v>2</v>
      </c>
      <c r="G48" s="64">
        <v>28300</v>
      </c>
      <c r="H48" s="23">
        <f t="shared" si="1"/>
        <v>28300</v>
      </c>
      <c r="J48" s="20" t="s">
        <v>142</v>
      </c>
      <c r="L48" s="64"/>
    </row>
    <row r="49" spans="1:12" ht="48" x14ac:dyDescent="0.25">
      <c r="A49" s="23">
        <v>44</v>
      </c>
      <c r="B49" s="19" t="s">
        <v>114</v>
      </c>
      <c r="C49" s="20">
        <v>1</v>
      </c>
      <c r="D49" s="20"/>
      <c r="E49" s="20">
        <f t="shared" si="0"/>
        <v>1</v>
      </c>
      <c r="F49" s="23" t="s">
        <v>5</v>
      </c>
      <c r="G49" s="64">
        <v>20000</v>
      </c>
      <c r="H49" s="23">
        <f t="shared" si="1"/>
        <v>20000</v>
      </c>
      <c r="J49" s="20" t="s">
        <v>143</v>
      </c>
      <c r="L49" s="64"/>
    </row>
    <row r="50" spans="1:12" ht="36" x14ac:dyDescent="0.25">
      <c r="A50" s="23">
        <v>45</v>
      </c>
      <c r="B50" s="19" t="s">
        <v>115</v>
      </c>
      <c r="C50" s="20">
        <v>3</v>
      </c>
      <c r="D50" s="20"/>
      <c r="E50" s="20">
        <f t="shared" si="0"/>
        <v>3</v>
      </c>
      <c r="F50" s="23" t="s">
        <v>5</v>
      </c>
      <c r="G50" s="64">
        <v>3500</v>
      </c>
      <c r="H50" s="23">
        <f t="shared" si="1"/>
        <v>10500</v>
      </c>
      <c r="J50" s="20" t="s">
        <v>144</v>
      </c>
      <c r="L50" s="64"/>
    </row>
    <row r="51" spans="1:12" ht="36" x14ac:dyDescent="0.25">
      <c r="A51" s="23">
        <v>46</v>
      </c>
      <c r="B51" s="19" t="s">
        <v>116</v>
      </c>
      <c r="C51" s="20">
        <v>6</v>
      </c>
      <c r="D51" s="20"/>
      <c r="E51" s="20">
        <f t="shared" si="0"/>
        <v>6</v>
      </c>
      <c r="F51" s="23" t="s">
        <v>5</v>
      </c>
      <c r="G51" s="64">
        <v>1800</v>
      </c>
      <c r="H51" s="23">
        <f t="shared" si="1"/>
        <v>10800</v>
      </c>
      <c r="J51" s="20" t="s">
        <v>145</v>
      </c>
      <c r="L51" s="64"/>
    </row>
    <row r="52" spans="1:12" ht="36" x14ac:dyDescent="0.25">
      <c r="A52" s="23">
        <v>47</v>
      </c>
      <c r="B52" s="19" t="s">
        <v>117</v>
      </c>
      <c r="C52" s="20">
        <v>4</v>
      </c>
      <c r="D52" s="20"/>
      <c r="E52" s="20">
        <f t="shared" si="0"/>
        <v>4</v>
      </c>
      <c r="F52" s="20" t="s">
        <v>2</v>
      </c>
      <c r="G52" s="20">
        <v>2396</v>
      </c>
      <c r="H52" s="23">
        <f t="shared" si="1"/>
        <v>9584</v>
      </c>
      <c r="J52" s="20" t="s">
        <v>146</v>
      </c>
      <c r="L52" s="64"/>
    </row>
    <row r="53" spans="1:12" s="126" customFormat="1" ht="24" x14ac:dyDescent="0.25">
      <c r="A53" s="70">
        <v>48</v>
      </c>
      <c r="B53" s="71" t="s">
        <v>118</v>
      </c>
      <c r="C53" s="72">
        <v>4</v>
      </c>
      <c r="D53" s="72">
        <v>2</v>
      </c>
      <c r="E53" s="72">
        <f t="shared" si="0"/>
        <v>6</v>
      </c>
      <c r="F53" s="72" t="s">
        <v>2</v>
      </c>
      <c r="G53" s="72">
        <v>2500</v>
      </c>
      <c r="H53" s="23">
        <f t="shared" si="1"/>
        <v>15000</v>
      </c>
      <c r="I53" s="70"/>
      <c r="J53" s="72" t="s">
        <v>147</v>
      </c>
      <c r="L53" s="127"/>
    </row>
    <row r="54" spans="1:12" ht="103.5" customHeight="1" x14ac:dyDescent="0.25">
      <c r="A54" s="23">
        <v>49</v>
      </c>
      <c r="B54" s="19" t="s">
        <v>126</v>
      </c>
      <c r="C54" s="20">
        <v>6</v>
      </c>
      <c r="D54" s="20"/>
      <c r="E54" s="20">
        <f t="shared" si="0"/>
        <v>6</v>
      </c>
      <c r="F54" s="23" t="s">
        <v>5</v>
      </c>
      <c r="G54" s="20">
        <v>31707</v>
      </c>
      <c r="H54" s="23">
        <f t="shared" si="1"/>
        <v>190242</v>
      </c>
      <c r="J54" s="20" t="s">
        <v>148</v>
      </c>
      <c r="L54" s="64"/>
    </row>
    <row r="55" spans="1:12" ht="60" x14ac:dyDescent="0.25">
      <c r="A55" s="23">
        <v>50</v>
      </c>
      <c r="B55" s="19" t="s">
        <v>120</v>
      </c>
      <c r="C55" s="20">
        <v>4</v>
      </c>
      <c r="D55" s="20"/>
      <c r="E55" s="20">
        <f t="shared" si="0"/>
        <v>4</v>
      </c>
      <c r="F55" s="20" t="s">
        <v>119</v>
      </c>
      <c r="G55" s="20">
        <v>8914</v>
      </c>
      <c r="H55" s="23">
        <f t="shared" si="1"/>
        <v>35656</v>
      </c>
      <c r="J55" s="20" t="s">
        <v>149</v>
      </c>
    </row>
    <row r="56" spans="1:12" ht="60" x14ac:dyDescent="0.25">
      <c r="A56" s="23">
        <v>51</v>
      </c>
      <c r="B56" s="19" t="s">
        <v>121</v>
      </c>
      <c r="C56" s="20">
        <v>4</v>
      </c>
      <c r="D56" s="20"/>
      <c r="E56" s="20">
        <f t="shared" si="0"/>
        <v>4</v>
      </c>
      <c r="F56" s="20" t="s">
        <v>119</v>
      </c>
      <c r="G56" s="20">
        <v>7680</v>
      </c>
      <c r="H56" s="23">
        <f t="shared" si="1"/>
        <v>30720</v>
      </c>
      <c r="J56" s="20" t="s">
        <v>150</v>
      </c>
    </row>
    <row r="57" spans="1:12" ht="24" x14ac:dyDescent="0.25">
      <c r="A57" s="23">
        <v>52</v>
      </c>
      <c r="B57" s="19" t="s">
        <v>124</v>
      </c>
      <c r="C57" s="20">
        <v>60</v>
      </c>
      <c r="D57" s="20"/>
      <c r="E57" s="20">
        <f t="shared" si="0"/>
        <v>60</v>
      </c>
      <c r="F57" s="20" t="s">
        <v>125</v>
      </c>
      <c r="G57" s="20">
        <v>210</v>
      </c>
      <c r="H57" s="23">
        <f t="shared" si="1"/>
        <v>12600</v>
      </c>
      <c r="J57" s="20" t="s">
        <v>151</v>
      </c>
    </row>
    <row r="58" spans="1:12" ht="36" x14ac:dyDescent="0.25">
      <c r="A58" s="23">
        <v>53</v>
      </c>
      <c r="B58" s="19" t="s">
        <v>123</v>
      </c>
      <c r="C58" s="20">
        <v>200</v>
      </c>
      <c r="D58" s="20"/>
      <c r="E58" s="20">
        <f t="shared" si="0"/>
        <v>200</v>
      </c>
      <c r="F58" s="20" t="s">
        <v>1</v>
      </c>
      <c r="G58" s="20">
        <v>30</v>
      </c>
      <c r="H58" s="23">
        <f t="shared" si="1"/>
        <v>6000</v>
      </c>
      <c r="J58" s="20" t="s">
        <v>152</v>
      </c>
    </row>
    <row r="59" spans="1:12" s="73" customFormat="1" ht="76.5" x14ac:dyDescent="0.25">
      <c r="A59" s="23">
        <v>54</v>
      </c>
      <c r="B59" s="111" t="s">
        <v>177</v>
      </c>
      <c r="C59" s="72">
        <v>0</v>
      </c>
      <c r="D59" s="70">
        <v>3</v>
      </c>
      <c r="E59" s="72">
        <f t="shared" si="0"/>
        <v>3</v>
      </c>
      <c r="F59" s="70" t="s">
        <v>178</v>
      </c>
      <c r="G59" s="70">
        <v>545</v>
      </c>
      <c r="H59" s="23">
        <f t="shared" si="1"/>
        <v>1635</v>
      </c>
      <c r="I59" s="112"/>
      <c r="J59" s="112" t="s">
        <v>232</v>
      </c>
      <c r="L59" s="70"/>
    </row>
    <row r="60" spans="1:12" s="73" customFormat="1" ht="89.25" x14ac:dyDescent="0.25">
      <c r="A60" s="70">
        <v>55</v>
      </c>
      <c r="B60" s="111" t="s">
        <v>180</v>
      </c>
      <c r="C60" s="72">
        <v>0</v>
      </c>
      <c r="D60" s="72">
        <v>1</v>
      </c>
      <c r="E60" s="72">
        <f t="shared" si="0"/>
        <v>1</v>
      </c>
      <c r="F60" s="113" t="s">
        <v>178</v>
      </c>
      <c r="G60" s="70">
        <v>7000</v>
      </c>
      <c r="H60" s="23">
        <f t="shared" si="1"/>
        <v>7000</v>
      </c>
      <c r="I60" s="112"/>
      <c r="J60" s="112" t="s">
        <v>181</v>
      </c>
      <c r="L60" s="70"/>
    </row>
    <row r="61" spans="1:12" s="73" customFormat="1" ht="76.5" x14ac:dyDescent="0.25">
      <c r="A61" s="23">
        <v>56</v>
      </c>
      <c r="B61" s="111" t="s">
        <v>183</v>
      </c>
      <c r="C61" s="72">
        <v>0</v>
      </c>
      <c r="D61" s="72">
        <v>1</v>
      </c>
      <c r="E61" s="72">
        <f t="shared" si="0"/>
        <v>1</v>
      </c>
      <c r="F61" s="72" t="s">
        <v>5</v>
      </c>
      <c r="G61" s="114">
        <v>17200</v>
      </c>
      <c r="H61" s="23">
        <f t="shared" si="1"/>
        <v>17200</v>
      </c>
      <c r="I61" s="112"/>
      <c r="J61" s="92" t="s">
        <v>184</v>
      </c>
      <c r="L61" s="70"/>
    </row>
    <row r="62" spans="1:12" s="73" customFormat="1" ht="76.5" x14ac:dyDescent="0.25">
      <c r="A62" s="70">
        <v>57</v>
      </c>
      <c r="B62" s="111" t="s">
        <v>185</v>
      </c>
      <c r="C62" s="72">
        <v>0</v>
      </c>
      <c r="D62" s="72">
        <v>2</v>
      </c>
      <c r="E62" s="72">
        <f t="shared" si="0"/>
        <v>2</v>
      </c>
      <c r="F62" s="72" t="s">
        <v>178</v>
      </c>
      <c r="G62" s="114">
        <v>21000</v>
      </c>
      <c r="H62" s="23">
        <f t="shared" si="1"/>
        <v>42000</v>
      </c>
      <c r="I62" s="112"/>
      <c r="J62" s="92" t="s">
        <v>233</v>
      </c>
      <c r="L62" s="70"/>
    </row>
    <row r="63" spans="1:12" s="73" customFormat="1" ht="96" x14ac:dyDescent="0.25">
      <c r="A63" s="70">
        <v>58</v>
      </c>
      <c r="B63" s="115" t="s">
        <v>189</v>
      </c>
      <c r="C63" s="72">
        <v>0</v>
      </c>
      <c r="D63" s="116">
        <v>2</v>
      </c>
      <c r="E63" s="72">
        <f t="shared" si="0"/>
        <v>2</v>
      </c>
      <c r="F63" s="72" t="s">
        <v>5</v>
      </c>
      <c r="G63" s="117">
        <v>20250</v>
      </c>
      <c r="H63" s="23">
        <f t="shared" si="1"/>
        <v>40500</v>
      </c>
      <c r="I63" s="112"/>
      <c r="J63" s="72" t="s">
        <v>190</v>
      </c>
      <c r="L63" s="70"/>
    </row>
    <row r="64" spans="1:12" s="73" customFormat="1" ht="60" x14ac:dyDescent="0.25">
      <c r="A64" s="70">
        <v>59</v>
      </c>
      <c r="B64" s="111" t="s">
        <v>193</v>
      </c>
      <c r="C64" s="72">
        <v>0</v>
      </c>
      <c r="D64" s="70">
        <v>1</v>
      </c>
      <c r="E64" s="72">
        <f t="shared" si="0"/>
        <v>1</v>
      </c>
      <c r="F64" s="70" t="s">
        <v>5</v>
      </c>
      <c r="G64" s="70">
        <v>18500</v>
      </c>
      <c r="H64" s="23">
        <f t="shared" si="1"/>
        <v>18500</v>
      </c>
      <c r="I64" s="112"/>
      <c r="J64" s="72" t="s">
        <v>234</v>
      </c>
      <c r="L64" s="70"/>
    </row>
    <row r="65" spans="1:226" s="73" customFormat="1" ht="84" x14ac:dyDescent="0.25">
      <c r="A65" s="70">
        <v>60</v>
      </c>
      <c r="B65" s="119" t="s">
        <v>195</v>
      </c>
      <c r="C65" s="72">
        <v>0</v>
      </c>
      <c r="D65" s="116">
        <v>1</v>
      </c>
      <c r="E65" s="72">
        <f t="shared" si="0"/>
        <v>1</v>
      </c>
      <c r="F65" s="119" t="s">
        <v>5</v>
      </c>
      <c r="G65" s="112">
        <v>27022</v>
      </c>
      <c r="H65" s="23">
        <f t="shared" si="1"/>
        <v>27022</v>
      </c>
      <c r="I65" s="112"/>
      <c r="J65" s="72" t="s">
        <v>196</v>
      </c>
      <c r="L65" s="70"/>
    </row>
    <row r="66" spans="1:226" s="73" customFormat="1" ht="76.5" x14ac:dyDescent="0.25">
      <c r="A66" s="70">
        <v>61</v>
      </c>
      <c r="B66" s="123" t="s">
        <v>206</v>
      </c>
      <c r="C66" s="72">
        <v>0</v>
      </c>
      <c r="D66" s="112">
        <v>30</v>
      </c>
      <c r="E66" s="72">
        <f t="shared" si="0"/>
        <v>30</v>
      </c>
      <c r="F66" s="112" t="s">
        <v>45</v>
      </c>
      <c r="G66" s="112">
        <v>250</v>
      </c>
      <c r="H66" s="23">
        <f t="shared" si="1"/>
        <v>7500</v>
      </c>
      <c r="I66" s="70"/>
      <c r="J66" s="112" t="s">
        <v>207</v>
      </c>
      <c r="L66" s="70"/>
    </row>
    <row r="67" spans="1:226" s="73" customFormat="1" ht="51" x14ac:dyDescent="0.25">
      <c r="A67" s="70">
        <v>62</v>
      </c>
      <c r="B67" s="115" t="s">
        <v>208</v>
      </c>
      <c r="C67" s="72">
        <v>0</v>
      </c>
      <c r="D67" s="116">
        <v>100</v>
      </c>
      <c r="E67" s="72">
        <f t="shared" si="0"/>
        <v>100</v>
      </c>
      <c r="F67" s="72" t="s">
        <v>4</v>
      </c>
      <c r="G67" s="119">
        <v>100</v>
      </c>
      <c r="H67" s="23">
        <f t="shared" si="1"/>
        <v>10000</v>
      </c>
      <c r="I67" s="112"/>
      <c r="J67" s="92" t="s">
        <v>209</v>
      </c>
      <c r="L67" s="70"/>
    </row>
    <row r="68" spans="1:226" s="73" customFormat="1" ht="60" x14ac:dyDescent="0.25">
      <c r="A68" s="70">
        <v>63</v>
      </c>
      <c r="B68" s="115" t="s">
        <v>236</v>
      </c>
      <c r="C68" s="72">
        <v>0</v>
      </c>
      <c r="D68" s="116">
        <v>1</v>
      </c>
      <c r="E68" s="72">
        <f t="shared" si="0"/>
        <v>1</v>
      </c>
      <c r="F68" s="72" t="s">
        <v>211</v>
      </c>
      <c r="G68" s="119">
        <v>29500</v>
      </c>
      <c r="H68" s="23">
        <f t="shared" si="1"/>
        <v>29500</v>
      </c>
      <c r="I68" s="112"/>
      <c r="J68" s="92" t="s">
        <v>235</v>
      </c>
      <c r="L68" s="70"/>
    </row>
    <row r="69" spans="1:226" s="73" customFormat="1" ht="36" x14ac:dyDescent="0.25">
      <c r="A69" s="70">
        <v>64</v>
      </c>
      <c r="B69" s="115" t="s">
        <v>213</v>
      </c>
      <c r="C69" s="72">
        <v>0</v>
      </c>
      <c r="D69" s="116">
        <v>1</v>
      </c>
      <c r="E69" s="116">
        <v>1</v>
      </c>
      <c r="F69" s="72" t="s">
        <v>2</v>
      </c>
      <c r="G69" s="119">
        <v>43223</v>
      </c>
      <c r="H69" s="23">
        <f t="shared" si="1"/>
        <v>43223</v>
      </c>
      <c r="I69" s="112"/>
      <c r="J69" s="92" t="s">
        <v>214</v>
      </c>
      <c r="L69" s="70"/>
    </row>
    <row r="70" spans="1:226" s="73" customFormat="1" ht="25.5" x14ac:dyDescent="0.25">
      <c r="A70" s="70">
        <v>65</v>
      </c>
      <c r="B70" s="115" t="s">
        <v>215</v>
      </c>
      <c r="C70" s="72">
        <v>0</v>
      </c>
      <c r="D70" s="116">
        <v>1</v>
      </c>
      <c r="E70" s="116">
        <v>1</v>
      </c>
      <c r="F70" s="72" t="s">
        <v>2</v>
      </c>
      <c r="G70" s="119">
        <v>9853</v>
      </c>
      <c r="H70" s="23">
        <f t="shared" si="1"/>
        <v>9853</v>
      </c>
      <c r="J70" s="92" t="s">
        <v>216</v>
      </c>
      <c r="L70" s="70"/>
    </row>
    <row r="71" spans="1:226" s="73" customFormat="1" ht="84" x14ac:dyDescent="0.25">
      <c r="A71" s="70">
        <v>66</v>
      </c>
      <c r="B71" s="92" t="s">
        <v>219</v>
      </c>
      <c r="C71" s="72">
        <v>0</v>
      </c>
      <c r="D71" s="116">
        <v>1</v>
      </c>
      <c r="E71" s="116">
        <v>1</v>
      </c>
      <c r="F71" s="112" t="s">
        <v>2</v>
      </c>
      <c r="G71" s="125">
        <v>38350</v>
      </c>
      <c r="H71" s="23">
        <f t="shared" ref="H71" si="2">G71*E71</f>
        <v>38350</v>
      </c>
      <c r="J71" s="72" t="s">
        <v>220</v>
      </c>
      <c r="L71" s="70"/>
    </row>
    <row r="72" spans="1:226" s="73" customFormat="1" ht="12.75" x14ac:dyDescent="0.25">
      <c r="A72" s="23"/>
      <c r="B72" s="6"/>
      <c r="D72" s="13"/>
      <c r="E72" s="72"/>
      <c r="F72" s="7"/>
      <c r="G72" s="5"/>
      <c r="H72" s="5"/>
      <c r="I72" s="3"/>
      <c r="J72" s="3"/>
      <c r="L72" s="70"/>
    </row>
    <row r="73" spans="1:226" s="73" customFormat="1" ht="12.75" x14ac:dyDescent="0.25">
      <c r="A73" s="70"/>
      <c r="B73" s="111"/>
      <c r="C73" s="72"/>
      <c r="D73" s="70"/>
      <c r="E73" s="72"/>
      <c r="F73" s="70"/>
      <c r="G73" s="70"/>
      <c r="H73" s="70"/>
      <c r="I73" s="112"/>
      <c r="J73" s="112"/>
      <c r="L73" s="70"/>
    </row>
    <row r="74" spans="1:226" s="73" customFormat="1" ht="12.75" x14ac:dyDescent="0.25">
      <c r="A74" s="70"/>
      <c r="B74" s="111"/>
      <c r="C74" s="72"/>
      <c r="D74" s="70"/>
      <c r="E74" s="72"/>
      <c r="F74" s="70"/>
      <c r="G74" s="70"/>
      <c r="H74" s="70"/>
      <c r="I74" s="112"/>
      <c r="J74" s="112"/>
      <c r="L74" s="70"/>
    </row>
    <row r="75" spans="1:226" s="73" customFormat="1" ht="12.75" x14ac:dyDescent="0.25">
      <c r="A75" s="70"/>
      <c r="B75" s="111"/>
      <c r="C75" s="72"/>
      <c r="D75" s="70"/>
      <c r="E75" s="72"/>
      <c r="F75" s="70"/>
      <c r="G75" s="70"/>
      <c r="H75" s="70"/>
      <c r="I75" s="112"/>
      <c r="J75" s="112"/>
      <c r="L75" s="70"/>
    </row>
    <row r="76" spans="1:226" x14ac:dyDescent="0.25">
      <c r="B76" s="19"/>
      <c r="C76" s="20"/>
      <c r="D76" s="20"/>
      <c r="E76" s="20"/>
      <c r="F76" s="20"/>
      <c r="G76" s="20"/>
      <c r="H76" s="20"/>
      <c r="I76" s="20"/>
      <c r="J76" s="20"/>
    </row>
    <row r="77" spans="1:226" s="41" customFormat="1" x14ac:dyDescent="0.2">
      <c r="A77" s="31" t="s">
        <v>28</v>
      </c>
      <c r="B77" s="59" t="s">
        <v>38</v>
      </c>
      <c r="C77" s="32"/>
      <c r="D77" s="32"/>
      <c r="E77" s="32"/>
      <c r="F77" s="32"/>
      <c r="G77" s="32"/>
      <c r="H77" s="33">
        <f>SUM(H6:H76)</f>
        <v>5709846.7300000004</v>
      </c>
      <c r="I77" s="33"/>
      <c r="J77" s="31"/>
      <c r="K77" s="34"/>
      <c r="L77" s="32"/>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row>
    <row r="78" spans="1:226" s="41" customFormat="1" x14ac:dyDescent="0.2">
      <c r="A78" s="32"/>
      <c r="B78" s="49"/>
      <c r="C78" s="32"/>
      <c r="D78" s="32"/>
      <c r="E78" s="32"/>
      <c r="F78" s="32"/>
      <c r="G78" s="35" t="s">
        <v>29</v>
      </c>
      <c r="H78" s="36"/>
      <c r="I78" s="32"/>
      <c r="J78" s="35"/>
      <c r="K78" s="37"/>
      <c r="L78" s="35"/>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row>
    <row r="79" spans="1:226" s="41" customFormat="1" x14ac:dyDescent="0.2">
      <c r="A79" s="23"/>
      <c r="B79" s="19"/>
      <c r="C79" s="20"/>
      <c r="D79" s="20"/>
      <c r="E79" s="20"/>
      <c r="F79" s="20"/>
      <c r="G79" s="20"/>
      <c r="H79" s="39"/>
      <c r="I79" s="39"/>
      <c r="J79" s="40"/>
      <c r="K79" s="29"/>
      <c r="L79" s="38"/>
    </row>
    <row r="80" spans="1:226" s="41" customFormat="1" x14ac:dyDescent="0.2">
      <c r="A80" s="23"/>
      <c r="B80" s="51"/>
      <c r="C80" s="20"/>
      <c r="D80" s="20"/>
      <c r="E80" s="20"/>
      <c r="F80" s="20"/>
      <c r="G80" s="20"/>
      <c r="H80" s="43"/>
      <c r="I80" s="43"/>
      <c r="J80" s="40"/>
      <c r="K80" s="29"/>
      <c r="L80" s="38"/>
    </row>
    <row r="82" spans="1:252" s="41" customFormat="1" x14ac:dyDescent="0.2">
      <c r="A82" s="32"/>
      <c r="B82" s="60"/>
      <c r="C82" s="32"/>
      <c r="D82" s="32"/>
      <c r="E82" s="32"/>
      <c r="F82" s="32"/>
      <c r="G82" s="35"/>
      <c r="H82" s="35"/>
      <c r="I82" s="35"/>
      <c r="J82" s="35"/>
      <c r="K82" s="50"/>
      <c r="L82" s="35"/>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row>
    <row r="83" spans="1:252" s="41" customFormat="1" x14ac:dyDescent="0.2">
      <c r="A83" s="20"/>
      <c r="B83" s="51"/>
      <c r="C83" s="20"/>
      <c r="D83" s="20"/>
      <c r="E83" s="20"/>
      <c r="F83" s="20"/>
      <c r="G83" s="20"/>
      <c r="H83" s="20"/>
      <c r="I83" s="20"/>
      <c r="J83" s="20"/>
      <c r="K83" s="52"/>
      <c r="L83" s="20"/>
    </row>
    <row r="84" spans="1:252" s="41" customFormat="1" x14ac:dyDescent="0.2">
      <c r="A84" s="53"/>
      <c r="B84" s="61" t="s">
        <v>154</v>
      </c>
      <c r="C84" s="46"/>
      <c r="D84" s="46"/>
      <c r="E84" s="46"/>
      <c r="F84" s="46"/>
      <c r="G84" s="53"/>
      <c r="H84" s="53"/>
      <c r="I84" s="53"/>
      <c r="J84" s="46"/>
      <c r="K84" s="54"/>
      <c r="L84" s="53"/>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row>
    <row r="88" spans="1:252" s="41" customFormat="1" x14ac:dyDescent="0.2">
      <c r="A88" s="23" t="s">
        <v>34</v>
      </c>
      <c r="B88" s="27" t="s">
        <v>35</v>
      </c>
      <c r="C88" s="20"/>
      <c r="D88" s="20"/>
      <c r="E88" s="20"/>
      <c r="F88" s="20"/>
      <c r="G88" s="20"/>
      <c r="H88" s="44" t="e">
        <f>#REF!*0.1%</f>
        <v>#REF!</v>
      </c>
      <c r="I88" s="44" t="e">
        <f>SUM(H88:H88)</f>
        <v>#REF!</v>
      </c>
      <c r="J88" s="40"/>
      <c r="K88" s="29"/>
      <c r="L88" s="38"/>
    </row>
    <row r="89" spans="1:252" s="41" customFormat="1" x14ac:dyDescent="0.2">
      <c r="A89" s="23" t="s">
        <v>36</v>
      </c>
      <c r="B89" s="27" t="s">
        <v>37</v>
      </c>
      <c r="C89" s="45"/>
      <c r="D89" s="45"/>
      <c r="E89" s="45"/>
      <c r="F89" s="46"/>
      <c r="G89" s="20"/>
      <c r="H89" s="39" t="e">
        <f>#REF!*10.05%</f>
        <v>#REF!</v>
      </c>
      <c r="I89" s="45" t="e">
        <f>H89+#REF!</f>
        <v>#REF!</v>
      </c>
      <c r="J89" s="40"/>
      <c r="K89" s="29"/>
      <c r="L89" s="20"/>
    </row>
    <row r="90" spans="1:252" s="41" customFormat="1" x14ac:dyDescent="0.2">
      <c r="A90" s="20"/>
      <c r="B90" s="19"/>
      <c r="C90" s="45"/>
      <c r="D90" s="45"/>
      <c r="E90" s="45"/>
      <c r="F90" s="46"/>
      <c r="G90" s="20"/>
      <c r="H90" s="39"/>
      <c r="I90" s="45"/>
      <c r="J90" s="20"/>
      <c r="K90" s="27"/>
      <c r="L90" s="20"/>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c r="CV90" s="27"/>
      <c r="CW90" s="27"/>
      <c r="CX90" s="27"/>
      <c r="CY90" s="27"/>
      <c r="CZ90" s="27"/>
      <c r="DA90" s="27"/>
      <c r="DB90" s="27"/>
      <c r="DC90" s="27"/>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c r="EF90" s="27"/>
      <c r="EG90" s="27"/>
      <c r="EH90" s="27"/>
      <c r="EI90" s="27"/>
      <c r="EJ90" s="27"/>
      <c r="EK90" s="27"/>
      <c r="EL90" s="27"/>
      <c r="EM90" s="27"/>
      <c r="EN90" s="27"/>
      <c r="EO90" s="27"/>
      <c r="EP90" s="27"/>
      <c r="EQ90" s="27"/>
      <c r="ER90" s="27"/>
      <c r="ES90" s="27"/>
      <c r="ET90" s="27"/>
      <c r="EU90" s="27"/>
      <c r="EV90" s="27"/>
      <c r="EW90" s="27"/>
      <c r="EX90" s="27"/>
      <c r="EY90" s="27"/>
      <c r="EZ90" s="27"/>
      <c r="FA90" s="27"/>
      <c r="FB90" s="27"/>
      <c r="FC90" s="27"/>
      <c r="FD90" s="27"/>
      <c r="FE90" s="27"/>
      <c r="FF90" s="27"/>
      <c r="FG90" s="27"/>
      <c r="FH90" s="27"/>
      <c r="FI90" s="27"/>
      <c r="FJ90" s="27"/>
      <c r="FK90" s="27"/>
      <c r="FL90" s="27"/>
      <c r="FM90" s="27"/>
      <c r="FN90" s="27"/>
      <c r="FO90" s="27"/>
      <c r="FP90" s="27"/>
      <c r="FQ90" s="27"/>
      <c r="FR90" s="27"/>
      <c r="FS90" s="27"/>
      <c r="FT90" s="27"/>
      <c r="FU90" s="27"/>
      <c r="FV90" s="27"/>
      <c r="FW90" s="27"/>
      <c r="FX90" s="27"/>
      <c r="FY90" s="27"/>
      <c r="FZ90" s="27"/>
      <c r="GA90" s="27"/>
      <c r="GB90" s="27"/>
      <c r="GC90" s="27"/>
      <c r="GD90" s="27"/>
      <c r="GE90" s="27"/>
      <c r="GF90" s="27"/>
      <c r="GG90" s="27"/>
      <c r="GH90" s="27"/>
      <c r="GI90" s="27"/>
      <c r="GJ90" s="27"/>
      <c r="GK90" s="27"/>
      <c r="GL90" s="27"/>
      <c r="GM90" s="27"/>
      <c r="GN90" s="27"/>
      <c r="GO90" s="27"/>
      <c r="GP90" s="27"/>
      <c r="GQ90" s="27"/>
      <c r="GR90" s="27"/>
      <c r="GS90" s="27"/>
      <c r="GT90" s="27"/>
      <c r="GU90" s="27"/>
      <c r="GV90" s="27"/>
      <c r="GW90" s="27"/>
      <c r="GX90" s="27"/>
      <c r="GY90" s="27"/>
      <c r="GZ90" s="27"/>
      <c r="HA90" s="27"/>
      <c r="HB90" s="27"/>
      <c r="HC90" s="27"/>
      <c r="HD90" s="27"/>
      <c r="HE90" s="27"/>
      <c r="HF90" s="27"/>
      <c r="HG90" s="27"/>
      <c r="HH90" s="27"/>
      <c r="HI90" s="27"/>
      <c r="HJ90" s="27"/>
      <c r="HK90" s="27"/>
      <c r="HL90" s="27"/>
      <c r="HM90" s="27"/>
      <c r="HN90" s="27"/>
      <c r="HO90" s="27"/>
      <c r="HP90" s="27"/>
      <c r="HQ90" s="27"/>
      <c r="HR90" s="27"/>
      <c r="HS90" s="27"/>
      <c r="HT90" s="27"/>
      <c r="HU90" s="27"/>
      <c r="HV90" s="27"/>
      <c r="HW90" s="27"/>
      <c r="HX90" s="27"/>
      <c r="HY90" s="27"/>
      <c r="HZ90" s="27"/>
      <c r="IA90" s="27"/>
      <c r="IB90" s="27"/>
      <c r="IC90" s="27"/>
      <c r="ID90" s="27"/>
      <c r="IE90" s="27"/>
      <c r="IF90" s="27"/>
      <c r="IG90" s="27"/>
      <c r="IH90" s="27"/>
      <c r="II90" s="27"/>
      <c r="IJ90" s="27"/>
      <c r="IK90" s="27"/>
      <c r="IL90" s="27"/>
      <c r="IM90" s="27"/>
      <c r="IN90" s="27"/>
      <c r="IO90" s="27"/>
      <c r="IP90" s="27"/>
      <c r="IQ90" s="27"/>
      <c r="IR90" s="27"/>
    </row>
    <row r="91" spans="1:252" s="41" customFormat="1" ht="12.75" thickBot="1" x14ac:dyDescent="0.25">
      <c r="A91" s="20"/>
      <c r="B91" s="51" t="s">
        <v>106</v>
      </c>
      <c r="C91" s="45"/>
      <c r="D91" s="45"/>
      <c r="E91" s="45"/>
      <c r="F91" s="46"/>
      <c r="G91" s="20"/>
      <c r="H91" s="47" t="e">
        <f>SUM(H80:H89)</f>
        <v>#REF!</v>
      </c>
      <c r="I91" s="47" t="e">
        <f>SUM(I80:I89)</f>
        <v>#REF!</v>
      </c>
      <c r="J91" s="20"/>
      <c r="K91" s="27"/>
      <c r="L91" s="39"/>
      <c r="M91" s="27"/>
      <c r="N91" s="55"/>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c r="CV91" s="27"/>
      <c r="CW91" s="27"/>
      <c r="CX91" s="27"/>
      <c r="CY91" s="27"/>
      <c r="CZ91" s="27"/>
      <c r="DA91" s="27"/>
      <c r="DB91" s="27"/>
      <c r="DC91" s="27"/>
      <c r="DD91" s="27"/>
      <c r="DE91" s="27"/>
      <c r="DF91" s="27"/>
      <c r="DG91" s="27"/>
      <c r="DH91" s="27"/>
      <c r="DI91" s="27"/>
      <c r="DJ91" s="27"/>
      <c r="DK91" s="27"/>
      <c r="DL91" s="27"/>
      <c r="DM91" s="27"/>
      <c r="DN91" s="27"/>
      <c r="DO91" s="27"/>
      <c r="DP91" s="27"/>
      <c r="DQ91" s="27"/>
      <c r="DR91" s="27"/>
      <c r="DS91" s="27"/>
      <c r="DT91" s="27"/>
      <c r="DU91" s="27"/>
      <c r="DV91" s="27"/>
      <c r="DW91" s="27"/>
      <c r="DX91" s="27"/>
      <c r="DY91" s="27"/>
      <c r="DZ91" s="27"/>
      <c r="EA91" s="27"/>
      <c r="EB91" s="27"/>
      <c r="EC91" s="27"/>
      <c r="ED91" s="27"/>
      <c r="EE91" s="27"/>
      <c r="EF91" s="27"/>
      <c r="EG91" s="27"/>
      <c r="EH91" s="27"/>
      <c r="EI91" s="27"/>
      <c r="EJ91" s="27"/>
      <c r="EK91" s="27"/>
      <c r="EL91" s="27"/>
      <c r="EM91" s="27"/>
      <c r="EN91" s="27"/>
      <c r="EO91" s="27"/>
      <c r="EP91" s="27"/>
      <c r="EQ91" s="27"/>
      <c r="ER91" s="27"/>
      <c r="ES91" s="27"/>
      <c r="ET91" s="27"/>
      <c r="EU91" s="27"/>
      <c r="EV91" s="27"/>
      <c r="EW91" s="27"/>
      <c r="EX91" s="27"/>
      <c r="EY91" s="27"/>
      <c r="EZ91" s="27"/>
      <c r="FA91" s="27"/>
      <c r="FB91" s="27"/>
      <c r="FC91" s="27"/>
      <c r="FD91" s="27"/>
      <c r="FE91" s="27"/>
      <c r="FF91" s="27"/>
      <c r="FG91" s="27"/>
      <c r="FH91" s="27"/>
      <c r="FI91" s="27"/>
      <c r="FJ91" s="27"/>
      <c r="FK91" s="27"/>
      <c r="FL91" s="27"/>
      <c r="FM91" s="27"/>
      <c r="FN91" s="27"/>
      <c r="FO91" s="27"/>
      <c r="FP91" s="27"/>
      <c r="FQ91" s="27"/>
      <c r="FR91" s="27"/>
      <c r="FS91" s="27"/>
      <c r="FT91" s="27"/>
      <c r="FU91" s="27"/>
      <c r="FV91" s="27"/>
      <c r="FW91" s="27"/>
      <c r="FX91" s="27"/>
      <c r="FY91" s="27"/>
      <c r="FZ91" s="27"/>
      <c r="GA91" s="27"/>
      <c r="GB91" s="27"/>
      <c r="GC91" s="27"/>
      <c r="GD91" s="27"/>
      <c r="GE91" s="27"/>
      <c r="GF91" s="27"/>
      <c r="GG91" s="27"/>
      <c r="GH91" s="27"/>
      <c r="GI91" s="27"/>
      <c r="GJ91" s="27"/>
      <c r="GK91" s="27"/>
      <c r="GL91" s="27"/>
      <c r="GM91" s="27"/>
      <c r="GN91" s="27"/>
      <c r="GO91" s="27"/>
      <c r="GP91" s="27"/>
      <c r="GQ91" s="27"/>
      <c r="GR91" s="27"/>
      <c r="GS91" s="27"/>
      <c r="GT91" s="27"/>
      <c r="GU91" s="27"/>
      <c r="GV91" s="27"/>
      <c r="GW91" s="27"/>
      <c r="GX91" s="27"/>
      <c r="GY91" s="27"/>
      <c r="GZ91" s="27"/>
      <c r="HA91" s="27"/>
      <c r="HB91" s="27"/>
      <c r="HC91" s="27"/>
      <c r="HD91" s="27"/>
      <c r="HE91" s="27"/>
      <c r="HF91" s="27"/>
      <c r="HG91" s="27"/>
      <c r="HH91" s="27"/>
      <c r="HI91" s="27"/>
      <c r="HJ91" s="27"/>
      <c r="HK91" s="27"/>
      <c r="HL91" s="27"/>
      <c r="HM91" s="27"/>
      <c r="HN91" s="27"/>
      <c r="HO91" s="27"/>
      <c r="HP91" s="27"/>
      <c r="HQ91" s="27"/>
      <c r="HR91" s="27"/>
      <c r="HS91" s="27"/>
      <c r="HT91" s="27"/>
      <c r="HU91" s="27"/>
      <c r="HV91" s="27"/>
      <c r="HW91" s="27"/>
      <c r="HX91" s="27"/>
      <c r="HY91" s="27"/>
      <c r="HZ91" s="27"/>
      <c r="IA91" s="27"/>
      <c r="IB91" s="27"/>
      <c r="IC91" s="27"/>
      <c r="ID91" s="27"/>
      <c r="IE91" s="27"/>
      <c r="IF91" s="27"/>
      <c r="IG91" s="27"/>
      <c r="IH91" s="27"/>
      <c r="II91" s="27"/>
      <c r="IJ91" s="27"/>
      <c r="IK91" s="27"/>
      <c r="IL91" s="27"/>
      <c r="IM91" s="27"/>
      <c r="IN91" s="27"/>
      <c r="IO91" s="27"/>
      <c r="IP91" s="27"/>
      <c r="IQ91" s="27"/>
      <c r="IR91" s="27"/>
    </row>
  </sheetData>
  <mergeCells count="11">
    <mergeCell ref="A1:I1"/>
    <mergeCell ref="C4:E4"/>
    <mergeCell ref="I4:I5"/>
    <mergeCell ref="J4:J5"/>
    <mergeCell ref="L4:L5"/>
    <mergeCell ref="H4:H5"/>
    <mergeCell ref="A3:I3"/>
    <mergeCell ref="A4:A5"/>
    <mergeCell ref="B4:B5"/>
    <mergeCell ref="F4:F5"/>
    <mergeCell ref="G4:G5"/>
  </mergeCells>
  <printOptions gridLines="1"/>
  <pageMargins left="0.70866141732283472" right="0.70866141732283472" top="0.44" bottom="0.74803149606299213" header="0.31496062992125984" footer="0.31496062992125984"/>
  <pageSetup paperSize="9" orientation="portrait" r:id="rId1"/>
  <headerFooter>
    <oddFooter>&amp;Z&amp;F&amp;RPage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IQ78"/>
  <sheetViews>
    <sheetView view="pageBreakPreview" zoomScale="110" zoomScaleSheetLayoutView="110" workbookViewId="0">
      <selection activeCell="F8" sqref="F8"/>
    </sheetView>
  </sheetViews>
  <sheetFormatPr defaultRowHeight="12" x14ac:dyDescent="0.25"/>
  <cols>
    <col min="1" max="1" width="5.28515625" style="23" customWidth="1"/>
    <col min="2" max="2" width="19.42578125" style="27" customWidth="1"/>
    <col min="3" max="3" width="5.140625" style="23" bestFit="1" customWidth="1"/>
    <col min="4" max="4" width="6.85546875" style="23" bestFit="1" customWidth="1"/>
    <col min="5" max="5" width="10.7109375" style="23" bestFit="1" customWidth="1"/>
    <col min="6" max="6" width="11.28515625" style="23" customWidth="1"/>
    <col min="7" max="7" width="6.140625" style="23" bestFit="1" customWidth="1"/>
    <col min="8" max="8" width="9.42578125" style="23" bestFit="1" customWidth="1"/>
    <col min="9" max="9" width="12.42578125" style="23" customWidth="1"/>
    <col min="10" max="10" width="13.140625" style="29" customWidth="1"/>
    <col min="11" max="11" width="10.7109375" style="23" bestFit="1" customWidth="1"/>
    <col min="12" max="12" width="9.28515625" style="29" bestFit="1" customWidth="1"/>
    <col min="13" max="16384" width="9.140625" style="29"/>
  </cols>
  <sheetData>
    <row r="1" spans="1:12" x14ac:dyDescent="0.25">
      <c r="A1" s="432" t="s">
        <v>16</v>
      </c>
      <c r="B1" s="432"/>
      <c r="C1" s="46"/>
      <c r="D1" s="46"/>
      <c r="E1" s="46"/>
      <c r="F1" s="46"/>
      <c r="H1" s="46"/>
      <c r="I1" s="42" t="s">
        <v>27</v>
      </c>
      <c r="J1" s="62"/>
      <c r="K1" s="46"/>
    </row>
    <row r="2" spans="1:12" x14ac:dyDescent="0.25">
      <c r="A2" s="432" t="s">
        <v>17</v>
      </c>
      <c r="B2" s="432"/>
      <c r="C2" s="46"/>
      <c r="D2" s="46"/>
      <c r="E2" s="46"/>
      <c r="F2" s="46"/>
      <c r="G2" s="46"/>
      <c r="H2" s="46"/>
      <c r="I2" s="62"/>
      <c r="J2" s="62"/>
      <c r="K2" s="46"/>
    </row>
    <row r="3" spans="1:12" s="38" customFormat="1" x14ac:dyDescent="0.25">
      <c r="A3" s="61" t="s">
        <v>105</v>
      </c>
      <c r="B3" s="19"/>
      <c r="C3" s="20"/>
      <c r="D3" s="20"/>
      <c r="E3" s="20"/>
      <c r="F3" s="20"/>
      <c r="G3" s="20"/>
      <c r="H3" s="20"/>
      <c r="I3" s="53"/>
      <c r="K3" s="20"/>
    </row>
    <row r="4" spans="1:12" x14ac:dyDescent="0.25">
      <c r="A4" s="429" t="s">
        <v>18</v>
      </c>
      <c r="B4" s="429"/>
      <c r="C4" s="429"/>
      <c r="D4" s="429"/>
      <c r="E4" s="429"/>
      <c r="F4" s="429"/>
      <c r="G4" s="429"/>
      <c r="H4" s="429"/>
      <c r="I4" s="429"/>
      <c r="J4" s="62"/>
      <c r="K4" s="29"/>
    </row>
    <row r="5" spans="1:12" ht="28.5" customHeight="1" x14ac:dyDescent="0.25">
      <c r="A5" s="430" t="s">
        <v>109</v>
      </c>
      <c r="B5" s="430"/>
      <c r="C5" s="430"/>
      <c r="D5" s="430"/>
      <c r="E5" s="430"/>
      <c r="F5" s="430"/>
      <c r="G5" s="430"/>
      <c r="H5" s="430"/>
      <c r="I5" s="430"/>
      <c r="J5" s="38"/>
      <c r="K5" s="29"/>
    </row>
    <row r="6" spans="1:12" x14ac:dyDescent="0.25">
      <c r="A6" s="429" t="s">
        <v>19</v>
      </c>
      <c r="B6" s="431" t="s">
        <v>20</v>
      </c>
      <c r="C6" s="429" t="s">
        <v>21</v>
      </c>
      <c r="D6" s="429" t="s">
        <v>0</v>
      </c>
      <c r="E6" s="429" t="s">
        <v>22</v>
      </c>
      <c r="F6" s="429" t="s">
        <v>23</v>
      </c>
      <c r="G6" s="429"/>
      <c r="H6" s="429" t="s">
        <v>23</v>
      </c>
      <c r="I6" s="429" t="s">
        <v>24</v>
      </c>
      <c r="J6" s="46"/>
      <c r="K6" s="429"/>
    </row>
    <row r="7" spans="1:12" x14ac:dyDescent="0.25">
      <c r="A7" s="429"/>
      <c r="B7" s="431"/>
      <c r="C7" s="429"/>
      <c r="D7" s="429"/>
      <c r="E7" s="429"/>
      <c r="F7" s="46" t="s">
        <v>25</v>
      </c>
      <c r="G7" s="46" t="s">
        <v>26</v>
      </c>
      <c r="H7" s="429"/>
      <c r="I7" s="429"/>
      <c r="J7" s="46"/>
      <c r="K7" s="429"/>
    </row>
    <row r="8" spans="1:12" ht="48" x14ac:dyDescent="0.25">
      <c r="A8" s="23">
        <v>1</v>
      </c>
      <c r="B8" s="19" t="s">
        <v>39</v>
      </c>
      <c r="C8" s="23">
        <v>1</v>
      </c>
      <c r="D8" s="23" t="s">
        <v>1</v>
      </c>
      <c r="E8" s="23">
        <v>159987</v>
      </c>
      <c r="F8" s="23">
        <f>E8*C8</f>
        <v>159987</v>
      </c>
      <c r="G8" s="23">
        <v>0</v>
      </c>
      <c r="H8" s="23">
        <f>SUM(F8:G8)</f>
        <v>159987</v>
      </c>
      <c r="I8" s="20" t="s">
        <v>100</v>
      </c>
    </row>
    <row r="9" spans="1:12" ht="36" x14ac:dyDescent="0.25">
      <c r="A9" s="23">
        <v>2</v>
      </c>
      <c r="B9" s="19" t="s">
        <v>129</v>
      </c>
      <c r="C9" s="23">
        <v>7</v>
      </c>
      <c r="D9" s="23" t="s">
        <v>1</v>
      </c>
      <c r="E9" s="23">
        <v>7200</v>
      </c>
      <c r="F9" s="23">
        <f t="shared" ref="F9:F60" si="0">E9*C9</f>
        <v>50400</v>
      </c>
      <c r="G9" s="23">
        <v>0</v>
      </c>
      <c r="H9" s="23">
        <f t="shared" ref="H9:H60" si="1">SUM(F9:G9)</f>
        <v>50400</v>
      </c>
      <c r="I9" s="23" t="s">
        <v>88</v>
      </c>
    </row>
    <row r="10" spans="1:12" ht="72" x14ac:dyDescent="0.25">
      <c r="A10" s="23">
        <v>3</v>
      </c>
      <c r="B10" s="19" t="s">
        <v>130</v>
      </c>
      <c r="C10" s="23">
        <v>6</v>
      </c>
      <c r="D10" s="23" t="s">
        <v>1</v>
      </c>
      <c r="E10" s="23">
        <v>69390</v>
      </c>
      <c r="F10" s="23">
        <f t="shared" si="0"/>
        <v>416340</v>
      </c>
      <c r="G10" s="23">
        <v>0</v>
      </c>
      <c r="H10" s="23">
        <f t="shared" si="1"/>
        <v>416340</v>
      </c>
      <c r="I10" s="20" t="s">
        <v>89</v>
      </c>
    </row>
    <row r="11" spans="1:12" ht="60" x14ac:dyDescent="0.25">
      <c r="A11" s="23">
        <v>4</v>
      </c>
      <c r="B11" s="19" t="s">
        <v>111</v>
      </c>
      <c r="C11" s="23">
        <v>3</v>
      </c>
      <c r="D11" s="23" t="s">
        <v>1</v>
      </c>
      <c r="E11" s="23">
        <v>83200</v>
      </c>
      <c r="F11" s="23">
        <f t="shared" si="0"/>
        <v>249600</v>
      </c>
      <c r="G11" s="23">
        <v>0</v>
      </c>
      <c r="H11" s="23">
        <f t="shared" si="1"/>
        <v>249600</v>
      </c>
      <c r="I11" s="20" t="s">
        <v>47</v>
      </c>
      <c r="J11" s="38" t="s">
        <v>48</v>
      </c>
    </row>
    <row r="12" spans="1:12" ht="36" x14ac:dyDescent="0.25">
      <c r="A12" s="23">
        <v>5</v>
      </c>
      <c r="B12" s="19" t="s">
        <v>110</v>
      </c>
      <c r="C12" s="23">
        <f>25*305</f>
        <v>7625</v>
      </c>
      <c r="D12" s="23" t="s">
        <v>41</v>
      </c>
      <c r="E12" s="23">
        <v>37</v>
      </c>
      <c r="F12" s="23">
        <f t="shared" si="0"/>
        <v>282125</v>
      </c>
      <c r="G12" s="23">
        <v>0</v>
      </c>
      <c r="H12" s="23">
        <f t="shared" si="1"/>
        <v>282125</v>
      </c>
      <c r="I12" s="20" t="s">
        <v>40</v>
      </c>
    </row>
    <row r="13" spans="1:12" ht="84" x14ac:dyDescent="0.25">
      <c r="A13" s="23">
        <v>6</v>
      </c>
      <c r="B13" s="19" t="s">
        <v>42</v>
      </c>
      <c r="C13" s="23">
        <v>1</v>
      </c>
      <c r="D13" s="23" t="s">
        <v>1</v>
      </c>
      <c r="E13" s="23">
        <v>18000</v>
      </c>
      <c r="F13" s="23">
        <f t="shared" si="0"/>
        <v>18000</v>
      </c>
      <c r="G13" s="23">
        <v>0</v>
      </c>
      <c r="H13" s="23">
        <f t="shared" si="1"/>
        <v>18000</v>
      </c>
      <c r="I13" s="20" t="s">
        <v>43</v>
      </c>
    </row>
    <row r="14" spans="1:12" s="27" customFormat="1" ht="36" x14ac:dyDescent="0.25">
      <c r="A14" s="23">
        <v>7</v>
      </c>
      <c r="B14" s="19" t="s">
        <v>44</v>
      </c>
      <c r="C14" s="20">
        <v>600</v>
      </c>
      <c r="D14" s="20" t="s">
        <v>45</v>
      </c>
      <c r="E14" s="26">
        <v>41.3</v>
      </c>
      <c r="F14" s="23">
        <f t="shared" si="0"/>
        <v>24780</v>
      </c>
      <c r="G14" s="23">
        <v>0</v>
      </c>
      <c r="H14" s="23">
        <f t="shared" si="1"/>
        <v>24780</v>
      </c>
      <c r="I14" s="20" t="s">
        <v>46</v>
      </c>
      <c r="J14" s="20"/>
      <c r="K14" s="20"/>
      <c r="L14" s="20">
        <v>400</v>
      </c>
    </row>
    <row r="15" spans="1:12" s="27" customFormat="1" ht="48" x14ac:dyDescent="0.2">
      <c r="A15" s="23">
        <v>8</v>
      </c>
      <c r="B15" s="19" t="s">
        <v>91</v>
      </c>
      <c r="C15" s="20">
        <v>4</v>
      </c>
      <c r="D15" s="20" t="s">
        <v>1</v>
      </c>
      <c r="E15" s="21">
        <v>9266</v>
      </c>
      <c r="F15" s="23">
        <f t="shared" si="0"/>
        <v>37064</v>
      </c>
      <c r="G15" s="23">
        <v>0</v>
      </c>
      <c r="H15" s="23">
        <f t="shared" si="1"/>
        <v>37064</v>
      </c>
      <c r="I15" s="20" t="s">
        <v>92</v>
      </c>
      <c r="K15" s="67"/>
      <c r="L15" s="20"/>
    </row>
    <row r="16" spans="1:12" ht="72" x14ac:dyDescent="0.25">
      <c r="A16" s="23">
        <v>9</v>
      </c>
      <c r="B16" s="19" t="s">
        <v>3</v>
      </c>
      <c r="C16" s="20">
        <v>2</v>
      </c>
      <c r="D16" s="23" t="s">
        <v>1</v>
      </c>
      <c r="E16" s="20">
        <v>32300</v>
      </c>
      <c r="F16" s="23">
        <f t="shared" si="0"/>
        <v>64600</v>
      </c>
      <c r="G16" s="23">
        <v>0</v>
      </c>
      <c r="H16" s="23">
        <f t="shared" si="1"/>
        <v>64600</v>
      </c>
      <c r="I16" s="20" t="s">
        <v>56</v>
      </c>
      <c r="K16" s="20"/>
    </row>
    <row r="17" spans="1:12" s="27" customFormat="1" ht="96" x14ac:dyDescent="0.25">
      <c r="A17" s="23">
        <v>10</v>
      </c>
      <c r="B17" s="19" t="s">
        <v>49</v>
      </c>
      <c r="C17" s="23">
        <v>3</v>
      </c>
      <c r="D17" s="20" t="s">
        <v>1</v>
      </c>
      <c r="E17" s="22">
        <v>27022</v>
      </c>
      <c r="F17" s="23">
        <f t="shared" si="0"/>
        <v>81066</v>
      </c>
      <c r="G17" s="23">
        <v>0</v>
      </c>
      <c r="H17" s="23">
        <f t="shared" si="1"/>
        <v>81066</v>
      </c>
      <c r="I17" s="24" t="s">
        <v>50</v>
      </c>
      <c r="J17" s="19" t="s">
        <v>51</v>
      </c>
      <c r="K17" s="23"/>
      <c r="L17" s="20"/>
    </row>
    <row r="18" spans="1:12" s="28" customFormat="1" ht="48" x14ac:dyDescent="0.25">
      <c r="A18" s="23">
        <v>11</v>
      </c>
      <c r="B18" s="19" t="s">
        <v>52</v>
      </c>
      <c r="C18" s="23">
        <v>3</v>
      </c>
      <c r="D18" s="20" t="s">
        <v>1</v>
      </c>
      <c r="E18" s="22">
        <v>11776</v>
      </c>
      <c r="F18" s="23">
        <f t="shared" si="0"/>
        <v>35328</v>
      </c>
      <c r="G18" s="23">
        <v>0</v>
      </c>
      <c r="H18" s="23">
        <f t="shared" si="1"/>
        <v>35328</v>
      </c>
      <c r="I18" s="20" t="s">
        <v>53</v>
      </c>
      <c r="K18" s="25"/>
      <c r="L18" s="20"/>
    </row>
    <row r="19" spans="1:12" s="28" customFormat="1" ht="60" x14ac:dyDescent="0.25">
      <c r="A19" s="23">
        <v>12</v>
      </c>
      <c r="B19" s="19" t="s">
        <v>54</v>
      </c>
      <c r="C19" s="23">
        <v>3</v>
      </c>
      <c r="D19" s="20" t="s">
        <v>1</v>
      </c>
      <c r="E19" s="22">
        <v>1770</v>
      </c>
      <c r="F19" s="23">
        <f t="shared" si="0"/>
        <v>5310</v>
      </c>
      <c r="G19" s="23">
        <v>0</v>
      </c>
      <c r="H19" s="23">
        <f t="shared" si="1"/>
        <v>5310</v>
      </c>
      <c r="I19" s="20" t="s">
        <v>55</v>
      </c>
      <c r="K19" s="25"/>
      <c r="L19" s="20"/>
    </row>
    <row r="20" spans="1:12" s="25" customFormat="1" ht="72" x14ac:dyDescent="0.25">
      <c r="A20" s="23">
        <v>13</v>
      </c>
      <c r="B20" s="19" t="s">
        <v>94</v>
      </c>
      <c r="C20" s="23">
        <v>2</v>
      </c>
      <c r="D20" s="23" t="s">
        <v>5</v>
      </c>
      <c r="E20" s="22">
        <v>26485</v>
      </c>
      <c r="F20" s="23">
        <f t="shared" si="0"/>
        <v>52970</v>
      </c>
      <c r="G20" s="23">
        <v>0</v>
      </c>
      <c r="H20" s="23">
        <f t="shared" si="1"/>
        <v>52970</v>
      </c>
      <c r="I20" s="20" t="s">
        <v>93</v>
      </c>
      <c r="J20" s="23"/>
      <c r="K20" s="23"/>
      <c r="L20" s="23"/>
    </row>
    <row r="21" spans="1:12" ht="60" x14ac:dyDescent="0.25">
      <c r="A21" s="23">
        <v>14</v>
      </c>
      <c r="B21" s="19" t="s">
        <v>107</v>
      </c>
      <c r="C21" s="23">
        <v>1</v>
      </c>
      <c r="D21" s="23" t="s">
        <v>1</v>
      </c>
      <c r="E21" s="23">
        <v>168000</v>
      </c>
      <c r="F21" s="23">
        <f t="shared" si="0"/>
        <v>168000</v>
      </c>
      <c r="G21" s="23">
        <v>0</v>
      </c>
      <c r="H21" s="23">
        <f t="shared" si="1"/>
        <v>168000</v>
      </c>
      <c r="I21" s="23" t="s">
        <v>88</v>
      </c>
    </row>
    <row r="22" spans="1:12" ht="96" x14ac:dyDescent="0.25">
      <c r="A22" s="23">
        <v>15</v>
      </c>
      <c r="B22" s="19" t="s">
        <v>86</v>
      </c>
      <c r="C22" s="20">
        <v>15</v>
      </c>
      <c r="D22" s="23" t="s">
        <v>5</v>
      </c>
      <c r="E22" s="22">
        <v>20874.2</v>
      </c>
      <c r="F22" s="23">
        <f t="shared" si="0"/>
        <v>313113</v>
      </c>
      <c r="G22" s="23">
        <v>0</v>
      </c>
      <c r="H22" s="23">
        <f t="shared" si="1"/>
        <v>313113</v>
      </c>
      <c r="I22" s="24" t="s">
        <v>87</v>
      </c>
      <c r="K22" s="29"/>
      <c r="L22" s="23"/>
    </row>
    <row r="23" spans="1:12" ht="60" x14ac:dyDescent="0.25">
      <c r="A23" s="23">
        <v>16</v>
      </c>
      <c r="B23" s="19" t="s">
        <v>7</v>
      </c>
      <c r="C23" s="23">
        <v>1</v>
      </c>
      <c r="D23" s="23" t="s">
        <v>1</v>
      </c>
      <c r="E23" s="23">
        <v>72000</v>
      </c>
      <c r="F23" s="23">
        <f t="shared" si="0"/>
        <v>72000</v>
      </c>
      <c r="G23" s="23">
        <v>0</v>
      </c>
      <c r="H23" s="23">
        <f t="shared" si="1"/>
        <v>72000</v>
      </c>
      <c r="I23" s="20" t="s">
        <v>103</v>
      </c>
    </row>
    <row r="24" spans="1:12" ht="96" x14ac:dyDescent="0.25">
      <c r="A24" s="23">
        <v>17</v>
      </c>
      <c r="B24" s="19" t="s">
        <v>60</v>
      </c>
      <c r="C24" s="23">
        <v>150</v>
      </c>
      <c r="D24" s="23" t="s">
        <v>4</v>
      </c>
      <c r="E24" s="23">
        <v>380</v>
      </c>
      <c r="F24" s="23">
        <f t="shared" si="0"/>
        <v>57000</v>
      </c>
      <c r="G24" s="23">
        <v>0</v>
      </c>
      <c r="H24" s="23">
        <f t="shared" si="1"/>
        <v>57000</v>
      </c>
      <c r="I24" s="24" t="s">
        <v>133</v>
      </c>
      <c r="K24" s="23" t="s">
        <v>132</v>
      </c>
    </row>
    <row r="25" spans="1:12" ht="84" x14ac:dyDescent="0.25">
      <c r="A25" s="23">
        <v>18</v>
      </c>
      <c r="B25" s="19" t="s">
        <v>59</v>
      </c>
      <c r="C25" s="23">
        <v>150</v>
      </c>
      <c r="D25" s="23" t="s">
        <v>4</v>
      </c>
      <c r="E25" s="23">
        <v>85</v>
      </c>
      <c r="F25" s="23">
        <f t="shared" si="0"/>
        <v>12750</v>
      </c>
      <c r="G25" s="23">
        <v>0</v>
      </c>
      <c r="H25" s="23">
        <f t="shared" si="1"/>
        <v>12750</v>
      </c>
      <c r="I25" s="20" t="s">
        <v>57</v>
      </c>
    </row>
    <row r="26" spans="1:12" s="27" customFormat="1" ht="108" x14ac:dyDescent="0.25">
      <c r="A26" s="23">
        <v>19</v>
      </c>
      <c r="B26" s="19" t="s">
        <v>58</v>
      </c>
      <c r="C26" s="20">
        <v>25</v>
      </c>
      <c r="D26" s="20" t="s">
        <v>1</v>
      </c>
      <c r="E26" s="21">
        <v>300</v>
      </c>
      <c r="F26" s="23">
        <f t="shared" si="0"/>
        <v>7500</v>
      </c>
      <c r="G26" s="23">
        <v>0</v>
      </c>
      <c r="H26" s="23">
        <f t="shared" si="1"/>
        <v>7500</v>
      </c>
      <c r="I26" s="20" t="s">
        <v>61</v>
      </c>
      <c r="J26" s="30" t="s">
        <v>62</v>
      </c>
      <c r="K26" s="23"/>
      <c r="L26" s="20"/>
    </row>
    <row r="27" spans="1:12" s="27" customFormat="1" ht="120" x14ac:dyDescent="0.25">
      <c r="A27" s="23">
        <v>20</v>
      </c>
      <c r="B27" s="19" t="s">
        <v>63</v>
      </c>
      <c r="C27" s="20">
        <v>150</v>
      </c>
      <c r="D27" s="23" t="s">
        <v>64</v>
      </c>
      <c r="E27" s="22">
        <v>100</v>
      </c>
      <c r="F27" s="23">
        <f t="shared" si="0"/>
        <v>15000</v>
      </c>
      <c r="G27" s="23">
        <v>0</v>
      </c>
      <c r="H27" s="23">
        <f t="shared" si="1"/>
        <v>15000</v>
      </c>
      <c r="I27" s="20" t="s">
        <v>65</v>
      </c>
      <c r="J27" s="30" t="s">
        <v>66</v>
      </c>
      <c r="K27" s="23"/>
      <c r="L27" s="20"/>
    </row>
    <row r="28" spans="1:12" s="27" customFormat="1" ht="96" x14ac:dyDescent="0.25">
      <c r="A28" s="23">
        <v>21</v>
      </c>
      <c r="B28" s="19" t="s">
        <v>67</v>
      </c>
      <c r="C28" s="20">
        <v>100</v>
      </c>
      <c r="D28" s="20" t="s">
        <v>1</v>
      </c>
      <c r="E28" s="21">
        <v>1480</v>
      </c>
      <c r="F28" s="23">
        <f t="shared" si="0"/>
        <v>148000</v>
      </c>
      <c r="G28" s="23">
        <v>0</v>
      </c>
      <c r="H28" s="23">
        <f t="shared" si="1"/>
        <v>148000</v>
      </c>
      <c r="I28" s="20" t="s">
        <v>68</v>
      </c>
      <c r="K28" s="23"/>
      <c r="L28" s="20"/>
    </row>
    <row r="29" spans="1:12" s="27" customFormat="1" ht="72" x14ac:dyDescent="0.25">
      <c r="A29" s="23">
        <v>22</v>
      </c>
      <c r="B29" s="19" t="s">
        <v>69</v>
      </c>
      <c r="C29" s="20">
        <v>150</v>
      </c>
      <c r="D29" s="23" t="s">
        <v>45</v>
      </c>
      <c r="E29" s="22">
        <v>163</v>
      </c>
      <c r="F29" s="23">
        <f t="shared" si="0"/>
        <v>24450</v>
      </c>
      <c r="G29" s="23">
        <v>0</v>
      </c>
      <c r="H29" s="23">
        <f t="shared" si="1"/>
        <v>24450</v>
      </c>
      <c r="I29" s="20" t="s">
        <v>70</v>
      </c>
      <c r="J29" s="30" t="s">
        <v>71</v>
      </c>
      <c r="K29" s="23"/>
      <c r="L29" s="20"/>
    </row>
    <row r="30" spans="1:12" s="27" customFormat="1" ht="84" x14ac:dyDescent="0.25">
      <c r="A30" s="23">
        <v>23</v>
      </c>
      <c r="B30" s="19" t="s">
        <v>72</v>
      </c>
      <c r="C30" s="20">
        <v>400</v>
      </c>
      <c r="D30" s="23" t="s">
        <v>45</v>
      </c>
      <c r="E30" s="22">
        <v>78</v>
      </c>
      <c r="F30" s="23">
        <f t="shared" si="0"/>
        <v>31200</v>
      </c>
      <c r="G30" s="23">
        <v>0</v>
      </c>
      <c r="H30" s="23">
        <f t="shared" si="1"/>
        <v>31200</v>
      </c>
      <c r="I30" s="20" t="s">
        <v>73</v>
      </c>
      <c r="J30" s="19" t="s">
        <v>74</v>
      </c>
      <c r="K30" s="23"/>
      <c r="L30" s="20"/>
    </row>
    <row r="31" spans="1:12" s="27" customFormat="1" ht="48" x14ac:dyDescent="0.25">
      <c r="A31" s="23">
        <v>24</v>
      </c>
      <c r="B31" s="19" t="s">
        <v>75</v>
      </c>
      <c r="C31" s="20">
        <v>250</v>
      </c>
      <c r="D31" s="23" t="s">
        <v>45</v>
      </c>
      <c r="E31" s="22">
        <v>60</v>
      </c>
      <c r="F31" s="23">
        <f t="shared" si="0"/>
        <v>15000</v>
      </c>
      <c r="G31" s="23">
        <v>0</v>
      </c>
      <c r="H31" s="23">
        <f t="shared" si="1"/>
        <v>15000</v>
      </c>
      <c r="I31" s="20" t="s">
        <v>76</v>
      </c>
      <c r="J31" s="19" t="s">
        <v>77</v>
      </c>
      <c r="K31" s="23"/>
      <c r="L31" s="20">
        <v>100</v>
      </c>
    </row>
    <row r="32" spans="1:12" s="20" customFormat="1" ht="48" x14ac:dyDescent="0.25">
      <c r="A32" s="23">
        <v>25</v>
      </c>
      <c r="B32" s="19" t="s">
        <v>82</v>
      </c>
      <c r="C32" s="20">
        <v>800</v>
      </c>
      <c r="D32" s="20" t="s">
        <v>45</v>
      </c>
      <c r="E32" s="20">
        <v>42</v>
      </c>
      <c r="F32" s="23">
        <f t="shared" si="0"/>
        <v>33600</v>
      </c>
      <c r="G32" s="23">
        <v>0</v>
      </c>
      <c r="H32" s="23">
        <f t="shared" si="1"/>
        <v>33600</v>
      </c>
      <c r="I32" s="20" t="s">
        <v>83</v>
      </c>
      <c r="L32" s="20">
        <v>500</v>
      </c>
    </row>
    <row r="33" spans="1:12" s="27" customFormat="1" ht="72" x14ac:dyDescent="0.25">
      <c r="A33" s="23">
        <v>26</v>
      </c>
      <c r="B33" s="19" t="s">
        <v>6</v>
      </c>
      <c r="C33" s="20">
        <v>5</v>
      </c>
      <c r="D33" s="20" t="s">
        <v>1</v>
      </c>
      <c r="E33" s="22">
        <v>80709.64</v>
      </c>
      <c r="F33" s="23">
        <f t="shared" si="0"/>
        <v>403548.2</v>
      </c>
      <c r="G33" s="23">
        <v>0</v>
      </c>
      <c r="H33" s="23">
        <f t="shared" si="1"/>
        <v>403548.2</v>
      </c>
      <c r="I33" s="20" t="s">
        <v>84</v>
      </c>
      <c r="J33" s="19" t="s">
        <v>85</v>
      </c>
      <c r="K33" s="23"/>
      <c r="L33" s="20">
        <v>0</v>
      </c>
    </row>
    <row r="34" spans="1:12" ht="24" x14ac:dyDescent="0.25">
      <c r="A34" s="23">
        <v>27</v>
      </c>
      <c r="B34" s="19" t="s">
        <v>108</v>
      </c>
      <c r="C34" s="23">
        <v>1</v>
      </c>
      <c r="D34" s="23" t="s">
        <v>1</v>
      </c>
      <c r="E34" s="23">
        <v>32000</v>
      </c>
      <c r="F34" s="23">
        <f t="shared" si="0"/>
        <v>32000</v>
      </c>
      <c r="G34" s="23">
        <v>0</v>
      </c>
      <c r="H34" s="23">
        <f t="shared" si="1"/>
        <v>32000</v>
      </c>
      <c r="I34" s="23" t="s">
        <v>88</v>
      </c>
    </row>
    <row r="35" spans="1:12" s="25" customFormat="1" ht="72" x14ac:dyDescent="0.25">
      <c r="A35" s="23">
        <v>28</v>
      </c>
      <c r="B35" s="19" t="s">
        <v>95</v>
      </c>
      <c r="C35" s="23">
        <v>8</v>
      </c>
      <c r="D35" s="23" t="s">
        <v>5</v>
      </c>
      <c r="E35" s="22">
        <v>12117.125</v>
      </c>
      <c r="F35" s="23">
        <f t="shared" si="0"/>
        <v>96937</v>
      </c>
      <c r="G35" s="23">
        <v>0</v>
      </c>
      <c r="H35" s="23">
        <f t="shared" si="1"/>
        <v>96937</v>
      </c>
      <c r="I35" s="20" t="s">
        <v>96</v>
      </c>
      <c r="J35" s="23"/>
      <c r="K35" s="23"/>
      <c r="L35" s="23"/>
    </row>
    <row r="36" spans="1:12" ht="156" x14ac:dyDescent="0.25">
      <c r="A36" s="23">
        <v>29</v>
      </c>
      <c r="B36" s="19" t="s">
        <v>14</v>
      </c>
      <c r="C36" s="23">
        <v>1</v>
      </c>
      <c r="D36" s="20" t="s">
        <v>13</v>
      </c>
      <c r="E36" s="23">
        <v>380000</v>
      </c>
      <c r="F36" s="23">
        <f t="shared" si="0"/>
        <v>380000</v>
      </c>
      <c r="G36" s="23">
        <v>0</v>
      </c>
      <c r="H36" s="23">
        <f t="shared" si="1"/>
        <v>380000</v>
      </c>
      <c r="I36" s="23" t="s">
        <v>88</v>
      </c>
    </row>
    <row r="37" spans="1:12" ht="72" x14ac:dyDescent="0.25">
      <c r="A37" s="23">
        <v>30</v>
      </c>
      <c r="B37" s="19" t="s">
        <v>15</v>
      </c>
      <c r="C37" s="23">
        <v>1</v>
      </c>
      <c r="D37" s="23" t="s">
        <v>1</v>
      </c>
      <c r="E37" s="63">
        <v>110000</v>
      </c>
      <c r="F37" s="23">
        <f t="shared" si="0"/>
        <v>110000</v>
      </c>
      <c r="G37" s="23">
        <v>0</v>
      </c>
      <c r="H37" s="23">
        <f t="shared" si="1"/>
        <v>110000</v>
      </c>
      <c r="I37" s="20" t="s">
        <v>153</v>
      </c>
    </row>
    <row r="38" spans="1:12" ht="60" x14ac:dyDescent="0.25">
      <c r="A38" s="23">
        <v>31</v>
      </c>
      <c r="B38" s="19" t="s">
        <v>101</v>
      </c>
      <c r="C38" s="23">
        <v>2</v>
      </c>
      <c r="D38" s="23" t="s">
        <v>1</v>
      </c>
      <c r="E38" s="23">
        <v>193849.22</v>
      </c>
      <c r="F38" s="23">
        <f t="shared" si="0"/>
        <v>387698.44</v>
      </c>
      <c r="G38" s="23">
        <v>0</v>
      </c>
      <c r="H38" s="23">
        <f t="shared" si="1"/>
        <v>387698.44</v>
      </c>
      <c r="I38" s="20" t="s">
        <v>102</v>
      </c>
    </row>
    <row r="39" spans="1:12" ht="24" x14ac:dyDescent="0.25">
      <c r="A39" s="23">
        <v>32</v>
      </c>
      <c r="B39" s="19" t="s">
        <v>104</v>
      </c>
      <c r="C39" s="23">
        <v>1</v>
      </c>
      <c r="D39" s="23" t="s">
        <v>1</v>
      </c>
      <c r="E39" s="23">
        <v>38000</v>
      </c>
      <c r="F39" s="23">
        <f t="shared" si="0"/>
        <v>38000</v>
      </c>
      <c r="G39" s="23">
        <v>0</v>
      </c>
      <c r="H39" s="23">
        <f t="shared" si="1"/>
        <v>38000</v>
      </c>
      <c r="I39" s="23" t="s">
        <v>88</v>
      </c>
      <c r="J39" s="20" t="s">
        <v>90</v>
      </c>
    </row>
    <row r="40" spans="1:12" s="27" customFormat="1" ht="60" x14ac:dyDescent="0.25">
      <c r="A40" s="23">
        <v>33</v>
      </c>
      <c r="B40" s="19" t="s">
        <v>78</v>
      </c>
      <c r="C40" s="20">
        <v>30</v>
      </c>
      <c r="D40" s="23" t="s">
        <v>79</v>
      </c>
      <c r="E40" s="22">
        <v>5007</v>
      </c>
      <c r="F40" s="23">
        <f t="shared" si="0"/>
        <v>150210</v>
      </c>
      <c r="G40" s="23">
        <v>0</v>
      </c>
      <c r="H40" s="23">
        <f t="shared" si="1"/>
        <v>150210</v>
      </c>
      <c r="I40" s="20" t="s">
        <v>80</v>
      </c>
      <c r="J40" s="19" t="s">
        <v>81</v>
      </c>
      <c r="K40" s="23"/>
      <c r="L40" s="20"/>
    </row>
    <row r="41" spans="1:12" ht="72" x14ac:dyDescent="0.25">
      <c r="A41" s="23">
        <v>34</v>
      </c>
      <c r="B41" s="19" t="s">
        <v>9</v>
      </c>
      <c r="C41" s="20">
        <v>1</v>
      </c>
      <c r="D41" s="23" t="s">
        <v>1</v>
      </c>
      <c r="E41" s="64">
        <v>20100</v>
      </c>
      <c r="F41" s="23">
        <f t="shared" si="0"/>
        <v>20100</v>
      </c>
      <c r="G41" s="23">
        <v>0</v>
      </c>
      <c r="H41" s="23">
        <f t="shared" si="1"/>
        <v>20100</v>
      </c>
      <c r="I41" s="20" t="s">
        <v>97</v>
      </c>
      <c r="K41" s="64"/>
    </row>
    <row r="42" spans="1:12" ht="48" x14ac:dyDescent="0.25">
      <c r="A42" s="23">
        <v>35</v>
      </c>
      <c r="B42" s="19" t="s">
        <v>10</v>
      </c>
      <c r="C42" s="20">
        <v>1</v>
      </c>
      <c r="D42" s="23" t="s">
        <v>11</v>
      </c>
      <c r="E42" s="64">
        <v>130000</v>
      </c>
      <c r="F42" s="23">
        <f t="shared" si="0"/>
        <v>130000</v>
      </c>
      <c r="G42" s="23">
        <v>0</v>
      </c>
      <c r="H42" s="23">
        <f t="shared" si="1"/>
        <v>130000</v>
      </c>
      <c r="I42" s="20" t="s">
        <v>98</v>
      </c>
      <c r="K42" s="64"/>
    </row>
    <row r="43" spans="1:12" ht="24" x14ac:dyDescent="0.25">
      <c r="A43" s="23">
        <v>36</v>
      </c>
      <c r="B43" s="19" t="s">
        <v>12</v>
      </c>
      <c r="C43" s="20">
        <v>1</v>
      </c>
      <c r="D43" s="23" t="s">
        <v>1</v>
      </c>
      <c r="E43" s="64">
        <v>86000</v>
      </c>
      <c r="F43" s="23">
        <f t="shared" si="0"/>
        <v>86000</v>
      </c>
      <c r="G43" s="23">
        <v>0</v>
      </c>
      <c r="H43" s="23">
        <f t="shared" si="1"/>
        <v>86000</v>
      </c>
      <c r="I43" s="20" t="s">
        <v>99</v>
      </c>
      <c r="K43" s="64"/>
    </row>
    <row r="44" spans="1:12" ht="96" x14ac:dyDescent="0.25">
      <c r="A44" s="23">
        <v>37</v>
      </c>
      <c r="B44" s="19" t="s">
        <v>122</v>
      </c>
      <c r="C44" s="20">
        <v>5</v>
      </c>
      <c r="D44" s="23" t="s">
        <v>5</v>
      </c>
      <c r="E44" s="64">
        <v>38500</v>
      </c>
      <c r="F44" s="23">
        <f t="shared" si="0"/>
        <v>192500</v>
      </c>
      <c r="G44" s="23">
        <v>0</v>
      </c>
      <c r="H44" s="23">
        <f t="shared" si="1"/>
        <v>192500</v>
      </c>
      <c r="I44" s="24" t="s">
        <v>134</v>
      </c>
      <c r="K44" s="64"/>
    </row>
    <row r="45" spans="1:12" ht="36" x14ac:dyDescent="0.25">
      <c r="A45" s="23">
        <v>38</v>
      </c>
      <c r="B45" s="38" t="s">
        <v>137</v>
      </c>
      <c r="C45" s="20">
        <v>18</v>
      </c>
      <c r="D45" s="20" t="s">
        <v>125</v>
      </c>
      <c r="E45" s="21">
        <v>250</v>
      </c>
      <c r="F45" s="23">
        <f t="shared" si="0"/>
        <v>4500</v>
      </c>
      <c r="G45" s="23">
        <v>0</v>
      </c>
      <c r="H45" s="23">
        <f t="shared" si="1"/>
        <v>4500</v>
      </c>
      <c r="I45" s="20" t="s">
        <v>136</v>
      </c>
      <c r="K45" s="64"/>
    </row>
    <row r="46" spans="1:12" ht="24" x14ac:dyDescent="0.25">
      <c r="A46" s="23">
        <v>39</v>
      </c>
      <c r="B46" s="19" t="s">
        <v>131</v>
      </c>
      <c r="C46" s="20">
        <v>488</v>
      </c>
      <c r="D46" s="20" t="s">
        <v>5</v>
      </c>
      <c r="E46" s="20">
        <v>10.75</v>
      </c>
      <c r="F46" s="23">
        <f t="shared" si="0"/>
        <v>5246</v>
      </c>
      <c r="G46" s="23">
        <v>0</v>
      </c>
      <c r="H46" s="23">
        <f t="shared" si="1"/>
        <v>5246</v>
      </c>
      <c r="I46" s="20" t="s">
        <v>135</v>
      </c>
    </row>
    <row r="47" spans="1:12" s="65" customFormat="1" ht="48" x14ac:dyDescent="0.25">
      <c r="A47" s="23">
        <v>40</v>
      </c>
      <c r="B47" s="19" t="s">
        <v>127</v>
      </c>
      <c r="C47" s="20">
        <v>2</v>
      </c>
      <c r="D47" s="20" t="s">
        <v>2</v>
      </c>
      <c r="E47" s="20">
        <v>18900</v>
      </c>
      <c r="F47" s="23">
        <f t="shared" si="0"/>
        <v>37800</v>
      </c>
      <c r="G47" s="23">
        <v>0</v>
      </c>
      <c r="H47" s="23">
        <f t="shared" si="1"/>
        <v>37800</v>
      </c>
      <c r="I47" s="20" t="s">
        <v>139</v>
      </c>
      <c r="J47" s="20" t="s">
        <v>138</v>
      </c>
      <c r="K47" s="66"/>
    </row>
    <row r="48" spans="1:12" s="65" customFormat="1" ht="48" x14ac:dyDescent="0.25">
      <c r="A48" s="23">
        <v>41</v>
      </c>
      <c r="B48" s="19" t="s">
        <v>128</v>
      </c>
      <c r="C48" s="20">
        <v>1</v>
      </c>
      <c r="D48" s="20" t="s">
        <v>2</v>
      </c>
      <c r="E48" s="20">
        <v>23000</v>
      </c>
      <c r="F48" s="23">
        <f t="shared" si="0"/>
        <v>23000</v>
      </c>
      <c r="G48" s="23">
        <v>0</v>
      </c>
      <c r="H48" s="23">
        <f t="shared" si="1"/>
        <v>23000</v>
      </c>
      <c r="I48" s="20" t="s">
        <v>140</v>
      </c>
      <c r="K48" s="66"/>
    </row>
    <row r="49" spans="1:225" ht="60" x14ac:dyDescent="0.25">
      <c r="A49" s="23">
        <v>42</v>
      </c>
      <c r="B49" s="19" t="s">
        <v>112</v>
      </c>
      <c r="C49" s="20">
        <v>1</v>
      </c>
      <c r="D49" s="23" t="s">
        <v>1</v>
      </c>
      <c r="E49" s="64">
        <v>96116</v>
      </c>
      <c r="F49" s="23">
        <f t="shared" si="0"/>
        <v>96116</v>
      </c>
      <c r="G49" s="23">
        <v>0</v>
      </c>
      <c r="H49" s="23">
        <f t="shared" si="1"/>
        <v>96116</v>
      </c>
      <c r="I49" s="20" t="s">
        <v>141</v>
      </c>
      <c r="K49" s="64"/>
      <c r="N49" s="68"/>
    </row>
    <row r="50" spans="1:225" ht="60" x14ac:dyDescent="0.25">
      <c r="A50" s="23">
        <v>43</v>
      </c>
      <c r="B50" s="19" t="s">
        <v>113</v>
      </c>
      <c r="C50" s="20">
        <v>1</v>
      </c>
      <c r="D50" s="23" t="s">
        <v>2</v>
      </c>
      <c r="E50" s="64">
        <v>28300</v>
      </c>
      <c r="F50" s="23">
        <f t="shared" si="0"/>
        <v>28300</v>
      </c>
      <c r="G50" s="23">
        <v>0</v>
      </c>
      <c r="H50" s="23">
        <f t="shared" si="1"/>
        <v>28300</v>
      </c>
      <c r="I50" s="20" t="s">
        <v>142</v>
      </c>
      <c r="K50" s="64"/>
    </row>
    <row r="51" spans="1:225" ht="48" x14ac:dyDescent="0.25">
      <c r="A51" s="23">
        <v>44</v>
      </c>
      <c r="B51" s="19" t="s">
        <v>114</v>
      </c>
      <c r="C51" s="20">
        <v>1</v>
      </c>
      <c r="D51" s="23" t="s">
        <v>5</v>
      </c>
      <c r="E51" s="64">
        <v>20000</v>
      </c>
      <c r="F51" s="23">
        <f t="shared" si="0"/>
        <v>20000</v>
      </c>
      <c r="G51" s="23">
        <v>0</v>
      </c>
      <c r="H51" s="23">
        <f t="shared" si="1"/>
        <v>20000</v>
      </c>
      <c r="I51" s="20" t="s">
        <v>143</v>
      </c>
      <c r="K51" s="64"/>
    </row>
    <row r="52" spans="1:225" ht="36" x14ac:dyDescent="0.25">
      <c r="A52" s="23">
        <v>45</v>
      </c>
      <c r="B52" s="19" t="s">
        <v>115</v>
      </c>
      <c r="C52" s="20">
        <v>3</v>
      </c>
      <c r="D52" s="23" t="s">
        <v>5</v>
      </c>
      <c r="E52" s="64">
        <v>3500</v>
      </c>
      <c r="F52" s="23">
        <f t="shared" si="0"/>
        <v>10500</v>
      </c>
      <c r="G52" s="23">
        <v>0</v>
      </c>
      <c r="H52" s="23">
        <f t="shared" si="1"/>
        <v>10500</v>
      </c>
      <c r="I52" s="20" t="s">
        <v>144</v>
      </c>
      <c r="K52" s="64"/>
    </row>
    <row r="53" spans="1:225" ht="36" x14ac:dyDescent="0.25">
      <c r="A53" s="23">
        <v>46</v>
      </c>
      <c r="B53" s="19" t="s">
        <v>116</v>
      </c>
      <c r="C53" s="20">
        <v>6</v>
      </c>
      <c r="D53" s="23" t="s">
        <v>5</v>
      </c>
      <c r="E53" s="64">
        <v>1800</v>
      </c>
      <c r="F53" s="23">
        <f t="shared" si="0"/>
        <v>10800</v>
      </c>
      <c r="G53" s="23">
        <v>0</v>
      </c>
      <c r="H53" s="23">
        <f t="shared" si="1"/>
        <v>10800</v>
      </c>
      <c r="I53" s="20" t="s">
        <v>145</v>
      </c>
      <c r="K53" s="64"/>
    </row>
    <row r="54" spans="1:225" ht="36" x14ac:dyDescent="0.25">
      <c r="A54" s="23">
        <v>47</v>
      </c>
      <c r="B54" s="19" t="s">
        <v>117</v>
      </c>
      <c r="C54" s="20">
        <v>4</v>
      </c>
      <c r="D54" s="20" t="s">
        <v>2</v>
      </c>
      <c r="E54" s="20">
        <v>2396</v>
      </c>
      <c r="F54" s="23">
        <f t="shared" si="0"/>
        <v>9584</v>
      </c>
      <c r="G54" s="23">
        <v>0</v>
      </c>
      <c r="H54" s="23">
        <f t="shared" si="1"/>
        <v>9584</v>
      </c>
      <c r="I54" s="20" t="s">
        <v>146</v>
      </c>
      <c r="K54" s="64"/>
    </row>
    <row r="55" spans="1:225" s="65" customFormat="1" ht="24" x14ac:dyDescent="0.25">
      <c r="A55" s="23">
        <v>48</v>
      </c>
      <c r="B55" s="19" t="s">
        <v>118</v>
      </c>
      <c r="C55" s="20">
        <v>4</v>
      </c>
      <c r="D55" s="20" t="s">
        <v>2</v>
      </c>
      <c r="E55" s="20">
        <v>2500</v>
      </c>
      <c r="F55" s="23">
        <f t="shared" si="0"/>
        <v>10000</v>
      </c>
      <c r="G55" s="23">
        <v>0</v>
      </c>
      <c r="H55" s="23">
        <f t="shared" si="1"/>
        <v>10000</v>
      </c>
      <c r="I55" s="20" t="s">
        <v>147</v>
      </c>
      <c r="K55" s="66"/>
    </row>
    <row r="56" spans="1:225" ht="103.5" customHeight="1" x14ac:dyDescent="0.25">
      <c r="A56" s="23">
        <v>49</v>
      </c>
      <c r="B56" s="19" t="s">
        <v>126</v>
      </c>
      <c r="C56" s="20">
        <v>6</v>
      </c>
      <c r="D56" s="23" t="s">
        <v>5</v>
      </c>
      <c r="E56" s="20">
        <v>31707</v>
      </c>
      <c r="F56" s="23">
        <f t="shared" si="0"/>
        <v>190242</v>
      </c>
      <c r="G56" s="23">
        <v>0</v>
      </c>
      <c r="H56" s="23">
        <f t="shared" si="1"/>
        <v>190242</v>
      </c>
      <c r="I56" s="20" t="s">
        <v>148</v>
      </c>
      <c r="K56" s="64">
        <f>H56/6</f>
        <v>31707</v>
      </c>
    </row>
    <row r="57" spans="1:225" ht="60" x14ac:dyDescent="0.25">
      <c r="A57" s="23">
        <v>50</v>
      </c>
      <c r="B57" s="19" t="s">
        <v>120</v>
      </c>
      <c r="C57" s="20">
        <v>4</v>
      </c>
      <c r="D57" s="20" t="s">
        <v>119</v>
      </c>
      <c r="E57" s="20">
        <v>8914</v>
      </c>
      <c r="F57" s="23">
        <f t="shared" si="0"/>
        <v>35656</v>
      </c>
      <c r="G57" s="23">
        <v>0</v>
      </c>
      <c r="H57" s="23">
        <f t="shared" si="1"/>
        <v>35656</v>
      </c>
      <c r="I57" s="20" t="s">
        <v>149</v>
      </c>
    </row>
    <row r="58" spans="1:225" ht="60" x14ac:dyDescent="0.25">
      <c r="A58" s="23">
        <v>51</v>
      </c>
      <c r="B58" s="19" t="s">
        <v>121</v>
      </c>
      <c r="C58" s="20">
        <v>4</v>
      </c>
      <c r="D58" s="20" t="s">
        <v>119</v>
      </c>
      <c r="E58" s="20">
        <v>7680</v>
      </c>
      <c r="F58" s="23">
        <f t="shared" si="0"/>
        <v>30720</v>
      </c>
      <c r="G58" s="23">
        <v>0</v>
      </c>
      <c r="H58" s="23">
        <f t="shared" si="1"/>
        <v>30720</v>
      </c>
      <c r="I58" s="20" t="s">
        <v>150</v>
      </c>
    </row>
    <row r="59" spans="1:225" ht="24" x14ac:dyDescent="0.25">
      <c r="A59" s="23">
        <v>52</v>
      </c>
      <c r="B59" s="19" t="s">
        <v>124</v>
      </c>
      <c r="C59" s="20">
        <v>60</v>
      </c>
      <c r="D59" s="20" t="s">
        <v>125</v>
      </c>
      <c r="E59" s="20">
        <v>210</v>
      </c>
      <c r="F59" s="23">
        <f t="shared" si="0"/>
        <v>12600</v>
      </c>
      <c r="G59" s="23">
        <v>0</v>
      </c>
      <c r="H59" s="23">
        <f t="shared" si="1"/>
        <v>12600</v>
      </c>
      <c r="I59" s="20" t="s">
        <v>151</v>
      </c>
    </row>
    <row r="60" spans="1:225" ht="36" x14ac:dyDescent="0.25">
      <c r="A60" s="23">
        <v>53</v>
      </c>
      <c r="B60" s="19" t="s">
        <v>123</v>
      </c>
      <c r="C60" s="20">
        <v>200</v>
      </c>
      <c r="D60" s="20" t="s">
        <v>1</v>
      </c>
      <c r="E60" s="20">
        <v>30</v>
      </c>
      <c r="F60" s="23">
        <f t="shared" si="0"/>
        <v>6000</v>
      </c>
      <c r="G60" s="23">
        <v>0</v>
      </c>
      <c r="H60" s="23">
        <f t="shared" si="1"/>
        <v>6000</v>
      </c>
      <c r="I60" s="20" t="s">
        <v>152</v>
      </c>
    </row>
    <row r="61" spans="1:225" x14ac:dyDescent="0.25">
      <c r="B61" s="19"/>
      <c r="C61" s="20"/>
      <c r="D61" s="20"/>
      <c r="E61" s="20"/>
      <c r="F61" s="20"/>
      <c r="G61" s="20"/>
      <c r="H61" s="20"/>
      <c r="I61" s="20"/>
    </row>
    <row r="62" spans="1:225" s="41" customFormat="1" x14ac:dyDescent="0.2">
      <c r="A62" s="31" t="s">
        <v>28</v>
      </c>
      <c r="B62" s="59" t="s">
        <v>38</v>
      </c>
      <c r="C62" s="32"/>
      <c r="D62" s="32"/>
      <c r="E62" s="32"/>
      <c r="F62" s="33">
        <f>SUM(F8:F61)</f>
        <v>4933240.6400000006</v>
      </c>
      <c r="G62" s="33">
        <f t="shared" ref="G62:H62" si="2">SUM(G8:G61)</f>
        <v>0</v>
      </c>
      <c r="H62" s="33">
        <f t="shared" si="2"/>
        <v>4933240.6400000006</v>
      </c>
      <c r="I62" s="31"/>
      <c r="J62" s="34"/>
      <c r="K62" s="32"/>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row>
    <row r="63" spans="1:225" s="41" customFormat="1" x14ac:dyDescent="0.2">
      <c r="A63" s="32"/>
      <c r="B63" s="49"/>
      <c r="C63" s="32"/>
      <c r="D63" s="32"/>
      <c r="E63" s="35" t="s">
        <v>29</v>
      </c>
      <c r="F63" s="36"/>
      <c r="G63" s="32"/>
      <c r="H63" s="32"/>
      <c r="I63" s="35"/>
      <c r="J63" s="37"/>
      <c r="K63" s="35"/>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row>
    <row r="64" spans="1:225" s="41" customFormat="1" x14ac:dyDescent="0.2">
      <c r="A64" s="23" t="s">
        <v>30</v>
      </c>
      <c r="B64" s="19" t="s">
        <v>31</v>
      </c>
      <c r="C64" s="20"/>
      <c r="D64" s="20"/>
      <c r="E64" s="20"/>
      <c r="F64" s="39">
        <f>H62*1%</f>
        <v>49332.406400000007</v>
      </c>
      <c r="G64" s="39">
        <v>0</v>
      </c>
      <c r="H64" s="39">
        <f t="shared" ref="H64" si="3">SUM(F64:G64)</f>
        <v>49332.406400000007</v>
      </c>
      <c r="I64" s="40"/>
      <c r="J64" s="29"/>
      <c r="K64" s="38"/>
    </row>
    <row r="65" spans="1:251" s="41" customFormat="1" x14ac:dyDescent="0.2">
      <c r="A65" s="23"/>
      <c r="B65" s="19"/>
      <c r="C65" s="20"/>
      <c r="D65" s="20"/>
      <c r="E65" s="20"/>
      <c r="F65" s="39"/>
      <c r="G65" s="39"/>
      <c r="H65" s="39"/>
      <c r="I65" s="40"/>
      <c r="J65" s="29"/>
      <c r="K65" s="38"/>
    </row>
    <row r="66" spans="1:251" s="41" customFormat="1" x14ac:dyDescent="0.2">
      <c r="A66" s="23" t="s">
        <v>32</v>
      </c>
      <c r="B66" s="51" t="s">
        <v>33</v>
      </c>
      <c r="C66" s="20"/>
      <c r="D66" s="20"/>
      <c r="E66" s="20"/>
      <c r="F66" s="58">
        <f>SUM(F62:F64)</f>
        <v>4982573.0464000003</v>
      </c>
      <c r="G66" s="58">
        <f t="shared" ref="G66:H66" si="4">SUM(G62:G64)</f>
        <v>0</v>
      </c>
      <c r="H66" s="58">
        <f t="shared" si="4"/>
        <v>4982573.0464000003</v>
      </c>
      <c r="I66" s="40"/>
      <c r="J66" s="29"/>
      <c r="K66" s="57" t="e">
        <f>#REF!</f>
        <v>#REF!</v>
      </c>
      <c r="L66" s="56" t="e">
        <f>K66-H66</f>
        <v>#REF!</v>
      </c>
    </row>
    <row r="67" spans="1:251" s="41" customFormat="1" x14ac:dyDescent="0.2">
      <c r="A67" s="23"/>
      <c r="B67" s="51"/>
      <c r="C67" s="20"/>
      <c r="D67" s="20"/>
      <c r="E67" s="20"/>
      <c r="F67" s="43"/>
      <c r="G67" s="43"/>
      <c r="H67" s="43"/>
      <c r="I67" s="40"/>
      <c r="J67" s="29"/>
      <c r="K67" s="38"/>
      <c r="L67" s="41" t="e">
        <f>L66/60</f>
        <v>#REF!</v>
      </c>
    </row>
    <row r="69" spans="1:251" s="41" customFormat="1" x14ac:dyDescent="0.2">
      <c r="A69" s="32"/>
      <c r="B69" s="60"/>
      <c r="C69" s="32"/>
      <c r="D69" s="32"/>
      <c r="E69" s="35"/>
      <c r="F69" s="35"/>
      <c r="G69" s="35"/>
      <c r="H69" s="35"/>
      <c r="I69" s="35"/>
      <c r="J69" s="50"/>
      <c r="K69" s="35"/>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c r="CO69" s="50"/>
      <c r="CP69" s="50"/>
      <c r="CQ69" s="50"/>
      <c r="CR69" s="50"/>
      <c r="CS69" s="50"/>
      <c r="CT69" s="50"/>
      <c r="CU69" s="50"/>
      <c r="CV69" s="50"/>
      <c r="CW69" s="50"/>
      <c r="CX69" s="50"/>
      <c r="CY69" s="50"/>
      <c r="CZ69" s="50"/>
      <c r="DA69" s="50"/>
      <c r="DB69" s="50"/>
      <c r="DC69" s="50"/>
      <c r="DD69" s="50"/>
      <c r="DE69" s="50"/>
      <c r="DF69" s="50"/>
      <c r="DG69" s="50"/>
      <c r="DH69" s="50"/>
      <c r="DI69" s="50"/>
      <c r="DJ69" s="50"/>
      <c r="DK69" s="50"/>
      <c r="DL69" s="50"/>
      <c r="DM69" s="50"/>
      <c r="DN69" s="50"/>
      <c r="DO69" s="50"/>
      <c r="DP69" s="50"/>
      <c r="DQ69" s="50"/>
      <c r="DR69" s="50"/>
      <c r="DS69" s="50"/>
      <c r="DT69" s="50"/>
      <c r="DU69" s="50"/>
      <c r="DV69" s="50"/>
      <c r="DW69" s="50"/>
      <c r="DX69" s="50"/>
      <c r="DY69" s="50"/>
      <c r="DZ69" s="50"/>
      <c r="EA69" s="50"/>
      <c r="EB69" s="50"/>
      <c r="EC69" s="50"/>
      <c r="ED69" s="50"/>
      <c r="EE69" s="50"/>
      <c r="EF69" s="50"/>
      <c r="EG69" s="50"/>
      <c r="EH69" s="50"/>
      <c r="EI69" s="50"/>
      <c r="EJ69" s="50"/>
      <c r="EK69" s="50"/>
      <c r="EL69" s="50"/>
      <c r="EM69" s="50"/>
      <c r="EN69" s="50"/>
      <c r="EO69" s="50"/>
      <c r="EP69" s="50"/>
      <c r="EQ69" s="50"/>
      <c r="ER69" s="50"/>
      <c r="ES69" s="50"/>
      <c r="ET69" s="50"/>
      <c r="EU69" s="50"/>
      <c r="EV69" s="50"/>
      <c r="EW69" s="50"/>
      <c r="EX69" s="50"/>
      <c r="EY69" s="50"/>
      <c r="EZ69" s="50"/>
      <c r="FA69" s="50"/>
      <c r="FB69" s="50"/>
      <c r="FC69" s="50"/>
      <c r="FD69" s="50"/>
      <c r="FE69" s="50"/>
      <c r="FF69" s="50"/>
      <c r="FG69" s="50"/>
      <c r="FH69" s="50"/>
      <c r="FI69" s="50"/>
      <c r="FJ69" s="50"/>
      <c r="FK69" s="50"/>
      <c r="FL69" s="50"/>
      <c r="FM69" s="50"/>
      <c r="FN69" s="50"/>
      <c r="FO69" s="50"/>
      <c r="FP69" s="50"/>
      <c r="FQ69" s="50"/>
      <c r="FR69" s="50"/>
      <c r="FS69" s="50"/>
      <c r="FT69" s="50"/>
      <c r="FU69" s="50"/>
      <c r="FV69" s="50"/>
      <c r="FW69" s="50"/>
      <c r="FX69" s="50"/>
      <c r="FY69" s="50"/>
      <c r="FZ69" s="50"/>
      <c r="GA69" s="50"/>
      <c r="GB69" s="50"/>
      <c r="GC69" s="50"/>
      <c r="GD69" s="50"/>
      <c r="GE69" s="50"/>
      <c r="GF69" s="50"/>
      <c r="GG69" s="50"/>
      <c r="GH69" s="50"/>
      <c r="GI69" s="50"/>
      <c r="GJ69" s="50"/>
      <c r="GK69" s="50"/>
      <c r="GL69" s="50"/>
      <c r="GM69" s="50"/>
      <c r="GN69" s="50"/>
      <c r="GO69" s="50"/>
      <c r="GP69" s="50"/>
      <c r="GQ69" s="50"/>
      <c r="GR69" s="50"/>
      <c r="GS69" s="50"/>
      <c r="GT69" s="50"/>
      <c r="GU69" s="50"/>
      <c r="GV69" s="50"/>
      <c r="GW69" s="50"/>
      <c r="GX69" s="50"/>
      <c r="GY69" s="50"/>
      <c r="GZ69" s="50"/>
      <c r="HA69" s="50"/>
      <c r="HB69" s="50"/>
      <c r="HC69" s="50"/>
      <c r="HD69" s="50"/>
      <c r="HE69" s="50"/>
      <c r="HF69" s="50"/>
      <c r="HG69" s="50"/>
      <c r="HH69" s="50"/>
      <c r="HI69" s="50"/>
      <c r="HJ69" s="50"/>
      <c r="HK69" s="50"/>
      <c r="HL69" s="50"/>
      <c r="HM69" s="50"/>
      <c r="HN69" s="50"/>
      <c r="HO69" s="50"/>
      <c r="HP69" s="50"/>
      <c r="HQ69" s="50"/>
    </row>
    <row r="70" spans="1:251" s="41" customFormat="1" x14ac:dyDescent="0.2">
      <c r="A70" s="20"/>
      <c r="B70" s="51"/>
      <c r="C70" s="20"/>
      <c r="D70" s="20"/>
      <c r="E70" s="20"/>
      <c r="F70" s="20"/>
      <c r="G70" s="20"/>
      <c r="H70" s="20"/>
      <c r="I70" s="20"/>
      <c r="J70" s="52"/>
      <c r="K70" s="20"/>
    </row>
    <row r="71" spans="1:251" s="41" customFormat="1" x14ac:dyDescent="0.2">
      <c r="A71" s="53"/>
      <c r="B71" s="61" t="s">
        <v>154</v>
      </c>
      <c r="C71" s="46"/>
      <c r="D71" s="46"/>
      <c r="E71" s="53"/>
      <c r="F71" s="53"/>
      <c r="G71" s="53"/>
      <c r="H71" s="53"/>
      <c r="I71" s="46"/>
      <c r="J71" s="54"/>
      <c r="K71" s="53"/>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row>
    <row r="75" spans="1:251" s="41" customFormat="1" x14ac:dyDescent="0.2">
      <c r="A75" s="23" t="s">
        <v>34</v>
      </c>
      <c r="B75" s="27" t="s">
        <v>35</v>
      </c>
      <c r="C75" s="20"/>
      <c r="D75" s="20"/>
      <c r="E75" s="20"/>
      <c r="F75" s="44">
        <f>H66*0.1%</f>
        <v>4982.5730464000007</v>
      </c>
      <c r="G75" s="44">
        <v>0</v>
      </c>
      <c r="H75" s="44">
        <f>SUM(F75:G75)</f>
        <v>4982.5730464000007</v>
      </c>
      <c r="I75" s="40"/>
      <c r="J75" s="29"/>
      <c r="K75" s="38"/>
    </row>
    <row r="76" spans="1:251" s="41" customFormat="1" x14ac:dyDescent="0.2">
      <c r="A76" s="23" t="s">
        <v>36</v>
      </c>
      <c r="B76" s="27" t="s">
        <v>37</v>
      </c>
      <c r="C76" s="45"/>
      <c r="D76" s="46"/>
      <c r="E76" s="20"/>
      <c r="F76" s="39">
        <f>H66*10.05%</f>
        <v>500748.59116320004</v>
      </c>
      <c r="G76" s="39">
        <v>0</v>
      </c>
      <c r="H76" s="45">
        <f>F76+G76</f>
        <v>500748.59116320004</v>
      </c>
      <c r="I76" s="40"/>
      <c r="J76" s="29"/>
      <c r="K76" s="20"/>
    </row>
    <row r="77" spans="1:251" s="41" customFormat="1" x14ac:dyDescent="0.2">
      <c r="A77" s="20"/>
      <c r="B77" s="19"/>
      <c r="C77" s="45"/>
      <c r="D77" s="46"/>
      <c r="E77" s="20"/>
      <c r="F77" s="39"/>
      <c r="G77" s="39"/>
      <c r="H77" s="45"/>
      <c r="I77" s="20"/>
      <c r="J77" s="27"/>
      <c r="K77" s="20"/>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c r="FB77" s="27"/>
      <c r="FC77" s="27"/>
      <c r="FD77" s="27"/>
      <c r="FE77" s="27"/>
      <c r="FF77" s="27"/>
      <c r="FG77" s="27"/>
      <c r="FH77" s="27"/>
      <c r="FI77" s="27"/>
      <c r="FJ77" s="27"/>
      <c r="FK77" s="27"/>
      <c r="FL77" s="27"/>
      <c r="FM77" s="27"/>
      <c r="FN77" s="27"/>
      <c r="FO77" s="27"/>
      <c r="FP77" s="27"/>
      <c r="FQ77" s="27"/>
      <c r="FR77" s="27"/>
      <c r="FS77" s="27"/>
      <c r="FT77" s="27"/>
      <c r="FU77" s="27"/>
      <c r="FV77" s="27"/>
      <c r="FW77" s="27"/>
      <c r="FX77" s="27"/>
      <c r="FY77" s="27"/>
      <c r="FZ77" s="27"/>
      <c r="GA77" s="27"/>
      <c r="GB77" s="27"/>
      <c r="GC77" s="27"/>
      <c r="GD77" s="27"/>
      <c r="GE77" s="27"/>
      <c r="GF77" s="27"/>
      <c r="GG77" s="27"/>
      <c r="GH77" s="27"/>
      <c r="GI77" s="27"/>
      <c r="GJ77" s="27"/>
      <c r="GK77" s="27"/>
      <c r="GL77" s="27"/>
      <c r="GM77" s="27"/>
      <c r="GN77" s="27"/>
      <c r="GO77" s="27"/>
      <c r="GP77" s="27"/>
      <c r="GQ77" s="27"/>
      <c r="GR77" s="27"/>
      <c r="GS77" s="27"/>
      <c r="GT77" s="27"/>
      <c r="GU77" s="27"/>
      <c r="GV77" s="27"/>
      <c r="GW77" s="27"/>
      <c r="GX77" s="27"/>
      <c r="GY77" s="27"/>
      <c r="GZ77" s="27"/>
      <c r="HA77" s="27"/>
      <c r="HB77" s="27"/>
      <c r="HC77" s="27"/>
      <c r="HD77" s="27"/>
      <c r="HE77" s="27"/>
      <c r="HF77" s="27"/>
      <c r="HG77" s="27"/>
      <c r="HH77" s="27"/>
      <c r="HI77" s="27"/>
      <c r="HJ77" s="27"/>
      <c r="HK77" s="27"/>
      <c r="HL77" s="27"/>
      <c r="HM77" s="27"/>
      <c r="HN77" s="27"/>
      <c r="HO77" s="27"/>
      <c r="HP77" s="27"/>
      <c r="HQ77" s="27"/>
      <c r="HR77" s="27"/>
      <c r="HS77" s="27"/>
      <c r="HT77" s="27"/>
      <c r="HU77" s="27"/>
      <c r="HV77" s="27"/>
      <c r="HW77" s="27"/>
      <c r="HX77" s="27"/>
      <c r="HY77" s="27"/>
      <c r="HZ77" s="27"/>
      <c r="IA77" s="27"/>
      <c r="IB77" s="27"/>
      <c r="IC77" s="27"/>
      <c r="ID77" s="27"/>
      <c r="IE77" s="27"/>
      <c r="IF77" s="27"/>
      <c r="IG77" s="27"/>
      <c r="IH77" s="27"/>
      <c r="II77" s="27"/>
      <c r="IJ77" s="27"/>
      <c r="IK77" s="27"/>
      <c r="IL77" s="27"/>
      <c r="IM77" s="27"/>
      <c r="IN77" s="27"/>
      <c r="IO77" s="27"/>
      <c r="IP77" s="27"/>
      <c r="IQ77" s="27"/>
    </row>
    <row r="78" spans="1:251" s="41" customFormat="1" ht="12.75" thickBot="1" x14ac:dyDescent="0.25">
      <c r="A78" s="20"/>
      <c r="B78" s="51" t="s">
        <v>106</v>
      </c>
      <c r="C78" s="45"/>
      <c r="D78" s="46"/>
      <c r="E78" s="20"/>
      <c r="F78" s="47">
        <f>SUM(F66:F76)</f>
        <v>5488304.2106096009</v>
      </c>
      <c r="G78" s="47">
        <f>SUM(G66:G76)</f>
        <v>0</v>
      </c>
      <c r="H78" s="47">
        <f>SUM(H66:H76)</f>
        <v>5488304.2106096009</v>
      </c>
      <c r="I78" s="20"/>
      <c r="J78" s="27"/>
      <c r="K78" s="39" t="e">
        <f>#REF!</f>
        <v>#REF!</v>
      </c>
      <c r="L78" s="27"/>
      <c r="M78" s="55" t="e">
        <f>K78-H78</f>
        <v>#REF!</v>
      </c>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7"/>
      <c r="EX78" s="27"/>
      <c r="EY78" s="27"/>
      <c r="EZ78" s="27"/>
      <c r="FA78" s="27"/>
      <c r="FB78" s="27"/>
      <c r="FC78" s="27"/>
      <c r="FD78" s="27"/>
      <c r="FE78" s="27"/>
      <c r="FF78" s="27"/>
      <c r="FG78" s="27"/>
      <c r="FH78" s="27"/>
      <c r="FI78" s="27"/>
      <c r="FJ78" s="27"/>
      <c r="FK78" s="27"/>
      <c r="FL78" s="27"/>
      <c r="FM78" s="27"/>
      <c r="FN78" s="27"/>
      <c r="FO78" s="27"/>
      <c r="FP78" s="27"/>
      <c r="FQ78" s="27"/>
      <c r="FR78" s="27"/>
      <c r="FS78" s="27"/>
      <c r="FT78" s="27"/>
      <c r="FU78" s="27"/>
      <c r="FV78" s="27"/>
      <c r="FW78" s="27"/>
      <c r="FX78" s="27"/>
      <c r="FY78" s="27"/>
      <c r="FZ78" s="27"/>
      <c r="GA78" s="27"/>
      <c r="GB78" s="27"/>
      <c r="GC78" s="27"/>
      <c r="GD78" s="27"/>
      <c r="GE78" s="27"/>
      <c r="GF78" s="27"/>
      <c r="GG78" s="27"/>
      <c r="GH78" s="27"/>
      <c r="GI78" s="27"/>
      <c r="GJ78" s="27"/>
      <c r="GK78" s="27"/>
      <c r="GL78" s="27"/>
      <c r="GM78" s="27"/>
      <c r="GN78" s="27"/>
      <c r="GO78" s="27"/>
      <c r="GP78" s="27"/>
      <c r="GQ78" s="27"/>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c r="HQ78" s="27"/>
      <c r="HR78" s="27"/>
      <c r="HS78" s="27"/>
      <c r="HT78" s="27"/>
      <c r="HU78" s="27"/>
      <c r="HV78" s="27"/>
      <c r="HW78" s="27"/>
      <c r="HX78" s="27"/>
      <c r="HY78" s="27"/>
      <c r="HZ78" s="27"/>
      <c r="IA78" s="27"/>
      <c r="IB78" s="27"/>
      <c r="IC78" s="27"/>
      <c r="ID78" s="27"/>
      <c r="IE78" s="27"/>
      <c r="IF78" s="27"/>
      <c r="IG78" s="27"/>
      <c r="IH78" s="27"/>
      <c r="II78" s="27"/>
      <c r="IJ78" s="27"/>
      <c r="IK78" s="27"/>
      <c r="IL78" s="27"/>
      <c r="IM78" s="27"/>
      <c r="IN78" s="27"/>
      <c r="IO78" s="27"/>
      <c r="IP78" s="27"/>
      <c r="IQ78" s="27"/>
    </row>
  </sheetData>
  <mergeCells count="13">
    <mergeCell ref="H6:H7"/>
    <mergeCell ref="I6:I7"/>
    <mergeCell ref="K6:K7"/>
    <mergeCell ref="A1:B1"/>
    <mergeCell ref="A2:B2"/>
    <mergeCell ref="A4:I4"/>
    <mergeCell ref="A5:I5"/>
    <mergeCell ref="A6:A7"/>
    <mergeCell ref="B6:B7"/>
    <mergeCell ref="C6:C7"/>
    <mergeCell ref="D6:D7"/>
    <mergeCell ref="E6:E7"/>
    <mergeCell ref="F6:G6"/>
  </mergeCells>
  <phoneticPr fontId="6" type="noConversion"/>
  <printOptions gridLines="1"/>
  <pageMargins left="0.70866141732283472" right="0.70866141732283472" top="0.44" bottom="0.74803149606299213" header="0.31496062992125984" footer="0.31496062992125984"/>
  <pageSetup paperSize="9" orientation="portrait" r:id="rId1"/>
  <headerFooter>
    <oddFooter>&amp;Z&amp;F&amp;RPage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IK226"/>
  <sheetViews>
    <sheetView view="pageBreakPreview" topLeftCell="A84" zoomScaleSheetLayoutView="100" workbookViewId="0">
      <selection activeCell="F89" sqref="F89"/>
    </sheetView>
  </sheetViews>
  <sheetFormatPr defaultRowHeight="12" x14ac:dyDescent="0.2"/>
  <cols>
    <col min="1" max="1" width="5.28515625" style="5" customWidth="1"/>
    <col min="2" max="2" width="23.5703125" style="144" customWidth="1"/>
    <col min="3" max="4" width="6.140625" style="5" customWidth="1"/>
    <col min="5" max="5" width="5.5703125" style="192" bestFit="1" customWidth="1"/>
    <col min="6" max="6" width="6.140625" style="208" customWidth="1"/>
    <col min="7" max="7" width="6.140625" style="5" customWidth="1"/>
    <col min="8" max="8" width="6.140625" style="13" customWidth="1"/>
    <col min="9" max="9" width="9.140625" style="5" customWidth="1"/>
    <col min="10" max="10" width="10" style="5" customWidth="1"/>
    <col min="11" max="11" width="17.28515625" style="8" customWidth="1"/>
    <col min="12" max="13" width="9.140625" style="8"/>
    <col min="14" max="14" width="11.42578125" style="8" bestFit="1" customWidth="1"/>
    <col min="15" max="15" width="11.42578125" style="231" bestFit="1" customWidth="1"/>
    <col min="16" max="16" width="10.42578125" style="8" bestFit="1" customWidth="1"/>
    <col min="17" max="17" width="9.28515625" style="8" bestFit="1" customWidth="1"/>
    <col min="18" max="18" width="11.42578125" style="8" bestFit="1" customWidth="1"/>
    <col min="19" max="16384" width="9.140625" style="8"/>
  </cols>
  <sheetData>
    <row r="1" spans="1:19" s="81" customFormat="1" x14ac:dyDescent="0.2">
      <c r="A1" s="434" t="s">
        <v>155</v>
      </c>
      <c r="B1" s="434"/>
      <c r="C1" s="434"/>
      <c r="D1" s="434"/>
      <c r="E1" s="434"/>
      <c r="F1" s="434"/>
      <c r="G1" s="434"/>
      <c r="H1" s="434"/>
      <c r="I1" s="434"/>
      <c r="J1" s="434"/>
      <c r="O1" s="221"/>
    </row>
    <row r="2" spans="1:19" s="6" customFormat="1" ht="108.75" customHeight="1" x14ac:dyDescent="0.25">
      <c r="A2" s="435" t="s">
        <v>367</v>
      </c>
      <c r="B2" s="435"/>
      <c r="C2" s="435"/>
      <c r="D2" s="435"/>
      <c r="E2" s="435"/>
      <c r="F2" s="435"/>
      <c r="G2" s="435"/>
      <c r="H2" s="435"/>
      <c r="I2" s="435"/>
      <c r="J2" s="435"/>
      <c r="O2" s="222"/>
    </row>
    <row r="3" spans="1:19" s="137" customFormat="1" x14ac:dyDescent="0.25">
      <c r="A3" s="436" t="s">
        <v>19</v>
      </c>
      <c r="B3" s="436" t="s">
        <v>20</v>
      </c>
      <c r="C3" s="13"/>
      <c r="D3" s="13"/>
      <c r="E3" s="190"/>
      <c r="F3" s="205"/>
      <c r="G3" s="13"/>
      <c r="H3" s="437" t="s">
        <v>0</v>
      </c>
      <c r="I3" s="437" t="s">
        <v>22</v>
      </c>
      <c r="J3" s="437" t="s">
        <v>23</v>
      </c>
      <c r="O3" s="223"/>
    </row>
    <row r="4" spans="1:19" s="137" customFormat="1" ht="24" x14ac:dyDescent="0.25">
      <c r="A4" s="436"/>
      <c r="B4" s="436"/>
      <c r="C4" s="13" t="s">
        <v>237</v>
      </c>
      <c r="D4" s="13" t="s">
        <v>238</v>
      </c>
      <c r="E4" s="190" t="s">
        <v>157</v>
      </c>
      <c r="F4" s="205" t="s">
        <v>158</v>
      </c>
      <c r="G4" s="13" t="s">
        <v>239</v>
      </c>
      <c r="H4" s="437"/>
      <c r="I4" s="437"/>
      <c r="J4" s="437"/>
      <c r="N4" s="13" t="s">
        <v>237</v>
      </c>
      <c r="O4" s="224" t="s">
        <v>238</v>
      </c>
      <c r="P4" s="13" t="s">
        <v>157</v>
      </c>
      <c r="Q4" s="13" t="s">
        <v>158</v>
      </c>
    </row>
    <row r="5" spans="1:19" s="80" customFormat="1" x14ac:dyDescent="0.25">
      <c r="A5" s="12" t="s">
        <v>240</v>
      </c>
      <c r="B5" s="131" t="s">
        <v>244</v>
      </c>
      <c r="C5" s="12"/>
      <c r="D5" s="12"/>
      <c r="E5" s="197"/>
      <c r="F5" s="213"/>
      <c r="G5" s="146"/>
      <c r="H5" s="12"/>
      <c r="I5" s="12"/>
      <c r="J5" s="12"/>
      <c r="O5" s="225"/>
    </row>
    <row r="6" spans="1:19" ht="108" x14ac:dyDescent="0.2">
      <c r="A6" s="5">
        <v>1</v>
      </c>
      <c r="B6" s="129" t="s">
        <v>245</v>
      </c>
      <c r="C6" s="13">
        <v>30</v>
      </c>
      <c r="D6" s="13">
        <v>0</v>
      </c>
      <c r="E6" s="190">
        <v>30</v>
      </c>
      <c r="F6" s="205"/>
      <c r="G6" s="130">
        <f>C6+D6+E6+F6</f>
        <v>60</v>
      </c>
      <c r="H6" s="130" t="s">
        <v>246</v>
      </c>
      <c r="I6" s="130">
        <v>2085.21</v>
      </c>
      <c r="J6" s="130">
        <f t="shared" ref="J6:J8" si="0">G6*I6</f>
        <v>125112.6</v>
      </c>
      <c r="K6" s="136">
        <f>J6</f>
        <v>125112.6</v>
      </c>
      <c r="L6" s="136"/>
      <c r="M6" s="136"/>
      <c r="N6" s="5">
        <f>C6*I6</f>
        <v>62556.3</v>
      </c>
      <c r="O6" s="226">
        <f>D6*I6</f>
        <v>0</v>
      </c>
      <c r="P6" s="5">
        <f>E6*I6</f>
        <v>62556.3</v>
      </c>
      <c r="Q6" s="5">
        <f>F6*I6</f>
        <v>0</v>
      </c>
      <c r="R6" s="136"/>
      <c r="S6" s="136"/>
    </row>
    <row r="7" spans="1:19" s="212" customFormat="1" ht="48" x14ac:dyDescent="0.2">
      <c r="A7" s="205">
        <v>18</v>
      </c>
      <c r="B7" s="206" t="s">
        <v>78</v>
      </c>
      <c r="C7" s="205"/>
      <c r="D7" s="205"/>
      <c r="E7" s="205">
        <v>0</v>
      </c>
      <c r="F7" s="205"/>
      <c r="G7" s="207">
        <f t="shared" ref="G7" si="1">C7+D7+E7+F7</f>
        <v>0</v>
      </c>
      <c r="H7" s="208" t="s">
        <v>79</v>
      </c>
      <c r="I7" s="209">
        <v>5007</v>
      </c>
      <c r="J7" s="207">
        <f t="shared" si="0"/>
        <v>0</v>
      </c>
      <c r="K7" s="210"/>
      <c r="L7" s="210"/>
      <c r="M7" s="210"/>
      <c r="N7" s="208">
        <f t="shared" ref="N7" si="2">C7*I7</f>
        <v>0</v>
      </c>
      <c r="O7" s="226">
        <f t="shared" ref="O7" si="3">D7*I7</f>
        <v>0</v>
      </c>
      <c r="P7" s="208">
        <f t="shared" ref="P7" si="4">E7*I7</f>
        <v>0</v>
      </c>
      <c r="Q7" s="208">
        <f t="shared" ref="Q7" si="5">F7*I7</f>
        <v>0</v>
      </c>
      <c r="R7" s="210"/>
      <c r="S7" s="211"/>
    </row>
    <row r="8" spans="1:19" ht="60" x14ac:dyDescent="0.2">
      <c r="A8" s="5">
        <v>2</v>
      </c>
      <c r="B8" s="129" t="s">
        <v>247</v>
      </c>
      <c r="C8" s="13">
        <v>66</v>
      </c>
      <c r="D8" s="13">
        <v>0</v>
      </c>
      <c r="E8" s="190">
        <v>66</v>
      </c>
      <c r="F8" s="205"/>
      <c r="G8" s="130">
        <f>C8+D8+E8+F8</f>
        <v>132</v>
      </c>
      <c r="H8" s="130" t="s">
        <v>248</v>
      </c>
      <c r="I8" s="130">
        <v>460</v>
      </c>
      <c r="J8" s="130">
        <f t="shared" si="0"/>
        <v>60720</v>
      </c>
      <c r="K8" s="136">
        <f>J8</f>
        <v>60720</v>
      </c>
      <c r="L8" s="136"/>
      <c r="M8" s="136"/>
      <c r="N8" s="5">
        <f t="shared" ref="N8:N72" si="6">C8*I8</f>
        <v>30360</v>
      </c>
      <c r="O8" s="226">
        <f t="shared" ref="O8:O72" si="7">D8*I8</f>
        <v>0</v>
      </c>
      <c r="P8" s="5">
        <f t="shared" ref="P8:P72" si="8">E8*I8</f>
        <v>30360</v>
      </c>
      <c r="Q8" s="5">
        <f t="shared" ref="Q8:Q72" si="9">F8*I8</f>
        <v>0</v>
      </c>
      <c r="R8" s="136"/>
      <c r="S8" s="136"/>
    </row>
    <row r="9" spans="1:19" s="170" customFormat="1" ht="12.75" thickBot="1" x14ac:dyDescent="0.25">
      <c r="A9" s="12"/>
      <c r="B9" s="9" t="s">
        <v>368</v>
      </c>
      <c r="C9" s="78"/>
      <c r="D9" s="78"/>
      <c r="E9" s="198"/>
      <c r="F9" s="214"/>
      <c r="G9" s="146"/>
      <c r="H9" s="134"/>
      <c r="I9" s="12"/>
      <c r="J9" s="164">
        <f>SUM(J6:J8)</f>
        <v>185832.6</v>
      </c>
      <c r="K9" s="135">
        <f>SUM(K6:K8)</f>
        <v>185832.6</v>
      </c>
      <c r="L9" s="135"/>
      <c r="M9" s="135"/>
      <c r="N9" s="168">
        <f t="shared" ref="N9:Q9" si="10">SUM(N6:N8)</f>
        <v>92916.3</v>
      </c>
      <c r="O9" s="227">
        <f t="shared" si="10"/>
        <v>0</v>
      </c>
      <c r="P9" s="168">
        <f t="shared" si="10"/>
        <v>92916.3</v>
      </c>
      <c r="Q9" s="168">
        <f t="shared" si="10"/>
        <v>0</v>
      </c>
      <c r="R9" s="128">
        <f>SUM(N9:Q9)</f>
        <v>185832.6</v>
      </c>
      <c r="S9" s="128">
        <f>J9-R9</f>
        <v>0</v>
      </c>
    </row>
    <row r="10" spans="1:19" s="81" customFormat="1" x14ac:dyDescent="0.2">
      <c r="A10" s="13"/>
      <c r="E10" s="199"/>
      <c r="F10" s="215"/>
      <c r="N10" s="5">
        <f t="shared" si="6"/>
        <v>0</v>
      </c>
      <c r="O10" s="226">
        <f t="shared" si="7"/>
        <v>0</v>
      </c>
      <c r="P10" s="5">
        <f t="shared" si="8"/>
        <v>0</v>
      </c>
      <c r="Q10" s="5">
        <f t="shared" si="9"/>
        <v>0</v>
      </c>
    </row>
    <row r="11" spans="1:19" s="128" customFormat="1" x14ac:dyDescent="0.25">
      <c r="A11" s="12" t="s">
        <v>241</v>
      </c>
      <c r="B11" s="131" t="s">
        <v>252</v>
      </c>
      <c r="C11" s="12"/>
      <c r="D11" s="12"/>
      <c r="E11" s="197"/>
      <c r="F11" s="213"/>
      <c r="G11" s="146"/>
      <c r="H11" s="12"/>
      <c r="I11" s="12"/>
      <c r="J11" s="12"/>
      <c r="K11" s="82"/>
      <c r="L11" s="82"/>
      <c r="M11" s="82"/>
      <c r="N11" s="17">
        <f t="shared" si="6"/>
        <v>0</v>
      </c>
      <c r="O11" s="228">
        <f t="shared" si="7"/>
        <v>0</v>
      </c>
      <c r="P11" s="17">
        <f t="shared" si="8"/>
        <v>0</v>
      </c>
      <c r="Q11" s="17">
        <f t="shared" si="9"/>
        <v>0</v>
      </c>
      <c r="R11" s="82"/>
    </row>
    <row r="12" spans="1:19" s="137" customFormat="1" ht="48" x14ac:dyDescent="0.25">
      <c r="A12" s="5">
        <v>1</v>
      </c>
      <c r="B12" s="6" t="s">
        <v>253</v>
      </c>
      <c r="C12" s="13">
        <v>1</v>
      </c>
      <c r="D12" s="13">
        <v>0</v>
      </c>
      <c r="E12" s="190"/>
      <c r="F12" s="205"/>
      <c r="G12" s="130">
        <f t="shared" ref="G12:G65" si="11">C12+D12+E12+F12</f>
        <v>1</v>
      </c>
      <c r="H12" s="97" t="s">
        <v>5</v>
      </c>
      <c r="I12" s="13">
        <v>104800</v>
      </c>
      <c r="J12" s="130">
        <f>G12*I12</f>
        <v>104800</v>
      </c>
      <c r="K12" s="136"/>
      <c r="L12" s="136"/>
      <c r="M12" s="136"/>
      <c r="N12" s="5">
        <f t="shared" si="6"/>
        <v>104800</v>
      </c>
      <c r="O12" s="226">
        <f t="shared" si="7"/>
        <v>0</v>
      </c>
      <c r="P12" s="5">
        <f t="shared" si="8"/>
        <v>0</v>
      </c>
      <c r="Q12" s="5">
        <f t="shared" si="9"/>
        <v>0</v>
      </c>
      <c r="R12" s="136"/>
    </row>
    <row r="13" spans="1:19" s="144" customFormat="1" ht="84" x14ac:dyDescent="0.25">
      <c r="A13" s="5">
        <f>A12+1</f>
        <v>2</v>
      </c>
      <c r="B13" s="6" t="s">
        <v>254</v>
      </c>
      <c r="C13" s="13">
        <v>2</v>
      </c>
      <c r="D13" s="13">
        <v>0</v>
      </c>
      <c r="E13" s="190"/>
      <c r="F13" s="205"/>
      <c r="G13" s="130">
        <f t="shared" si="11"/>
        <v>2</v>
      </c>
      <c r="H13" s="97" t="s">
        <v>5</v>
      </c>
      <c r="I13" s="11">
        <v>125440</v>
      </c>
      <c r="J13" s="130">
        <f t="shared" ref="J13:J65" si="12">G13*I13</f>
        <v>250880</v>
      </c>
      <c r="K13" s="136"/>
      <c r="L13" s="136"/>
      <c r="M13" s="136"/>
      <c r="N13" s="5">
        <f t="shared" si="6"/>
        <v>250880</v>
      </c>
      <c r="O13" s="226">
        <f t="shared" si="7"/>
        <v>0</v>
      </c>
      <c r="P13" s="5">
        <f t="shared" si="8"/>
        <v>0</v>
      </c>
      <c r="Q13" s="5">
        <f t="shared" si="9"/>
        <v>0</v>
      </c>
      <c r="R13" s="136"/>
    </row>
    <row r="14" spans="1:19" s="144" customFormat="1" ht="120" x14ac:dyDescent="0.25">
      <c r="A14" s="5">
        <f t="shared" ref="A14:A32" si="13">A13+1</f>
        <v>3</v>
      </c>
      <c r="B14" s="6" t="s">
        <v>255</v>
      </c>
      <c r="C14" s="13">
        <v>2</v>
      </c>
      <c r="D14" s="13">
        <v>4</v>
      </c>
      <c r="E14" s="190"/>
      <c r="F14" s="205"/>
      <c r="G14" s="130">
        <f t="shared" si="11"/>
        <v>6</v>
      </c>
      <c r="H14" s="97" t="s">
        <v>5</v>
      </c>
      <c r="I14" s="106">
        <v>87840</v>
      </c>
      <c r="J14" s="130">
        <f t="shared" si="12"/>
        <v>527040</v>
      </c>
      <c r="K14" s="136"/>
      <c r="L14" s="136"/>
      <c r="M14" s="136"/>
      <c r="N14" s="5">
        <f t="shared" si="6"/>
        <v>175680</v>
      </c>
      <c r="O14" s="226">
        <f t="shared" si="7"/>
        <v>351360</v>
      </c>
      <c r="P14" s="5">
        <f t="shared" si="8"/>
        <v>0</v>
      </c>
      <c r="Q14" s="5">
        <f t="shared" si="9"/>
        <v>0</v>
      </c>
      <c r="R14" s="136"/>
    </row>
    <row r="15" spans="1:19" s="144" customFormat="1" ht="36" x14ac:dyDescent="0.25">
      <c r="A15" s="5">
        <f t="shared" si="13"/>
        <v>4</v>
      </c>
      <c r="B15" s="6" t="s">
        <v>256</v>
      </c>
      <c r="C15" s="13">
        <v>1</v>
      </c>
      <c r="D15" s="13">
        <v>0</v>
      </c>
      <c r="E15" s="190"/>
      <c r="F15" s="205"/>
      <c r="G15" s="130">
        <f t="shared" si="11"/>
        <v>1</v>
      </c>
      <c r="H15" s="97" t="s">
        <v>5</v>
      </c>
      <c r="I15" s="106">
        <v>11431.84</v>
      </c>
      <c r="J15" s="130">
        <f t="shared" si="12"/>
        <v>11431.84</v>
      </c>
      <c r="K15" s="136"/>
      <c r="L15" s="136"/>
      <c r="M15" s="136"/>
      <c r="N15" s="5">
        <f t="shared" si="6"/>
        <v>11431.84</v>
      </c>
      <c r="O15" s="226">
        <f t="shared" si="7"/>
        <v>0</v>
      </c>
      <c r="P15" s="5">
        <f t="shared" si="8"/>
        <v>0</v>
      </c>
      <c r="Q15" s="5">
        <f t="shared" si="9"/>
        <v>0</v>
      </c>
      <c r="R15" s="136"/>
    </row>
    <row r="16" spans="1:19" s="144" customFormat="1" ht="48" x14ac:dyDescent="0.25">
      <c r="A16" s="5">
        <f t="shared" si="13"/>
        <v>5</v>
      </c>
      <c r="B16" s="129" t="s">
        <v>257</v>
      </c>
      <c r="C16" s="13">
        <v>13</v>
      </c>
      <c r="D16" s="13">
        <v>0</v>
      </c>
      <c r="E16" s="190"/>
      <c r="F16" s="205"/>
      <c r="G16" s="130">
        <f t="shared" si="11"/>
        <v>13</v>
      </c>
      <c r="H16" s="5" t="s">
        <v>5</v>
      </c>
      <c r="I16" s="106">
        <v>32611.66</v>
      </c>
      <c r="J16" s="130">
        <f t="shared" si="12"/>
        <v>423951.58</v>
      </c>
      <c r="K16" s="136"/>
      <c r="L16" s="136"/>
      <c r="M16" s="136"/>
      <c r="N16" s="5">
        <f t="shared" si="6"/>
        <v>423951.58</v>
      </c>
      <c r="O16" s="226">
        <f t="shared" si="7"/>
        <v>0</v>
      </c>
      <c r="P16" s="5">
        <f t="shared" si="8"/>
        <v>0</v>
      </c>
      <c r="Q16" s="5">
        <f t="shared" si="9"/>
        <v>0</v>
      </c>
      <c r="R16" s="136"/>
    </row>
    <row r="17" spans="1:18" s="144" customFormat="1" ht="24" x14ac:dyDescent="0.25">
      <c r="A17" s="5">
        <f t="shared" si="13"/>
        <v>6</v>
      </c>
      <c r="B17" s="129" t="s">
        <v>258</v>
      </c>
      <c r="C17" s="13">
        <v>13</v>
      </c>
      <c r="D17" s="13">
        <v>0</v>
      </c>
      <c r="E17" s="190"/>
      <c r="F17" s="205"/>
      <c r="G17" s="130">
        <f t="shared" si="11"/>
        <v>13</v>
      </c>
      <c r="H17" s="5" t="s">
        <v>5</v>
      </c>
      <c r="I17" s="106">
        <v>1180</v>
      </c>
      <c r="J17" s="130">
        <f t="shared" si="12"/>
        <v>15340</v>
      </c>
      <c r="K17" s="136"/>
      <c r="L17" s="136"/>
      <c r="M17" s="136"/>
      <c r="N17" s="5">
        <f t="shared" si="6"/>
        <v>15340</v>
      </c>
      <c r="O17" s="226">
        <f t="shared" si="7"/>
        <v>0</v>
      </c>
      <c r="P17" s="5">
        <f t="shared" si="8"/>
        <v>0</v>
      </c>
      <c r="Q17" s="5">
        <f t="shared" si="9"/>
        <v>0</v>
      </c>
      <c r="R17" s="136"/>
    </row>
    <row r="18" spans="1:18" s="144" customFormat="1" ht="72" x14ac:dyDescent="0.25">
      <c r="A18" s="5">
        <f t="shared" si="13"/>
        <v>7</v>
      </c>
      <c r="B18" s="129" t="s">
        <v>259</v>
      </c>
      <c r="C18" s="13">
        <v>2</v>
      </c>
      <c r="D18" s="13">
        <v>1</v>
      </c>
      <c r="E18" s="190"/>
      <c r="F18" s="205"/>
      <c r="G18" s="130">
        <f t="shared" si="11"/>
        <v>3</v>
      </c>
      <c r="H18" s="5" t="s">
        <v>5</v>
      </c>
      <c r="I18" s="106">
        <v>47251.92</v>
      </c>
      <c r="J18" s="130">
        <f t="shared" si="12"/>
        <v>141755.76</v>
      </c>
      <c r="K18" s="136"/>
      <c r="L18" s="136"/>
      <c r="M18" s="136"/>
      <c r="N18" s="5">
        <f t="shared" si="6"/>
        <v>94503.84</v>
      </c>
      <c r="O18" s="22">
        <f t="shared" si="7"/>
        <v>47251.92</v>
      </c>
      <c r="P18" s="5">
        <f t="shared" si="8"/>
        <v>0</v>
      </c>
      <c r="Q18" s="5">
        <f t="shared" si="9"/>
        <v>0</v>
      </c>
      <c r="R18" s="136"/>
    </row>
    <row r="19" spans="1:18" s="144" customFormat="1" ht="72" x14ac:dyDescent="0.25">
      <c r="A19" s="5">
        <f t="shared" si="13"/>
        <v>8</v>
      </c>
      <c r="B19" s="129" t="s">
        <v>260</v>
      </c>
      <c r="C19" s="13">
        <v>1</v>
      </c>
      <c r="D19" s="13">
        <v>0</v>
      </c>
      <c r="E19" s="190"/>
      <c r="F19" s="205"/>
      <c r="G19" s="130">
        <f t="shared" si="11"/>
        <v>1</v>
      </c>
      <c r="H19" s="5" t="s">
        <v>5</v>
      </c>
      <c r="I19" s="106">
        <v>54077.04</v>
      </c>
      <c r="J19" s="130">
        <f t="shared" si="12"/>
        <v>54077.04</v>
      </c>
      <c r="K19" s="136"/>
      <c r="L19" s="136"/>
      <c r="M19" s="136"/>
      <c r="N19" s="5">
        <f t="shared" si="6"/>
        <v>54077.04</v>
      </c>
      <c r="O19" s="226">
        <f t="shared" si="7"/>
        <v>0</v>
      </c>
      <c r="P19" s="5">
        <f t="shared" si="8"/>
        <v>0</v>
      </c>
      <c r="Q19" s="5">
        <f t="shared" si="9"/>
        <v>0</v>
      </c>
      <c r="R19" s="136"/>
    </row>
    <row r="20" spans="1:18" s="147" customFormat="1" ht="108" x14ac:dyDescent="0.25">
      <c r="A20" s="5">
        <f t="shared" si="13"/>
        <v>9</v>
      </c>
      <c r="B20" s="129" t="s">
        <v>261</v>
      </c>
      <c r="C20" s="13">
        <v>1</v>
      </c>
      <c r="D20" s="13">
        <v>0</v>
      </c>
      <c r="E20" s="190"/>
      <c r="F20" s="205"/>
      <c r="G20" s="130">
        <f t="shared" si="11"/>
        <v>1</v>
      </c>
      <c r="H20" s="13" t="s">
        <v>5</v>
      </c>
      <c r="I20" s="97">
        <v>224937.5</v>
      </c>
      <c r="J20" s="130">
        <f t="shared" si="12"/>
        <v>224937.5</v>
      </c>
      <c r="K20" s="136"/>
      <c r="L20" s="136"/>
      <c r="M20" s="136"/>
      <c r="N20" s="5">
        <f t="shared" si="6"/>
        <v>224937.5</v>
      </c>
      <c r="O20" s="226">
        <f t="shared" si="7"/>
        <v>0</v>
      </c>
      <c r="P20" s="5">
        <f t="shared" si="8"/>
        <v>0</v>
      </c>
      <c r="Q20" s="5">
        <f t="shared" si="9"/>
        <v>0</v>
      </c>
      <c r="R20" s="136"/>
    </row>
    <row r="21" spans="1:18" s="144" customFormat="1" ht="96" x14ac:dyDescent="0.25">
      <c r="A21" s="5">
        <f t="shared" si="13"/>
        <v>10</v>
      </c>
      <c r="B21" s="129" t="s">
        <v>262</v>
      </c>
      <c r="C21" s="13">
        <v>14</v>
      </c>
      <c r="D21" s="13">
        <v>0</v>
      </c>
      <c r="E21" s="190"/>
      <c r="F21" s="205"/>
      <c r="G21" s="130">
        <f t="shared" si="11"/>
        <v>14</v>
      </c>
      <c r="H21" s="13" t="s">
        <v>5</v>
      </c>
      <c r="I21" s="97">
        <v>46093.75</v>
      </c>
      <c r="J21" s="130">
        <f t="shared" si="12"/>
        <v>645312.5</v>
      </c>
      <c r="K21" s="136"/>
      <c r="L21" s="136"/>
      <c r="M21" s="136"/>
      <c r="N21" s="5">
        <f t="shared" si="6"/>
        <v>645312.5</v>
      </c>
      <c r="O21" s="226">
        <f t="shared" si="7"/>
        <v>0</v>
      </c>
      <c r="P21" s="5">
        <f t="shared" si="8"/>
        <v>0</v>
      </c>
      <c r="Q21" s="5">
        <f t="shared" si="9"/>
        <v>0</v>
      </c>
      <c r="R21" s="136"/>
    </row>
    <row r="22" spans="1:18" s="144" customFormat="1" ht="96" x14ac:dyDescent="0.25">
      <c r="A22" s="5">
        <f t="shared" si="13"/>
        <v>11</v>
      </c>
      <c r="B22" s="129" t="s">
        <v>263</v>
      </c>
      <c r="C22" s="13">
        <v>1</v>
      </c>
      <c r="D22" s="13">
        <v>0</v>
      </c>
      <c r="E22" s="190"/>
      <c r="F22" s="205"/>
      <c r="G22" s="130">
        <f t="shared" si="11"/>
        <v>1</v>
      </c>
      <c r="H22" s="13" t="s">
        <v>5</v>
      </c>
      <c r="I22" s="97">
        <v>46093.16</v>
      </c>
      <c r="J22" s="130">
        <f t="shared" si="12"/>
        <v>46093.16</v>
      </c>
      <c r="K22" s="136"/>
      <c r="L22" s="136"/>
      <c r="M22" s="136"/>
      <c r="N22" s="5">
        <f t="shared" si="6"/>
        <v>46093.16</v>
      </c>
      <c r="O22" s="226">
        <f t="shared" si="7"/>
        <v>0</v>
      </c>
      <c r="P22" s="5">
        <f t="shared" si="8"/>
        <v>0</v>
      </c>
      <c r="Q22" s="5">
        <f t="shared" si="9"/>
        <v>0</v>
      </c>
      <c r="R22" s="136"/>
    </row>
    <row r="23" spans="1:18" s="147" customFormat="1" ht="24" x14ac:dyDescent="0.25">
      <c r="A23" s="5">
        <f t="shared" si="13"/>
        <v>12</v>
      </c>
      <c r="B23" s="148" t="s">
        <v>264</v>
      </c>
      <c r="C23" s="13">
        <v>2</v>
      </c>
      <c r="D23" s="13">
        <v>0</v>
      </c>
      <c r="E23" s="190"/>
      <c r="F23" s="205"/>
      <c r="G23" s="130">
        <f t="shared" si="11"/>
        <v>2</v>
      </c>
      <c r="H23" s="13" t="s">
        <v>5</v>
      </c>
      <c r="I23" s="97">
        <v>8260</v>
      </c>
      <c r="J23" s="130">
        <f t="shared" si="12"/>
        <v>16520</v>
      </c>
      <c r="K23" s="136"/>
      <c r="L23" s="136"/>
      <c r="M23" s="136"/>
      <c r="N23" s="5">
        <f t="shared" si="6"/>
        <v>16520</v>
      </c>
      <c r="O23" s="226">
        <f t="shared" si="7"/>
        <v>0</v>
      </c>
      <c r="P23" s="5">
        <f t="shared" si="8"/>
        <v>0</v>
      </c>
      <c r="Q23" s="5">
        <f t="shared" si="9"/>
        <v>0</v>
      </c>
      <c r="R23" s="136"/>
    </row>
    <row r="24" spans="1:18" s="147" customFormat="1" ht="24" x14ac:dyDescent="0.25">
      <c r="A24" s="5">
        <f t="shared" si="13"/>
        <v>13</v>
      </c>
      <c r="B24" s="148" t="s">
        <v>265</v>
      </c>
      <c r="C24" s="13">
        <v>2</v>
      </c>
      <c r="D24" s="13">
        <v>0</v>
      </c>
      <c r="E24" s="190"/>
      <c r="F24" s="205"/>
      <c r="G24" s="130">
        <f t="shared" si="11"/>
        <v>2</v>
      </c>
      <c r="H24" s="13" t="s">
        <v>5</v>
      </c>
      <c r="I24" s="97">
        <v>16520</v>
      </c>
      <c r="J24" s="130">
        <f t="shared" si="12"/>
        <v>33040</v>
      </c>
      <c r="K24" s="136"/>
      <c r="L24" s="136"/>
      <c r="M24" s="136"/>
      <c r="N24" s="5">
        <f t="shared" si="6"/>
        <v>33040</v>
      </c>
      <c r="O24" s="226">
        <f t="shared" si="7"/>
        <v>0</v>
      </c>
      <c r="P24" s="5">
        <f t="shared" si="8"/>
        <v>0</v>
      </c>
      <c r="Q24" s="5">
        <f t="shared" si="9"/>
        <v>0</v>
      </c>
      <c r="R24" s="136"/>
    </row>
    <row r="25" spans="1:18" s="144" customFormat="1" ht="132" x14ac:dyDescent="0.25">
      <c r="A25" s="5">
        <f t="shared" si="13"/>
        <v>14</v>
      </c>
      <c r="B25" s="129" t="s">
        <v>266</v>
      </c>
      <c r="C25" s="13">
        <v>1</v>
      </c>
      <c r="D25" s="13">
        <v>0</v>
      </c>
      <c r="E25" s="190"/>
      <c r="F25" s="205"/>
      <c r="G25" s="130">
        <f t="shared" si="11"/>
        <v>1</v>
      </c>
      <c r="H25" s="13" t="s">
        <v>5</v>
      </c>
      <c r="I25" s="97">
        <v>88500</v>
      </c>
      <c r="J25" s="130">
        <f t="shared" si="12"/>
        <v>88500</v>
      </c>
      <c r="K25" s="136"/>
      <c r="L25" s="136"/>
      <c r="M25" s="136"/>
      <c r="N25" s="5">
        <f t="shared" si="6"/>
        <v>88500</v>
      </c>
      <c r="O25" s="226">
        <f t="shared" si="7"/>
        <v>0</v>
      </c>
      <c r="P25" s="5">
        <f t="shared" si="8"/>
        <v>0</v>
      </c>
      <c r="Q25" s="5">
        <f t="shared" si="9"/>
        <v>0</v>
      </c>
      <c r="R25" s="136"/>
    </row>
    <row r="26" spans="1:18" s="144" customFormat="1" ht="84" x14ac:dyDescent="0.25">
      <c r="A26" s="5">
        <f t="shared" si="13"/>
        <v>15</v>
      </c>
      <c r="B26" s="148" t="s">
        <v>267</v>
      </c>
      <c r="C26" s="13">
        <v>3</v>
      </c>
      <c r="D26" s="13">
        <v>0</v>
      </c>
      <c r="E26" s="190"/>
      <c r="F26" s="205"/>
      <c r="G26" s="130">
        <f t="shared" si="11"/>
        <v>3</v>
      </c>
      <c r="H26" s="5" t="s">
        <v>268</v>
      </c>
      <c r="I26" s="106">
        <v>24827.200000000001</v>
      </c>
      <c r="J26" s="130">
        <f t="shared" si="12"/>
        <v>74481.600000000006</v>
      </c>
      <c r="K26" s="136"/>
      <c r="L26" s="136"/>
      <c r="M26" s="136"/>
      <c r="N26" s="5">
        <f t="shared" si="6"/>
        <v>74481.600000000006</v>
      </c>
      <c r="O26" s="226">
        <f t="shared" si="7"/>
        <v>0</v>
      </c>
      <c r="P26" s="5">
        <f t="shared" si="8"/>
        <v>0</v>
      </c>
      <c r="Q26" s="5">
        <f t="shared" si="9"/>
        <v>0</v>
      </c>
      <c r="R26" s="136"/>
    </row>
    <row r="27" spans="1:18" s="144" customFormat="1" ht="60" x14ac:dyDescent="0.25">
      <c r="A27" s="5">
        <v>16</v>
      </c>
      <c r="B27" s="129" t="s">
        <v>269</v>
      </c>
      <c r="C27" s="13">
        <v>1</v>
      </c>
      <c r="D27" s="13">
        <v>1</v>
      </c>
      <c r="E27" s="190"/>
      <c r="F27" s="205"/>
      <c r="G27" s="130">
        <f t="shared" si="11"/>
        <v>2</v>
      </c>
      <c r="H27" s="5" t="s">
        <v>5</v>
      </c>
      <c r="I27" s="106">
        <v>241900</v>
      </c>
      <c r="J27" s="130">
        <f t="shared" si="12"/>
        <v>483800</v>
      </c>
      <c r="K27" s="136"/>
      <c r="L27" s="136"/>
      <c r="M27" s="136"/>
      <c r="N27" s="5">
        <f t="shared" si="6"/>
        <v>241900</v>
      </c>
      <c r="O27" s="226">
        <f t="shared" si="7"/>
        <v>241900</v>
      </c>
      <c r="P27" s="5">
        <f t="shared" si="8"/>
        <v>0</v>
      </c>
      <c r="Q27" s="5">
        <f t="shared" si="9"/>
        <v>0</v>
      </c>
      <c r="R27" s="136"/>
    </row>
    <row r="28" spans="1:18" s="232" customFormat="1" ht="48" x14ac:dyDescent="0.25">
      <c r="A28" s="208">
        <f t="shared" si="13"/>
        <v>17</v>
      </c>
      <c r="B28" s="206" t="s">
        <v>270</v>
      </c>
      <c r="C28" s="205">
        <v>14</v>
      </c>
      <c r="D28" s="205">
        <v>10</v>
      </c>
      <c r="E28" s="205"/>
      <c r="F28" s="205"/>
      <c r="G28" s="207">
        <f t="shared" si="11"/>
        <v>24</v>
      </c>
      <c r="H28" s="208" t="s">
        <v>5</v>
      </c>
      <c r="I28" s="209">
        <v>33187</v>
      </c>
      <c r="J28" s="207">
        <f t="shared" si="12"/>
        <v>796488</v>
      </c>
      <c r="K28" s="210"/>
      <c r="L28" s="210"/>
      <c r="M28" s="210"/>
      <c r="N28" s="208">
        <f t="shared" si="6"/>
        <v>464618</v>
      </c>
      <c r="O28" s="209">
        <f t="shared" si="7"/>
        <v>331870</v>
      </c>
      <c r="P28" s="208">
        <f t="shared" si="8"/>
        <v>0</v>
      </c>
      <c r="Q28" s="208">
        <f t="shared" si="9"/>
        <v>0</v>
      </c>
      <c r="R28" s="210"/>
    </row>
    <row r="29" spans="1:18" s="144" customFormat="1" ht="36" x14ac:dyDescent="0.25">
      <c r="A29" s="5">
        <f t="shared" si="13"/>
        <v>18</v>
      </c>
      <c r="B29" s="6" t="s">
        <v>271</v>
      </c>
      <c r="C29" s="13">
        <v>2</v>
      </c>
      <c r="D29" s="13">
        <v>0</v>
      </c>
      <c r="E29" s="190"/>
      <c r="F29" s="205"/>
      <c r="G29" s="130">
        <f t="shared" si="11"/>
        <v>2</v>
      </c>
      <c r="H29" s="13" t="s">
        <v>5</v>
      </c>
      <c r="I29" s="97">
        <v>194238.62</v>
      </c>
      <c r="J29" s="130">
        <f t="shared" si="12"/>
        <v>388477.24</v>
      </c>
      <c r="K29" s="136"/>
      <c r="L29" s="136"/>
      <c r="M29" s="136"/>
      <c r="N29" s="5">
        <f t="shared" si="6"/>
        <v>388477.24</v>
      </c>
      <c r="O29" s="226">
        <f t="shared" si="7"/>
        <v>0</v>
      </c>
      <c r="P29" s="5">
        <f t="shared" si="8"/>
        <v>0</v>
      </c>
      <c r="Q29" s="5">
        <f t="shared" si="9"/>
        <v>0</v>
      </c>
      <c r="R29" s="136"/>
    </row>
    <row r="30" spans="1:18" s="144" customFormat="1" ht="24" x14ac:dyDescent="0.25">
      <c r="A30" s="5">
        <f t="shared" si="13"/>
        <v>19</v>
      </c>
      <c r="B30" s="147" t="s">
        <v>272</v>
      </c>
      <c r="C30" s="13">
        <v>2</v>
      </c>
      <c r="D30" s="13">
        <v>0</v>
      </c>
      <c r="E30" s="190"/>
      <c r="F30" s="205"/>
      <c r="G30" s="130">
        <f t="shared" si="11"/>
        <v>2</v>
      </c>
      <c r="H30" s="13" t="s">
        <v>5</v>
      </c>
      <c r="I30" s="97">
        <v>5712.4980000000005</v>
      </c>
      <c r="J30" s="130">
        <f t="shared" si="12"/>
        <v>11424.996000000001</v>
      </c>
      <c r="K30" s="136"/>
      <c r="L30" s="136"/>
      <c r="M30" s="136"/>
      <c r="N30" s="5">
        <f t="shared" si="6"/>
        <v>11424.996000000001</v>
      </c>
      <c r="O30" s="226">
        <f t="shared" si="7"/>
        <v>0</v>
      </c>
      <c r="P30" s="5">
        <f t="shared" si="8"/>
        <v>0</v>
      </c>
      <c r="Q30" s="5">
        <f t="shared" si="9"/>
        <v>0</v>
      </c>
      <c r="R30" s="136"/>
    </row>
    <row r="31" spans="1:18" s="147" customFormat="1" ht="24" x14ac:dyDescent="0.25">
      <c r="A31" s="5">
        <f t="shared" si="13"/>
        <v>20</v>
      </c>
      <c r="B31" s="149" t="s">
        <v>273</v>
      </c>
      <c r="C31" s="13">
        <v>1</v>
      </c>
      <c r="D31" s="13">
        <v>0</v>
      </c>
      <c r="E31" s="190"/>
      <c r="F31" s="205"/>
      <c r="G31" s="130">
        <f t="shared" si="11"/>
        <v>1</v>
      </c>
      <c r="H31" s="13" t="s">
        <v>5</v>
      </c>
      <c r="I31" s="150">
        <v>3540</v>
      </c>
      <c r="J31" s="130">
        <f t="shared" si="12"/>
        <v>3540</v>
      </c>
      <c r="K31" s="136"/>
      <c r="L31" s="136"/>
      <c r="M31" s="136"/>
      <c r="N31" s="5">
        <f t="shared" si="6"/>
        <v>3540</v>
      </c>
      <c r="O31" s="226">
        <f t="shared" si="7"/>
        <v>0</v>
      </c>
      <c r="P31" s="5">
        <f t="shared" si="8"/>
        <v>0</v>
      </c>
      <c r="Q31" s="5">
        <f t="shared" si="9"/>
        <v>0</v>
      </c>
      <c r="R31" s="136"/>
    </row>
    <row r="32" spans="1:18" s="147" customFormat="1" ht="36" x14ac:dyDescent="0.25">
      <c r="A32" s="5">
        <f t="shared" si="13"/>
        <v>21</v>
      </c>
      <c r="B32" s="149" t="s">
        <v>376</v>
      </c>
      <c r="C32" s="13">
        <v>2</v>
      </c>
      <c r="D32" s="13">
        <v>0</v>
      </c>
      <c r="E32" s="190"/>
      <c r="F32" s="205"/>
      <c r="G32" s="130">
        <f t="shared" si="11"/>
        <v>2</v>
      </c>
      <c r="H32" s="13" t="s">
        <v>5</v>
      </c>
      <c r="I32" s="150">
        <v>68948.58</v>
      </c>
      <c r="J32" s="130">
        <f t="shared" si="12"/>
        <v>137897.16</v>
      </c>
      <c r="K32" s="136"/>
      <c r="L32" s="136"/>
      <c r="M32" s="136"/>
      <c r="N32" s="5">
        <f t="shared" si="6"/>
        <v>137897.16</v>
      </c>
      <c r="O32" s="226">
        <f t="shared" si="7"/>
        <v>0</v>
      </c>
      <c r="P32" s="5">
        <f t="shared" si="8"/>
        <v>0</v>
      </c>
      <c r="Q32" s="5">
        <f t="shared" si="9"/>
        <v>0</v>
      </c>
      <c r="R32" s="136"/>
    </row>
    <row r="33" spans="1:18" s="147" customFormat="1" ht="48" x14ac:dyDescent="0.25">
      <c r="A33" s="5">
        <v>22</v>
      </c>
      <c r="B33" s="6" t="s">
        <v>274</v>
      </c>
      <c r="C33" s="13">
        <v>300</v>
      </c>
      <c r="D33" s="13">
        <v>0</v>
      </c>
      <c r="E33" s="190"/>
      <c r="F33" s="205"/>
      <c r="G33" s="130">
        <f t="shared" si="11"/>
        <v>300</v>
      </c>
      <c r="H33" s="13" t="s">
        <v>41</v>
      </c>
      <c r="I33" s="97">
        <v>138.65</v>
      </c>
      <c r="J33" s="130">
        <f t="shared" si="12"/>
        <v>41595</v>
      </c>
      <c r="K33" s="136"/>
      <c r="L33" s="136"/>
      <c r="M33" s="136"/>
      <c r="N33" s="5">
        <f t="shared" si="6"/>
        <v>41595</v>
      </c>
      <c r="O33" s="226">
        <f t="shared" si="7"/>
        <v>0</v>
      </c>
      <c r="P33" s="5">
        <f t="shared" si="8"/>
        <v>0</v>
      </c>
      <c r="Q33" s="5">
        <f t="shared" si="9"/>
        <v>0</v>
      </c>
      <c r="R33" s="136"/>
    </row>
    <row r="34" spans="1:18" s="147" customFormat="1" ht="24" x14ac:dyDescent="0.25">
      <c r="A34" s="5">
        <f>A33+1</f>
        <v>23</v>
      </c>
      <c r="B34" s="147" t="s">
        <v>275</v>
      </c>
      <c r="C34" s="13">
        <v>120</v>
      </c>
      <c r="D34" s="13">
        <v>0</v>
      </c>
      <c r="E34" s="190"/>
      <c r="F34" s="205"/>
      <c r="G34" s="130">
        <f t="shared" si="11"/>
        <v>120</v>
      </c>
      <c r="H34" s="13" t="s">
        <v>41</v>
      </c>
      <c r="I34" s="97">
        <v>172.87</v>
      </c>
      <c r="J34" s="130">
        <f t="shared" si="12"/>
        <v>20744.400000000001</v>
      </c>
      <c r="K34" s="136"/>
      <c r="L34" s="136"/>
      <c r="M34" s="136"/>
      <c r="N34" s="5">
        <f t="shared" si="6"/>
        <v>20744.400000000001</v>
      </c>
      <c r="O34" s="226">
        <f t="shared" si="7"/>
        <v>0</v>
      </c>
      <c r="P34" s="5">
        <f t="shared" si="8"/>
        <v>0</v>
      </c>
      <c r="Q34" s="5">
        <f t="shared" si="9"/>
        <v>0</v>
      </c>
      <c r="R34" s="136"/>
    </row>
    <row r="35" spans="1:18" s="147" customFormat="1" ht="36" x14ac:dyDescent="0.25">
      <c r="A35" s="5">
        <f>A34+1</f>
        <v>24</v>
      </c>
      <c r="B35" s="147" t="s">
        <v>276</v>
      </c>
      <c r="C35" s="13">
        <v>3</v>
      </c>
      <c r="D35" s="13">
        <v>0</v>
      </c>
      <c r="E35" s="190"/>
      <c r="F35" s="205"/>
      <c r="G35" s="130">
        <f t="shared" si="11"/>
        <v>3</v>
      </c>
      <c r="H35" s="13" t="s">
        <v>5</v>
      </c>
      <c r="I35" s="97">
        <v>7237</v>
      </c>
      <c r="J35" s="130">
        <f t="shared" si="12"/>
        <v>21711</v>
      </c>
      <c r="K35" s="136"/>
      <c r="L35" s="136"/>
      <c r="M35" s="136"/>
      <c r="N35" s="5">
        <f t="shared" si="6"/>
        <v>21711</v>
      </c>
      <c r="O35" s="226">
        <f t="shared" si="7"/>
        <v>0</v>
      </c>
      <c r="P35" s="5">
        <f t="shared" si="8"/>
        <v>0</v>
      </c>
      <c r="Q35" s="5">
        <f t="shared" si="9"/>
        <v>0</v>
      </c>
      <c r="R35" s="136"/>
    </row>
    <row r="36" spans="1:18" s="147" customFormat="1" ht="36" x14ac:dyDescent="0.25">
      <c r="A36" s="5">
        <f>A35+1</f>
        <v>25</v>
      </c>
      <c r="B36" s="147" t="s">
        <v>277</v>
      </c>
      <c r="C36" s="13">
        <v>3</v>
      </c>
      <c r="D36" s="13">
        <v>0</v>
      </c>
      <c r="E36" s="190"/>
      <c r="F36" s="205"/>
      <c r="G36" s="130">
        <f t="shared" si="11"/>
        <v>3</v>
      </c>
      <c r="H36" s="13" t="s">
        <v>5</v>
      </c>
      <c r="I36" s="97">
        <v>9521</v>
      </c>
      <c r="J36" s="130">
        <f t="shared" si="12"/>
        <v>28563</v>
      </c>
      <c r="K36" s="136"/>
      <c r="L36" s="136"/>
      <c r="M36" s="136"/>
      <c r="N36" s="5">
        <f t="shared" si="6"/>
        <v>28563</v>
      </c>
      <c r="O36" s="226">
        <f t="shared" si="7"/>
        <v>0</v>
      </c>
      <c r="P36" s="5">
        <f t="shared" si="8"/>
        <v>0</v>
      </c>
      <c r="Q36" s="5">
        <f t="shared" si="9"/>
        <v>0</v>
      </c>
      <c r="R36" s="136"/>
    </row>
    <row r="37" spans="1:18" s="147" customFormat="1" ht="48" x14ac:dyDescent="0.25">
      <c r="A37" s="5">
        <f>A36+1</f>
        <v>26</v>
      </c>
      <c r="B37" s="129" t="s">
        <v>278</v>
      </c>
      <c r="C37" s="13">
        <v>4</v>
      </c>
      <c r="D37" s="13">
        <v>0</v>
      </c>
      <c r="E37" s="190"/>
      <c r="F37" s="205"/>
      <c r="G37" s="130">
        <f t="shared" si="11"/>
        <v>4</v>
      </c>
      <c r="H37" s="13" t="s">
        <v>5</v>
      </c>
      <c r="I37" s="97">
        <v>1180</v>
      </c>
      <c r="J37" s="130">
        <f t="shared" si="12"/>
        <v>4720</v>
      </c>
      <c r="K37" s="136"/>
      <c r="L37" s="136"/>
      <c r="M37" s="136"/>
      <c r="N37" s="5">
        <f t="shared" si="6"/>
        <v>4720</v>
      </c>
      <c r="O37" s="226">
        <f t="shared" si="7"/>
        <v>0</v>
      </c>
      <c r="P37" s="5">
        <f t="shared" si="8"/>
        <v>0</v>
      </c>
      <c r="Q37" s="5">
        <f t="shared" si="9"/>
        <v>0</v>
      </c>
      <c r="R37" s="136"/>
    </row>
    <row r="38" spans="1:18" s="144" customFormat="1" ht="24" x14ac:dyDescent="0.25">
      <c r="A38" s="5">
        <v>27</v>
      </c>
      <c r="B38" s="129" t="s">
        <v>279</v>
      </c>
      <c r="C38" s="13">
        <v>1</v>
      </c>
      <c r="D38" s="13">
        <v>0</v>
      </c>
      <c r="E38" s="190"/>
      <c r="F38" s="205"/>
      <c r="G38" s="130">
        <f t="shared" si="11"/>
        <v>1</v>
      </c>
      <c r="H38" s="5" t="s">
        <v>5</v>
      </c>
      <c r="I38" s="106">
        <v>37760</v>
      </c>
      <c r="J38" s="130">
        <f t="shared" si="12"/>
        <v>37760</v>
      </c>
      <c r="K38" s="136"/>
      <c r="L38" s="136"/>
      <c r="M38" s="136"/>
      <c r="N38" s="5">
        <f t="shared" si="6"/>
        <v>37760</v>
      </c>
      <c r="O38" s="226">
        <f t="shared" si="7"/>
        <v>0</v>
      </c>
      <c r="P38" s="5">
        <f t="shared" si="8"/>
        <v>0</v>
      </c>
      <c r="Q38" s="5">
        <f t="shared" si="9"/>
        <v>0</v>
      </c>
      <c r="R38" s="136"/>
    </row>
    <row r="39" spans="1:18" s="144" customFormat="1" ht="48" x14ac:dyDescent="0.25">
      <c r="A39" s="5">
        <f>A38+1</f>
        <v>28</v>
      </c>
      <c r="B39" s="129" t="s">
        <v>280</v>
      </c>
      <c r="C39" s="13">
        <v>1</v>
      </c>
      <c r="D39" s="13">
        <v>0</v>
      </c>
      <c r="E39" s="190"/>
      <c r="F39" s="205"/>
      <c r="G39" s="130">
        <f t="shared" si="11"/>
        <v>1</v>
      </c>
      <c r="H39" s="5" t="s">
        <v>5</v>
      </c>
      <c r="I39" s="151">
        <v>144550</v>
      </c>
      <c r="J39" s="130">
        <f t="shared" si="12"/>
        <v>144550</v>
      </c>
      <c r="K39" s="136"/>
      <c r="L39" s="136"/>
      <c r="M39" s="136"/>
      <c r="N39" s="5">
        <f t="shared" si="6"/>
        <v>144550</v>
      </c>
      <c r="O39" s="226">
        <f t="shared" si="7"/>
        <v>0</v>
      </c>
      <c r="P39" s="5">
        <f t="shared" si="8"/>
        <v>0</v>
      </c>
      <c r="Q39" s="5">
        <f t="shared" si="9"/>
        <v>0</v>
      </c>
      <c r="R39" s="136"/>
    </row>
    <row r="40" spans="1:18" s="144" customFormat="1" ht="108" x14ac:dyDescent="0.25">
      <c r="A40" s="5">
        <v>29</v>
      </c>
      <c r="B40" s="129" t="s">
        <v>281</v>
      </c>
      <c r="C40" s="13">
        <v>1</v>
      </c>
      <c r="D40" s="13">
        <v>0</v>
      </c>
      <c r="E40" s="190"/>
      <c r="F40" s="205"/>
      <c r="G40" s="130">
        <f t="shared" si="11"/>
        <v>1</v>
      </c>
      <c r="H40" s="5" t="s">
        <v>282</v>
      </c>
      <c r="I40" s="7">
        <v>236000</v>
      </c>
      <c r="J40" s="130">
        <f t="shared" si="12"/>
        <v>236000</v>
      </c>
      <c r="K40" s="136"/>
      <c r="L40" s="136"/>
      <c r="M40" s="136"/>
      <c r="N40" s="5">
        <f t="shared" si="6"/>
        <v>236000</v>
      </c>
      <c r="O40" s="226">
        <f t="shared" si="7"/>
        <v>0</v>
      </c>
      <c r="P40" s="5">
        <f t="shared" si="8"/>
        <v>0</v>
      </c>
      <c r="Q40" s="5">
        <f t="shared" si="9"/>
        <v>0</v>
      </c>
      <c r="R40" s="136"/>
    </row>
    <row r="41" spans="1:18" s="75" customFormat="1" ht="72" x14ac:dyDescent="0.25">
      <c r="A41" s="70">
        <v>30</v>
      </c>
      <c r="B41" s="71" t="s">
        <v>67</v>
      </c>
      <c r="C41" s="72">
        <v>50</v>
      </c>
      <c r="D41" s="72">
        <v>0</v>
      </c>
      <c r="E41" s="190">
        <v>100</v>
      </c>
      <c r="F41" s="205">
        <v>16</v>
      </c>
      <c r="G41" s="132">
        <f t="shared" si="11"/>
        <v>166</v>
      </c>
      <c r="H41" s="70" t="s">
        <v>178</v>
      </c>
      <c r="I41" s="72">
        <v>1480</v>
      </c>
      <c r="J41" s="132">
        <f t="shared" si="12"/>
        <v>245680</v>
      </c>
      <c r="K41" s="121"/>
      <c r="L41" s="121"/>
      <c r="M41" s="121"/>
      <c r="N41" s="5">
        <f t="shared" si="6"/>
        <v>74000</v>
      </c>
      <c r="O41" s="226">
        <f t="shared" si="7"/>
        <v>0</v>
      </c>
      <c r="P41" s="5">
        <f t="shared" si="8"/>
        <v>148000</v>
      </c>
      <c r="Q41" s="5">
        <f t="shared" si="9"/>
        <v>23680</v>
      </c>
      <c r="R41" s="121"/>
    </row>
    <row r="42" spans="1:18" s="14" customFormat="1" ht="60" x14ac:dyDescent="0.25">
      <c r="A42" s="5">
        <v>31</v>
      </c>
      <c r="B42" s="152" t="s">
        <v>283</v>
      </c>
      <c r="C42" s="13">
        <v>4</v>
      </c>
      <c r="D42" s="13">
        <v>0</v>
      </c>
      <c r="E42" s="190">
        <v>6</v>
      </c>
      <c r="F42" s="205"/>
      <c r="G42" s="130">
        <f t="shared" si="11"/>
        <v>10</v>
      </c>
      <c r="H42" s="5" t="s">
        <v>5</v>
      </c>
      <c r="I42" s="5">
        <v>69390</v>
      </c>
      <c r="J42" s="130">
        <f t="shared" si="12"/>
        <v>693900</v>
      </c>
      <c r="K42" s="136"/>
      <c r="L42" s="136"/>
      <c r="M42" s="136"/>
      <c r="N42" s="5">
        <f t="shared" si="6"/>
        <v>277560</v>
      </c>
      <c r="O42" s="226">
        <f t="shared" si="7"/>
        <v>0</v>
      </c>
      <c r="P42" s="5">
        <f t="shared" si="8"/>
        <v>416340</v>
      </c>
      <c r="Q42" s="5">
        <f t="shared" si="9"/>
        <v>0</v>
      </c>
      <c r="R42" s="136"/>
    </row>
    <row r="43" spans="1:18" ht="48" x14ac:dyDescent="0.2">
      <c r="A43" s="5">
        <v>32</v>
      </c>
      <c r="B43" s="129" t="s">
        <v>284</v>
      </c>
      <c r="C43" s="5">
        <v>0</v>
      </c>
      <c r="D43" s="5">
        <v>1</v>
      </c>
      <c r="G43" s="130">
        <f t="shared" si="11"/>
        <v>1</v>
      </c>
      <c r="H43" s="5" t="s">
        <v>5</v>
      </c>
      <c r="I43" s="153">
        <v>41300</v>
      </c>
      <c r="J43" s="130">
        <f t="shared" si="12"/>
        <v>41300</v>
      </c>
      <c r="K43" s="136"/>
      <c r="L43" s="136"/>
      <c r="M43" s="136"/>
      <c r="N43" s="5">
        <f t="shared" si="6"/>
        <v>0</v>
      </c>
      <c r="O43" s="226">
        <f t="shared" si="7"/>
        <v>41300</v>
      </c>
      <c r="P43" s="5">
        <f t="shared" si="8"/>
        <v>0</v>
      </c>
      <c r="Q43" s="5">
        <f t="shared" si="9"/>
        <v>0</v>
      </c>
      <c r="R43" s="136"/>
    </row>
    <row r="44" spans="1:18" ht="48" x14ac:dyDescent="0.2">
      <c r="A44" s="5">
        <f t="shared" ref="A44:A58" si="14">A43+1</f>
        <v>33</v>
      </c>
      <c r="B44" s="129" t="s">
        <v>285</v>
      </c>
      <c r="C44" s="5">
        <v>0</v>
      </c>
      <c r="D44" s="5">
        <v>1</v>
      </c>
      <c r="G44" s="130">
        <f t="shared" si="11"/>
        <v>1</v>
      </c>
      <c r="H44" s="5" t="s">
        <v>5</v>
      </c>
      <c r="I44" s="153">
        <v>6637.5</v>
      </c>
      <c r="J44" s="130">
        <f t="shared" si="12"/>
        <v>6637.5</v>
      </c>
      <c r="K44" s="136"/>
      <c r="L44" s="136"/>
      <c r="M44" s="136"/>
      <c r="N44" s="5">
        <f t="shared" si="6"/>
        <v>0</v>
      </c>
      <c r="O44" s="226">
        <f t="shared" si="7"/>
        <v>6637.5</v>
      </c>
      <c r="P44" s="5">
        <f t="shared" si="8"/>
        <v>0</v>
      </c>
      <c r="Q44" s="5">
        <f t="shared" si="9"/>
        <v>0</v>
      </c>
      <c r="R44" s="136"/>
    </row>
    <row r="45" spans="1:18" ht="48" x14ac:dyDescent="0.2">
      <c r="A45" s="5">
        <f t="shared" si="14"/>
        <v>34</v>
      </c>
      <c r="B45" s="129" t="s">
        <v>286</v>
      </c>
      <c r="C45" s="5">
        <v>0</v>
      </c>
      <c r="D45" s="5">
        <v>1</v>
      </c>
      <c r="G45" s="130">
        <f t="shared" si="11"/>
        <v>1</v>
      </c>
      <c r="H45" s="5" t="s">
        <v>5</v>
      </c>
      <c r="I45" s="153">
        <v>27582.5</v>
      </c>
      <c r="J45" s="130">
        <f t="shared" si="12"/>
        <v>27582.5</v>
      </c>
      <c r="K45" s="136"/>
      <c r="L45" s="136"/>
      <c r="M45" s="136"/>
      <c r="N45" s="5">
        <f t="shared" si="6"/>
        <v>0</v>
      </c>
      <c r="O45" s="226">
        <f t="shared" si="7"/>
        <v>27582.5</v>
      </c>
      <c r="P45" s="5">
        <f t="shared" si="8"/>
        <v>0</v>
      </c>
      <c r="Q45" s="5">
        <f t="shared" si="9"/>
        <v>0</v>
      </c>
      <c r="R45" s="136"/>
    </row>
    <row r="46" spans="1:18" ht="48" x14ac:dyDescent="0.2">
      <c r="A46" s="5">
        <f t="shared" si="14"/>
        <v>35</v>
      </c>
      <c r="B46" s="129" t="s">
        <v>287</v>
      </c>
      <c r="C46" s="5">
        <v>0</v>
      </c>
      <c r="D46" s="5">
        <v>2</v>
      </c>
      <c r="G46" s="130">
        <f t="shared" si="11"/>
        <v>2</v>
      </c>
      <c r="H46" s="5" t="s">
        <v>5</v>
      </c>
      <c r="I46" s="154">
        <v>144550</v>
      </c>
      <c r="J46" s="130">
        <f t="shared" si="12"/>
        <v>289100</v>
      </c>
      <c r="K46" s="136"/>
      <c r="L46" s="136"/>
      <c r="M46" s="136"/>
      <c r="N46" s="5">
        <f t="shared" si="6"/>
        <v>0</v>
      </c>
      <c r="O46" s="226">
        <f t="shared" si="7"/>
        <v>289100</v>
      </c>
      <c r="P46" s="5">
        <f t="shared" si="8"/>
        <v>0</v>
      </c>
      <c r="Q46" s="5">
        <f t="shared" si="9"/>
        <v>0</v>
      </c>
      <c r="R46" s="136"/>
    </row>
    <row r="47" spans="1:18" ht="48" x14ac:dyDescent="0.2">
      <c r="A47" s="5">
        <v>36</v>
      </c>
      <c r="B47" s="129" t="s">
        <v>288</v>
      </c>
      <c r="C47" s="5">
        <v>0</v>
      </c>
      <c r="D47" s="5">
        <v>1</v>
      </c>
      <c r="G47" s="130">
        <f t="shared" si="11"/>
        <v>1</v>
      </c>
      <c r="H47" s="5" t="s">
        <v>5</v>
      </c>
      <c r="I47" s="154">
        <v>142662</v>
      </c>
      <c r="J47" s="130">
        <f t="shared" si="12"/>
        <v>142662</v>
      </c>
      <c r="K47" s="136"/>
      <c r="L47" s="136"/>
      <c r="M47" s="136"/>
      <c r="N47" s="5">
        <f t="shared" si="6"/>
        <v>0</v>
      </c>
      <c r="O47" s="226">
        <f t="shared" si="7"/>
        <v>142662</v>
      </c>
      <c r="P47" s="5">
        <f t="shared" si="8"/>
        <v>0</v>
      </c>
      <c r="Q47" s="5">
        <f t="shared" si="9"/>
        <v>0</v>
      </c>
      <c r="R47" s="136"/>
    </row>
    <row r="48" spans="1:18" ht="60" x14ac:dyDescent="0.2">
      <c r="A48" s="5">
        <f t="shared" si="14"/>
        <v>37</v>
      </c>
      <c r="B48" s="129" t="s">
        <v>289</v>
      </c>
      <c r="C48" s="5">
        <v>0</v>
      </c>
      <c r="D48" s="5">
        <v>1</v>
      </c>
      <c r="G48" s="130">
        <f t="shared" si="11"/>
        <v>1</v>
      </c>
      <c r="H48" s="5" t="s">
        <v>5</v>
      </c>
      <c r="I48" s="153">
        <v>28072.2</v>
      </c>
      <c r="J48" s="130">
        <f t="shared" si="12"/>
        <v>28072.2</v>
      </c>
      <c r="K48" s="136"/>
      <c r="L48" s="136"/>
      <c r="M48" s="136"/>
      <c r="N48" s="5">
        <f t="shared" si="6"/>
        <v>0</v>
      </c>
      <c r="O48" s="226">
        <f t="shared" si="7"/>
        <v>28072.2</v>
      </c>
      <c r="P48" s="5">
        <f t="shared" si="8"/>
        <v>0</v>
      </c>
      <c r="Q48" s="5">
        <f t="shared" si="9"/>
        <v>0</v>
      </c>
      <c r="R48" s="136"/>
    </row>
    <row r="49" spans="1:18" ht="48" x14ac:dyDescent="0.2">
      <c r="A49" s="5">
        <f t="shared" si="14"/>
        <v>38</v>
      </c>
      <c r="B49" s="129" t="s">
        <v>290</v>
      </c>
      <c r="C49" s="5">
        <v>0</v>
      </c>
      <c r="D49" s="5">
        <v>1</v>
      </c>
      <c r="G49" s="130">
        <f t="shared" si="11"/>
        <v>1</v>
      </c>
      <c r="H49" s="5" t="s">
        <v>291</v>
      </c>
      <c r="I49" s="153">
        <v>87025</v>
      </c>
      <c r="J49" s="130">
        <f t="shared" si="12"/>
        <v>87025</v>
      </c>
      <c r="K49" s="136"/>
      <c r="L49" s="136"/>
      <c r="M49" s="136"/>
      <c r="N49" s="5">
        <f t="shared" si="6"/>
        <v>0</v>
      </c>
      <c r="O49" s="226">
        <f t="shared" si="7"/>
        <v>87025</v>
      </c>
      <c r="P49" s="5">
        <f t="shared" si="8"/>
        <v>0</v>
      </c>
      <c r="Q49" s="5">
        <f t="shared" si="9"/>
        <v>0</v>
      </c>
      <c r="R49" s="136"/>
    </row>
    <row r="50" spans="1:18" ht="48" x14ac:dyDescent="0.2">
      <c r="A50" s="5">
        <f t="shared" si="14"/>
        <v>39</v>
      </c>
      <c r="B50" s="129" t="s">
        <v>292</v>
      </c>
      <c r="C50" s="5">
        <v>0</v>
      </c>
      <c r="D50" s="5">
        <v>4</v>
      </c>
      <c r="G50" s="130">
        <f t="shared" si="11"/>
        <v>4</v>
      </c>
      <c r="H50" s="5" t="s">
        <v>291</v>
      </c>
      <c r="I50" s="153">
        <v>27287.5</v>
      </c>
      <c r="J50" s="130">
        <f t="shared" si="12"/>
        <v>109150</v>
      </c>
      <c r="K50" s="136"/>
      <c r="L50" s="136"/>
      <c r="M50" s="136"/>
      <c r="N50" s="5">
        <f t="shared" si="6"/>
        <v>0</v>
      </c>
      <c r="O50" s="226">
        <f t="shared" si="7"/>
        <v>109150</v>
      </c>
      <c r="P50" s="5">
        <f t="shared" si="8"/>
        <v>0</v>
      </c>
      <c r="Q50" s="5">
        <f t="shared" si="9"/>
        <v>0</v>
      </c>
      <c r="R50" s="136"/>
    </row>
    <row r="51" spans="1:18" ht="60" x14ac:dyDescent="0.2">
      <c r="A51" s="5">
        <f t="shared" si="14"/>
        <v>40</v>
      </c>
      <c r="B51" s="129" t="s">
        <v>293</v>
      </c>
      <c r="C51" s="5">
        <v>0</v>
      </c>
      <c r="D51" s="5">
        <v>2</v>
      </c>
      <c r="G51" s="130">
        <f t="shared" si="11"/>
        <v>2</v>
      </c>
      <c r="H51" s="5" t="s">
        <v>5</v>
      </c>
      <c r="I51" s="153">
        <v>230100</v>
      </c>
      <c r="J51" s="130">
        <f t="shared" si="12"/>
        <v>460200</v>
      </c>
      <c r="K51" s="136"/>
      <c r="L51" s="136"/>
      <c r="M51" s="136"/>
      <c r="N51" s="5">
        <f t="shared" si="6"/>
        <v>0</v>
      </c>
      <c r="O51" s="226">
        <f t="shared" si="7"/>
        <v>460200</v>
      </c>
      <c r="P51" s="5">
        <f t="shared" si="8"/>
        <v>0</v>
      </c>
      <c r="Q51" s="5">
        <f t="shared" si="9"/>
        <v>0</v>
      </c>
      <c r="R51" s="136"/>
    </row>
    <row r="52" spans="1:18" ht="120" x14ac:dyDescent="0.2">
      <c r="A52" s="5">
        <f t="shared" si="14"/>
        <v>41</v>
      </c>
      <c r="B52" s="129" t="s">
        <v>294</v>
      </c>
      <c r="C52" s="13">
        <v>0</v>
      </c>
      <c r="D52" s="13">
        <v>14</v>
      </c>
      <c r="E52" s="190"/>
      <c r="F52" s="205"/>
      <c r="G52" s="130">
        <f t="shared" si="11"/>
        <v>14</v>
      </c>
      <c r="H52" s="129" t="s">
        <v>5</v>
      </c>
      <c r="I52" s="155">
        <v>29990</v>
      </c>
      <c r="J52" s="130">
        <f t="shared" si="12"/>
        <v>419860</v>
      </c>
      <c r="K52" s="136"/>
      <c r="L52" s="136"/>
      <c r="M52" s="136"/>
      <c r="N52" s="5">
        <f t="shared" si="6"/>
        <v>0</v>
      </c>
      <c r="O52" s="226">
        <f t="shared" si="7"/>
        <v>419860</v>
      </c>
      <c r="P52" s="5">
        <f t="shared" si="8"/>
        <v>0</v>
      </c>
      <c r="Q52" s="5">
        <f t="shared" si="9"/>
        <v>0</v>
      </c>
      <c r="R52" s="136"/>
    </row>
    <row r="53" spans="1:18" ht="156" x14ac:dyDescent="0.2">
      <c r="A53" s="5">
        <f t="shared" si="14"/>
        <v>42</v>
      </c>
      <c r="B53" s="129" t="s">
        <v>295</v>
      </c>
      <c r="C53" s="13">
        <v>0</v>
      </c>
      <c r="D53" s="13">
        <v>2</v>
      </c>
      <c r="E53" s="190"/>
      <c r="F53" s="205"/>
      <c r="G53" s="130">
        <f t="shared" si="11"/>
        <v>2</v>
      </c>
      <c r="H53" s="129" t="s">
        <v>5</v>
      </c>
      <c r="I53" s="155">
        <v>19666</v>
      </c>
      <c r="J53" s="130">
        <f t="shared" si="12"/>
        <v>39332</v>
      </c>
      <c r="K53" s="136"/>
      <c r="L53" s="136"/>
      <c r="M53" s="136"/>
      <c r="N53" s="5">
        <f t="shared" si="6"/>
        <v>0</v>
      </c>
      <c r="O53" s="226">
        <f t="shared" si="7"/>
        <v>39332</v>
      </c>
      <c r="P53" s="5">
        <f t="shared" si="8"/>
        <v>0</v>
      </c>
      <c r="Q53" s="5">
        <f t="shared" si="9"/>
        <v>0</v>
      </c>
      <c r="R53" s="136"/>
    </row>
    <row r="54" spans="1:18" ht="72" x14ac:dyDescent="0.2">
      <c r="A54" s="5">
        <f t="shared" si="14"/>
        <v>43</v>
      </c>
      <c r="B54" s="129" t="s">
        <v>296</v>
      </c>
      <c r="C54" s="5">
        <v>0</v>
      </c>
      <c r="D54" s="5">
        <v>3</v>
      </c>
      <c r="G54" s="130">
        <f t="shared" si="11"/>
        <v>3</v>
      </c>
      <c r="H54" s="5" t="s">
        <v>5</v>
      </c>
      <c r="I54" s="156">
        <v>86000</v>
      </c>
      <c r="J54" s="130">
        <f t="shared" si="12"/>
        <v>258000</v>
      </c>
      <c r="K54" s="136"/>
      <c r="L54" s="136"/>
      <c r="M54" s="136"/>
      <c r="N54" s="5">
        <f t="shared" si="6"/>
        <v>0</v>
      </c>
      <c r="O54" s="226">
        <f t="shared" si="7"/>
        <v>258000</v>
      </c>
      <c r="P54" s="5">
        <f t="shared" si="8"/>
        <v>0</v>
      </c>
      <c r="Q54" s="5">
        <f t="shared" si="9"/>
        <v>0</v>
      </c>
      <c r="R54" s="136"/>
    </row>
    <row r="55" spans="1:18" ht="72" x14ac:dyDescent="0.2">
      <c r="A55" s="5">
        <f t="shared" si="14"/>
        <v>44</v>
      </c>
      <c r="B55" s="129" t="s">
        <v>297</v>
      </c>
      <c r="C55" s="5">
        <v>0</v>
      </c>
      <c r="D55" s="5">
        <v>3</v>
      </c>
      <c r="G55" s="130">
        <f t="shared" si="11"/>
        <v>3</v>
      </c>
      <c r="H55" s="5" t="s">
        <v>5</v>
      </c>
      <c r="I55" s="153">
        <v>21387.5</v>
      </c>
      <c r="J55" s="130">
        <f t="shared" si="12"/>
        <v>64162.5</v>
      </c>
      <c r="K55" s="136"/>
      <c r="L55" s="136"/>
      <c r="M55" s="136"/>
      <c r="N55" s="5">
        <f t="shared" si="6"/>
        <v>0</v>
      </c>
      <c r="O55" s="226">
        <f t="shared" si="7"/>
        <v>64162.5</v>
      </c>
      <c r="P55" s="5">
        <f t="shared" si="8"/>
        <v>0</v>
      </c>
      <c r="Q55" s="5">
        <f t="shared" si="9"/>
        <v>0</v>
      </c>
      <c r="R55" s="136"/>
    </row>
    <row r="56" spans="1:18" ht="84" x14ac:dyDescent="0.2">
      <c r="A56" s="5">
        <f t="shared" si="14"/>
        <v>45</v>
      </c>
      <c r="B56" s="129" t="s">
        <v>298</v>
      </c>
      <c r="C56" s="5">
        <v>0</v>
      </c>
      <c r="D56" s="5">
        <v>3</v>
      </c>
      <c r="G56" s="130">
        <f t="shared" si="11"/>
        <v>3</v>
      </c>
      <c r="H56" s="5" t="s">
        <v>5</v>
      </c>
      <c r="I56" s="153">
        <v>27287.5</v>
      </c>
      <c r="J56" s="130">
        <f t="shared" si="12"/>
        <v>81862.5</v>
      </c>
      <c r="K56" s="136"/>
      <c r="L56" s="136"/>
      <c r="M56" s="136"/>
      <c r="N56" s="5">
        <f t="shared" si="6"/>
        <v>0</v>
      </c>
      <c r="O56" s="226">
        <f t="shared" si="7"/>
        <v>81862.5</v>
      </c>
      <c r="P56" s="5">
        <f t="shared" si="8"/>
        <v>0</v>
      </c>
      <c r="Q56" s="5">
        <f t="shared" si="9"/>
        <v>0</v>
      </c>
      <c r="R56" s="136"/>
    </row>
    <row r="57" spans="1:18" ht="60" x14ac:dyDescent="0.2">
      <c r="A57" s="5">
        <f t="shared" si="14"/>
        <v>46</v>
      </c>
      <c r="B57" s="129" t="s">
        <v>299</v>
      </c>
      <c r="C57" s="5">
        <v>0</v>
      </c>
      <c r="D57" s="5">
        <v>2</v>
      </c>
      <c r="G57" s="130">
        <f t="shared" si="11"/>
        <v>2</v>
      </c>
      <c r="H57" s="5" t="s">
        <v>5</v>
      </c>
      <c r="I57" s="153">
        <v>369576</v>
      </c>
      <c r="J57" s="130">
        <f t="shared" si="12"/>
        <v>739152</v>
      </c>
      <c r="K57" s="136"/>
      <c r="L57" s="136"/>
      <c r="M57" s="136"/>
      <c r="N57" s="5">
        <f t="shared" si="6"/>
        <v>0</v>
      </c>
      <c r="O57" s="226">
        <f t="shared" si="7"/>
        <v>739152</v>
      </c>
      <c r="P57" s="5">
        <f t="shared" si="8"/>
        <v>0</v>
      </c>
      <c r="Q57" s="5">
        <f t="shared" si="9"/>
        <v>0</v>
      </c>
      <c r="R57" s="136"/>
    </row>
    <row r="58" spans="1:18" ht="72" x14ac:dyDescent="0.2">
      <c r="A58" s="5">
        <f t="shared" si="14"/>
        <v>47</v>
      </c>
      <c r="B58" s="129" t="s">
        <v>300</v>
      </c>
      <c r="C58" s="5">
        <v>0</v>
      </c>
      <c r="D58" s="5">
        <v>1</v>
      </c>
      <c r="G58" s="130">
        <f t="shared" si="11"/>
        <v>1</v>
      </c>
      <c r="H58" s="5" t="s">
        <v>5</v>
      </c>
      <c r="I58" s="153">
        <v>204140</v>
      </c>
      <c r="J58" s="130">
        <f t="shared" si="12"/>
        <v>204140</v>
      </c>
      <c r="K58" s="136"/>
      <c r="L58" s="136"/>
      <c r="M58" s="136"/>
      <c r="N58" s="5">
        <f t="shared" si="6"/>
        <v>0</v>
      </c>
      <c r="O58" s="226">
        <f t="shared" si="7"/>
        <v>204140</v>
      </c>
      <c r="P58" s="5">
        <f t="shared" si="8"/>
        <v>0</v>
      </c>
      <c r="Q58" s="5">
        <f t="shared" si="9"/>
        <v>0</v>
      </c>
      <c r="R58" s="136"/>
    </row>
    <row r="59" spans="1:18" ht="72" x14ac:dyDescent="0.2">
      <c r="A59" s="5">
        <v>48</v>
      </c>
      <c r="B59" s="129" t="s">
        <v>301</v>
      </c>
      <c r="C59" s="5">
        <v>0</v>
      </c>
      <c r="D59" s="5">
        <v>1</v>
      </c>
      <c r="G59" s="130">
        <f t="shared" si="11"/>
        <v>1</v>
      </c>
      <c r="H59" s="5" t="s">
        <v>302</v>
      </c>
      <c r="I59" s="153">
        <v>54280</v>
      </c>
      <c r="J59" s="130">
        <f t="shared" si="12"/>
        <v>54280</v>
      </c>
      <c r="K59" s="136"/>
      <c r="L59" s="136"/>
      <c r="M59" s="136"/>
      <c r="N59" s="5">
        <f t="shared" si="6"/>
        <v>0</v>
      </c>
      <c r="O59" s="226">
        <f t="shared" si="7"/>
        <v>54280</v>
      </c>
      <c r="P59" s="5">
        <f t="shared" si="8"/>
        <v>0</v>
      </c>
      <c r="Q59" s="5">
        <f t="shared" si="9"/>
        <v>0</v>
      </c>
      <c r="R59" s="136"/>
    </row>
    <row r="60" spans="1:18" ht="60" x14ac:dyDescent="0.2">
      <c r="A60" s="5">
        <f>A59+1</f>
        <v>49</v>
      </c>
      <c r="B60" s="129" t="s">
        <v>303</v>
      </c>
      <c r="C60" s="5">
        <v>0</v>
      </c>
      <c r="D60" s="5">
        <v>4</v>
      </c>
      <c r="G60" s="130">
        <f t="shared" si="11"/>
        <v>4</v>
      </c>
      <c r="H60" s="5" t="s">
        <v>5</v>
      </c>
      <c r="I60" s="153">
        <v>16189.599999999999</v>
      </c>
      <c r="J60" s="130">
        <f t="shared" si="12"/>
        <v>64758.399999999994</v>
      </c>
      <c r="K60" s="136"/>
      <c r="L60" s="136"/>
      <c r="M60" s="136"/>
      <c r="N60" s="5">
        <f t="shared" si="6"/>
        <v>0</v>
      </c>
      <c r="O60" s="226">
        <f t="shared" si="7"/>
        <v>64758.399999999994</v>
      </c>
      <c r="P60" s="5">
        <f t="shared" si="8"/>
        <v>0</v>
      </c>
      <c r="Q60" s="5">
        <f t="shared" si="9"/>
        <v>0</v>
      </c>
      <c r="R60" s="136"/>
    </row>
    <row r="61" spans="1:18" ht="24" x14ac:dyDescent="0.2">
      <c r="A61" s="5">
        <f>A60+1</f>
        <v>50</v>
      </c>
      <c r="B61" s="129" t="s">
        <v>304</v>
      </c>
      <c r="C61" s="5">
        <v>0</v>
      </c>
      <c r="D61" s="5">
        <v>100</v>
      </c>
      <c r="G61" s="130">
        <f t="shared" si="11"/>
        <v>100</v>
      </c>
      <c r="H61" s="5" t="s">
        <v>4</v>
      </c>
      <c r="I61" s="153">
        <v>49.559999999999995</v>
      </c>
      <c r="J61" s="130">
        <f t="shared" si="12"/>
        <v>4955.9999999999991</v>
      </c>
      <c r="K61" s="136"/>
      <c r="L61" s="136"/>
      <c r="M61" s="136"/>
      <c r="N61" s="5">
        <f t="shared" si="6"/>
        <v>0</v>
      </c>
      <c r="O61" s="226">
        <f t="shared" si="7"/>
        <v>4955.9999999999991</v>
      </c>
      <c r="P61" s="5">
        <f t="shared" si="8"/>
        <v>0</v>
      </c>
      <c r="Q61" s="5">
        <f t="shared" si="9"/>
        <v>0</v>
      </c>
      <c r="R61" s="136"/>
    </row>
    <row r="62" spans="1:18" s="6" customFormat="1" ht="96" x14ac:dyDescent="0.25">
      <c r="A62" s="5">
        <v>51</v>
      </c>
      <c r="B62" s="129" t="s">
        <v>372</v>
      </c>
      <c r="C62" s="7">
        <v>0</v>
      </c>
      <c r="D62" s="7">
        <v>1</v>
      </c>
      <c r="E62" s="200"/>
      <c r="F62" s="216"/>
      <c r="G62" s="130">
        <f t="shared" si="11"/>
        <v>1</v>
      </c>
      <c r="H62" s="97" t="s">
        <v>5</v>
      </c>
      <c r="I62" s="157">
        <v>140000</v>
      </c>
      <c r="J62" s="130">
        <f t="shared" si="12"/>
        <v>140000</v>
      </c>
      <c r="K62" s="136"/>
      <c r="L62" s="136"/>
      <c r="M62" s="136"/>
      <c r="N62" s="5">
        <f t="shared" si="6"/>
        <v>0</v>
      </c>
      <c r="O62" s="226">
        <f t="shared" si="7"/>
        <v>140000</v>
      </c>
      <c r="P62" s="5">
        <f t="shared" si="8"/>
        <v>0</v>
      </c>
      <c r="Q62" s="5">
        <f t="shared" si="9"/>
        <v>0</v>
      </c>
      <c r="R62" s="136"/>
    </row>
    <row r="63" spans="1:18" ht="60" x14ac:dyDescent="0.2">
      <c r="A63" s="5">
        <f>A62+1</f>
        <v>52</v>
      </c>
      <c r="B63" s="6" t="s">
        <v>305</v>
      </c>
      <c r="C63" s="97">
        <v>0</v>
      </c>
      <c r="D63" s="7">
        <v>1</v>
      </c>
      <c r="E63" s="200"/>
      <c r="F63" s="216"/>
      <c r="G63" s="130">
        <f t="shared" si="11"/>
        <v>1</v>
      </c>
      <c r="H63" s="97" t="s">
        <v>302</v>
      </c>
      <c r="I63" s="157">
        <v>153400</v>
      </c>
      <c r="J63" s="130">
        <f t="shared" si="12"/>
        <v>153400</v>
      </c>
      <c r="K63" s="136"/>
      <c r="L63" s="136"/>
      <c r="M63" s="136"/>
      <c r="N63" s="5">
        <f t="shared" si="6"/>
        <v>0</v>
      </c>
      <c r="O63" s="226">
        <f t="shared" si="7"/>
        <v>153400</v>
      </c>
      <c r="P63" s="5">
        <f t="shared" si="8"/>
        <v>0</v>
      </c>
      <c r="Q63" s="5">
        <f t="shared" si="9"/>
        <v>0</v>
      </c>
      <c r="R63" s="136"/>
    </row>
    <row r="64" spans="1:18" s="196" customFormat="1" ht="48" x14ac:dyDescent="0.2">
      <c r="A64" s="192">
        <v>53</v>
      </c>
      <c r="B64" s="191" t="s">
        <v>306</v>
      </c>
      <c r="C64" s="192">
        <v>0</v>
      </c>
      <c r="D64" s="192">
        <v>0</v>
      </c>
      <c r="E64" s="192"/>
      <c r="F64" s="192"/>
      <c r="G64" s="193">
        <f t="shared" si="11"/>
        <v>0</v>
      </c>
      <c r="H64" s="192" t="s">
        <v>2</v>
      </c>
      <c r="I64" s="260">
        <v>23712</v>
      </c>
      <c r="J64" s="193">
        <f t="shared" si="12"/>
        <v>0</v>
      </c>
      <c r="K64" s="194"/>
      <c r="L64" s="194"/>
      <c r="M64" s="194"/>
      <c r="N64" s="192">
        <f t="shared" si="6"/>
        <v>0</v>
      </c>
      <c r="O64" s="251">
        <f t="shared" si="7"/>
        <v>0</v>
      </c>
      <c r="P64" s="192">
        <f t="shared" si="8"/>
        <v>0</v>
      </c>
      <c r="Q64" s="192">
        <f t="shared" si="9"/>
        <v>0</v>
      </c>
      <c r="R64" s="194"/>
    </row>
    <row r="65" spans="1:19" s="133" customFormat="1" ht="36" x14ac:dyDescent="0.2">
      <c r="A65" s="72">
        <v>4</v>
      </c>
      <c r="B65" s="71" t="s">
        <v>111</v>
      </c>
      <c r="C65" s="72"/>
      <c r="D65" s="72"/>
      <c r="E65" s="190">
        <v>3</v>
      </c>
      <c r="F65" s="205"/>
      <c r="G65" s="130">
        <f t="shared" si="11"/>
        <v>3</v>
      </c>
      <c r="H65" s="70" t="s">
        <v>1</v>
      </c>
      <c r="I65" s="70">
        <v>83200</v>
      </c>
      <c r="J65" s="132">
        <f t="shared" si="12"/>
        <v>249600</v>
      </c>
      <c r="K65" s="121"/>
      <c r="L65" s="121"/>
      <c r="M65" s="121"/>
      <c r="N65" s="5">
        <f t="shared" si="6"/>
        <v>0</v>
      </c>
      <c r="O65" s="226">
        <f t="shared" si="7"/>
        <v>0</v>
      </c>
      <c r="P65" s="5">
        <f t="shared" si="8"/>
        <v>249600</v>
      </c>
      <c r="Q65" s="5">
        <f t="shared" si="9"/>
        <v>0</v>
      </c>
      <c r="R65" s="121"/>
      <c r="S65" s="120"/>
    </row>
    <row r="66" spans="1:19" s="145" customFormat="1" ht="12.75" thickBot="1" x14ac:dyDescent="0.25">
      <c r="A66" s="12"/>
      <c r="B66" s="9" t="s">
        <v>242</v>
      </c>
      <c r="C66" s="12"/>
      <c r="D66" s="12"/>
      <c r="E66" s="197"/>
      <c r="F66" s="213"/>
      <c r="G66" s="146"/>
      <c r="H66" s="12"/>
      <c r="I66" s="12"/>
      <c r="J66" s="165">
        <f>SUM(J12:J65)</f>
        <v>9620244.3760000002</v>
      </c>
      <c r="K66" s="82"/>
      <c r="L66" s="82"/>
      <c r="M66" s="82"/>
      <c r="N66" s="165">
        <f t="shared" ref="N66:Q66" si="15">SUM(N12:N65)</f>
        <v>4394609.8559999997</v>
      </c>
      <c r="O66" s="165">
        <f t="shared" si="15"/>
        <v>4388014.5199999996</v>
      </c>
      <c r="P66" s="165">
        <f t="shared" si="15"/>
        <v>813940</v>
      </c>
      <c r="Q66" s="165">
        <f t="shared" si="15"/>
        <v>23680</v>
      </c>
      <c r="R66" s="128">
        <f>SUM(N66:Q66)</f>
        <v>9620244.3759999983</v>
      </c>
      <c r="S66" s="128">
        <f>J66-R66</f>
        <v>0</v>
      </c>
    </row>
    <row r="67" spans="1:19" s="81" customFormat="1" x14ac:dyDescent="0.2">
      <c r="A67" s="13"/>
      <c r="E67" s="199"/>
      <c r="F67" s="215"/>
      <c r="K67" s="136"/>
      <c r="L67" s="136"/>
      <c r="M67" s="136"/>
      <c r="N67" s="5">
        <f t="shared" si="6"/>
        <v>0</v>
      </c>
      <c r="O67" s="226">
        <f t="shared" si="7"/>
        <v>0</v>
      </c>
      <c r="P67" s="5">
        <f t="shared" si="8"/>
        <v>0</v>
      </c>
      <c r="Q67" s="5">
        <f t="shared" si="9"/>
        <v>0</v>
      </c>
      <c r="R67" s="136"/>
    </row>
    <row r="68" spans="1:19" s="128" customFormat="1" x14ac:dyDescent="0.25">
      <c r="A68" s="12" t="s">
        <v>243</v>
      </c>
      <c r="B68" s="131" t="s">
        <v>307</v>
      </c>
      <c r="C68" s="12"/>
      <c r="D68" s="12"/>
      <c r="E68" s="197"/>
      <c r="F68" s="213"/>
      <c r="G68" s="146"/>
      <c r="H68" s="12"/>
      <c r="I68" s="12"/>
      <c r="J68" s="12"/>
      <c r="K68" s="82"/>
      <c r="L68" s="82"/>
      <c r="M68" s="82"/>
      <c r="N68" s="17">
        <f t="shared" si="6"/>
        <v>0</v>
      </c>
      <c r="O68" s="228">
        <f t="shared" si="7"/>
        <v>0</v>
      </c>
      <c r="P68" s="17">
        <f t="shared" si="8"/>
        <v>0</v>
      </c>
      <c r="Q68" s="17">
        <f t="shared" si="9"/>
        <v>0</v>
      </c>
      <c r="R68" s="128">
        <f>SUM(N68:Q68)</f>
        <v>0</v>
      </c>
      <c r="S68" s="128">
        <f>J68-R68</f>
        <v>0</v>
      </c>
    </row>
    <row r="69" spans="1:19" s="144" customFormat="1" ht="96" x14ac:dyDescent="0.25">
      <c r="A69" s="5">
        <v>1</v>
      </c>
      <c r="B69" s="129" t="s">
        <v>308</v>
      </c>
      <c r="C69" s="13">
        <v>1</v>
      </c>
      <c r="D69" s="13">
        <v>0</v>
      </c>
      <c r="E69" s="190"/>
      <c r="F69" s="205"/>
      <c r="G69" s="130">
        <f t="shared" ref="G69:G132" si="16">C69+D69+E69+F69</f>
        <v>1</v>
      </c>
      <c r="H69" s="5" t="s">
        <v>309</v>
      </c>
      <c r="I69" s="106">
        <v>50995.43</v>
      </c>
      <c r="J69" s="130">
        <f t="shared" ref="J69:J132" si="17">G69*I69</f>
        <v>50995.43</v>
      </c>
      <c r="K69" s="136"/>
      <c r="L69" s="136"/>
      <c r="M69" s="136"/>
      <c r="N69" s="5">
        <f t="shared" si="6"/>
        <v>50995.43</v>
      </c>
      <c r="O69" s="226">
        <f t="shared" si="7"/>
        <v>0</v>
      </c>
      <c r="P69" s="5">
        <f t="shared" si="8"/>
        <v>0</v>
      </c>
      <c r="Q69" s="5">
        <f t="shared" si="9"/>
        <v>0</v>
      </c>
      <c r="R69" s="136"/>
    </row>
    <row r="70" spans="1:19" s="144" customFormat="1" ht="84" x14ac:dyDescent="0.25">
      <c r="A70" s="5">
        <f>A69+1</f>
        <v>2</v>
      </c>
      <c r="B70" s="129" t="s">
        <v>310</v>
      </c>
      <c r="C70" s="13">
        <v>2</v>
      </c>
      <c r="D70" s="13">
        <v>0</v>
      </c>
      <c r="E70" s="190"/>
      <c r="F70" s="205"/>
      <c r="G70" s="130">
        <f t="shared" si="16"/>
        <v>2</v>
      </c>
      <c r="H70" s="13" t="s">
        <v>178</v>
      </c>
      <c r="I70" s="97">
        <v>83294.11</v>
      </c>
      <c r="J70" s="130">
        <f t="shared" si="17"/>
        <v>166588.22</v>
      </c>
      <c r="K70" s="136"/>
      <c r="L70" s="136"/>
      <c r="M70" s="136"/>
      <c r="N70" s="5">
        <f t="shared" si="6"/>
        <v>166588.22</v>
      </c>
      <c r="O70" s="226">
        <f t="shared" si="7"/>
        <v>0</v>
      </c>
      <c r="P70" s="5">
        <f t="shared" si="8"/>
        <v>0</v>
      </c>
      <c r="Q70" s="5">
        <f t="shared" si="9"/>
        <v>0</v>
      </c>
      <c r="R70" s="136"/>
    </row>
    <row r="71" spans="1:19" s="144" customFormat="1" ht="72" x14ac:dyDescent="0.25">
      <c r="A71" s="5">
        <v>3</v>
      </c>
      <c r="B71" s="129" t="s">
        <v>311</v>
      </c>
      <c r="C71" s="13">
        <v>1</v>
      </c>
      <c r="D71" s="13">
        <v>0</v>
      </c>
      <c r="E71" s="190"/>
      <c r="F71" s="205"/>
      <c r="G71" s="130">
        <f t="shared" si="16"/>
        <v>1</v>
      </c>
      <c r="H71" s="5" t="s">
        <v>5</v>
      </c>
      <c r="I71" s="106">
        <v>26937.31</v>
      </c>
      <c r="J71" s="130">
        <f t="shared" si="17"/>
        <v>26937.31</v>
      </c>
      <c r="K71" s="136"/>
      <c r="L71" s="136"/>
      <c r="M71" s="136"/>
      <c r="N71" s="5">
        <f t="shared" si="6"/>
        <v>26937.31</v>
      </c>
      <c r="O71" s="226">
        <f t="shared" si="7"/>
        <v>0</v>
      </c>
      <c r="P71" s="5">
        <f t="shared" si="8"/>
        <v>0</v>
      </c>
      <c r="Q71" s="5">
        <f t="shared" si="9"/>
        <v>0</v>
      </c>
      <c r="R71" s="136"/>
    </row>
    <row r="72" spans="1:19" s="144" customFormat="1" ht="60" x14ac:dyDescent="0.25">
      <c r="A72" s="5">
        <f t="shared" ref="A72:A127" si="18">A71+1</f>
        <v>4</v>
      </c>
      <c r="B72" s="158" t="s">
        <v>312</v>
      </c>
      <c r="C72" s="13">
        <v>1</v>
      </c>
      <c r="D72" s="13">
        <v>0</v>
      </c>
      <c r="E72" s="190"/>
      <c r="F72" s="205"/>
      <c r="G72" s="130">
        <f t="shared" si="16"/>
        <v>1</v>
      </c>
      <c r="H72" s="5" t="s">
        <v>5</v>
      </c>
      <c r="I72" s="151">
        <v>120802.5</v>
      </c>
      <c r="J72" s="130">
        <f t="shared" si="17"/>
        <v>120802.5</v>
      </c>
      <c r="K72" s="136"/>
      <c r="L72" s="136"/>
      <c r="M72" s="136"/>
      <c r="N72" s="5">
        <f t="shared" si="6"/>
        <v>120802.5</v>
      </c>
      <c r="O72" s="226">
        <f t="shared" si="7"/>
        <v>0</v>
      </c>
      <c r="P72" s="5">
        <f t="shared" si="8"/>
        <v>0</v>
      </c>
      <c r="Q72" s="5">
        <f t="shared" si="9"/>
        <v>0</v>
      </c>
      <c r="R72" s="136"/>
    </row>
    <row r="73" spans="1:19" ht="60" x14ac:dyDescent="0.2">
      <c r="A73" s="5">
        <f t="shared" si="18"/>
        <v>5</v>
      </c>
      <c r="B73" s="129" t="s">
        <v>313</v>
      </c>
      <c r="C73" s="13">
        <v>1</v>
      </c>
      <c r="D73" s="13">
        <v>0</v>
      </c>
      <c r="E73" s="190"/>
      <c r="F73" s="205"/>
      <c r="G73" s="130">
        <f t="shared" si="16"/>
        <v>1</v>
      </c>
      <c r="H73" s="5" t="s">
        <v>5</v>
      </c>
      <c r="I73" s="5">
        <v>31270</v>
      </c>
      <c r="J73" s="130">
        <f t="shared" si="17"/>
        <v>31270</v>
      </c>
      <c r="K73" s="136"/>
      <c r="L73" s="136"/>
      <c r="M73" s="136"/>
      <c r="N73" s="5">
        <f t="shared" ref="N73:N142" si="19">C73*I73</f>
        <v>31270</v>
      </c>
      <c r="O73" s="226">
        <f t="shared" ref="O73:O142" si="20">D73*I73</f>
        <v>0</v>
      </c>
      <c r="P73" s="5">
        <f t="shared" ref="P73:P142" si="21">E73*I73</f>
        <v>0</v>
      </c>
      <c r="Q73" s="5">
        <f t="shared" ref="Q73:Q142" si="22">F73*I73</f>
        <v>0</v>
      </c>
      <c r="R73" s="136"/>
    </row>
    <row r="74" spans="1:19" s="144" customFormat="1" ht="48" x14ac:dyDescent="0.25">
      <c r="A74" s="5">
        <v>6</v>
      </c>
      <c r="B74" s="129" t="s">
        <v>314</v>
      </c>
      <c r="C74" s="13">
        <v>4</v>
      </c>
      <c r="D74" s="13">
        <v>0</v>
      </c>
      <c r="E74" s="190"/>
      <c r="F74" s="205"/>
      <c r="G74" s="130">
        <f t="shared" si="16"/>
        <v>4</v>
      </c>
      <c r="H74" s="5" t="s">
        <v>5</v>
      </c>
      <c r="I74" s="106">
        <v>8179.7599999999993</v>
      </c>
      <c r="J74" s="130">
        <f t="shared" si="17"/>
        <v>32719.039999999997</v>
      </c>
      <c r="K74" s="136"/>
      <c r="L74" s="136"/>
      <c r="M74" s="136"/>
      <c r="N74" s="5">
        <f t="shared" si="19"/>
        <v>32719.039999999997</v>
      </c>
      <c r="O74" s="226">
        <f t="shared" si="20"/>
        <v>0</v>
      </c>
      <c r="P74" s="5">
        <f t="shared" si="21"/>
        <v>0</v>
      </c>
      <c r="Q74" s="5">
        <f t="shared" si="22"/>
        <v>0</v>
      </c>
      <c r="R74" s="136"/>
    </row>
    <row r="75" spans="1:19" s="144" customFormat="1" ht="48" x14ac:dyDescent="0.25">
      <c r="A75" s="5">
        <f>A74+1</f>
        <v>7</v>
      </c>
      <c r="B75" s="129" t="s">
        <v>315</v>
      </c>
      <c r="C75" s="13">
        <v>1</v>
      </c>
      <c r="D75" s="13">
        <v>0</v>
      </c>
      <c r="E75" s="190"/>
      <c r="F75" s="205"/>
      <c r="G75" s="130">
        <f t="shared" si="16"/>
        <v>1</v>
      </c>
      <c r="H75" s="5" t="s">
        <v>5</v>
      </c>
      <c r="I75" s="106">
        <v>24988.23</v>
      </c>
      <c r="J75" s="130">
        <f t="shared" si="17"/>
        <v>24988.23</v>
      </c>
      <c r="K75" s="136"/>
      <c r="L75" s="136"/>
      <c r="M75" s="136"/>
      <c r="N75" s="5">
        <f t="shared" si="19"/>
        <v>24988.23</v>
      </c>
      <c r="O75" s="226">
        <f t="shared" si="20"/>
        <v>0</v>
      </c>
      <c r="P75" s="5">
        <f t="shared" si="21"/>
        <v>0</v>
      </c>
      <c r="Q75" s="5">
        <f t="shared" si="22"/>
        <v>0</v>
      </c>
      <c r="R75" s="136"/>
    </row>
    <row r="76" spans="1:19" s="144" customFormat="1" ht="36" x14ac:dyDescent="0.25">
      <c r="A76" s="5">
        <f>A75+1</f>
        <v>8</v>
      </c>
      <c r="B76" s="129" t="s">
        <v>316</v>
      </c>
      <c r="C76" s="13">
        <v>18</v>
      </c>
      <c r="D76" s="13">
        <v>0</v>
      </c>
      <c r="E76" s="190"/>
      <c r="F76" s="205"/>
      <c r="G76" s="130">
        <f t="shared" si="16"/>
        <v>18</v>
      </c>
      <c r="H76" s="5" t="s">
        <v>5</v>
      </c>
      <c r="I76" s="106">
        <v>2229.02</v>
      </c>
      <c r="J76" s="130">
        <f t="shared" si="17"/>
        <v>40122.36</v>
      </c>
      <c r="K76" s="136"/>
      <c r="L76" s="136"/>
      <c r="M76" s="136"/>
      <c r="N76" s="5">
        <f t="shared" si="19"/>
        <v>40122.36</v>
      </c>
      <c r="O76" s="226">
        <f t="shared" si="20"/>
        <v>0</v>
      </c>
      <c r="P76" s="5">
        <f t="shared" si="21"/>
        <v>0</v>
      </c>
      <c r="Q76" s="5">
        <f t="shared" si="22"/>
        <v>0</v>
      </c>
      <c r="R76" s="136"/>
    </row>
    <row r="77" spans="1:19" s="144" customFormat="1" ht="36" x14ac:dyDescent="0.25">
      <c r="A77" s="5">
        <v>9</v>
      </c>
      <c r="B77" s="129" t="s">
        <v>317</v>
      </c>
      <c r="C77" s="13">
        <v>4</v>
      </c>
      <c r="D77" s="13">
        <v>0</v>
      </c>
      <c r="E77" s="190"/>
      <c r="F77" s="205"/>
      <c r="G77" s="130">
        <f t="shared" si="16"/>
        <v>4</v>
      </c>
      <c r="H77" s="5" t="s">
        <v>5</v>
      </c>
      <c r="I77" s="106">
        <v>390.58</v>
      </c>
      <c r="J77" s="130">
        <f t="shared" si="17"/>
        <v>1562.32</v>
      </c>
      <c r="K77" s="136"/>
      <c r="L77" s="136"/>
      <c r="M77" s="136"/>
      <c r="N77" s="5">
        <f t="shared" si="19"/>
        <v>1562.32</v>
      </c>
      <c r="O77" s="226">
        <f t="shared" si="20"/>
        <v>0</v>
      </c>
      <c r="P77" s="5">
        <f t="shared" si="21"/>
        <v>0</v>
      </c>
      <c r="Q77" s="5">
        <f t="shared" si="22"/>
        <v>0</v>
      </c>
      <c r="R77" s="136"/>
    </row>
    <row r="78" spans="1:19" s="144" customFormat="1" ht="36" x14ac:dyDescent="0.25">
      <c r="A78" s="5">
        <f t="shared" si="18"/>
        <v>10</v>
      </c>
      <c r="B78" s="129" t="s">
        <v>318</v>
      </c>
      <c r="C78" s="13">
        <v>2</v>
      </c>
      <c r="D78" s="13">
        <v>2</v>
      </c>
      <c r="E78" s="190"/>
      <c r="F78" s="205"/>
      <c r="G78" s="130">
        <f t="shared" si="16"/>
        <v>4</v>
      </c>
      <c r="H78" s="5" t="s">
        <v>5</v>
      </c>
      <c r="I78" s="106">
        <v>9204</v>
      </c>
      <c r="J78" s="130">
        <f t="shared" si="17"/>
        <v>36816</v>
      </c>
      <c r="K78" s="136"/>
      <c r="L78" s="136"/>
      <c r="M78" s="136"/>
      <c r="N78" s="5">
        <f t="shared" si="19"/>
        <v>18408</v>
      </c>
      <c r="O78" s="226">
        <f t="shared" si="20"/>
        <v>18408</v>
      </c>
      <c r="P78" s="5">
        <f t="shared" si="21"/>
        <v>0</v>
      </c>
      <c r="Q78" s="5">
        <f t="shared" si="22"/>
        <v>0</v>
      </c>
      <c r="R78" s="136"/>
    </row>
    <row r="79" spans="1:19" s="276" customFormat="1" ht="84" x14ac:dyDescent="0.25">
      <c r="A79" s="268">
        <f t="shared" si="18"/>
        <v>11</v>
      </c>
      <c r="B79" s="266" t="s">
        <v>86</v>
      </c>
      <c r="C79" s="265">
        <v>7</v>
      </c>
      <c r="D79" s="265">
        <v>0</v>
      </c>
      <c r="E79" s="265">
        <v>15</v>
      </c>
      <c r="F79" s="265">
        <v>2</v>
      </c>
      <c r="G79" s="267">
        <f t="shared" si="16"/>
        <v>24</v>
      </c>
      <c r="H79" s="268" t="s">
        <v>5</v>
      </c>
      <c r="I79" s="269">
        <v>20874.2</v>
      </c>
      <c r="J79" s="267">
        <f t="shared" si="17"/>
        <v>500980.80000000005</v>
      </c>
      <c r="K79" s="271"/>
      <c r="L79" s="271"/>
      <c r="M79" s="271"/>
      <c r="N79" s="268">
        <f t="shared" si="19"/>
        <v>146119.4</v>
      </c>
      <c r="O79" s="269">
        <f t="shared" si="20"/>
        <v>0</v>
      </c>
      <c r="P79" s="268">
        <f t="shared" si="21"/>
        <v>313113</v>
      </c>
      <c r="Q79" s="268">
        <f t="shared" si="22"/>
        <v>41748.400000000001</v>
      </c>
      <c r="R79" s="271"/>
    </row>
    <row r="80" spans="1:19" s="273" customFormat="1" ht="84" x14ac:dyDescent="0.2">
      <c r="A80" s="265">
        <v>9</v>
      </c>
      <c r="B80" s="266" t="s">
        <v>86</v>
      </c>
      <c r="C80" s="265"/>
      <c r="D80" s="265"/>
      <c r="E80" s="265">
        <v>0</v>
      </c>
      <c r="F80" s="265"/>
      <c r="G80" s="267">
        <f t="shared" si="16"/>
        <v>0</v>
      </c>
      <c r="H80" s="268" t="s">
        <v>5</v>
      </c>
      <c r="I80" s="269">
        <v>20874.2</v>
      </c>
      <c r="J80" s="267">
        <f t="shared" si="17"/>
        <v>0</v>
      </c>
      <c r="K80" s="270" t="s">
        <v>87</v>
      </c>
      <c r="L80" s="271"/>
      <c r="M80" s="271"/>
      <c r="N80" s="268">
        <f t="shared" ref="N80:N81" si="23">C80*I80</f>
        <v>0</v>
      </c>
      <c r="O80" s="269">
        <f t="shared" ref="O80:O81" si="24">D80*I80</f>
        <v>0</v>
      </c>
      <c r="P80" s="268">
        <f t="shared" ref="P80:P81" si="25">E80*I80</f>
        <v>0</v>
      </c>
      <c r="Q80" s="268">
        <f t="shared" ref="Q80:Q81" si="26">F80*I80</f>
        <v>0</v>
      </c>
      <c r="R80" s="271"/>
      <c r="S80" s="272"/>
    </row>
    <row r="81" spans="1:239" s="273" customFormat="1" ht="36" x14ac:dyDescent="0.2">
      <c r="A81" s="265">
        <v>39</v>
      </c>
      <c r="B81" s="274" t="s">
        <v>185</v>
      </c>
      <c r="C81" s="265"/>
      <c r="D81" s="265"/>
      <c r="E81" s="268"/>
      <c r="F81" s="265">
        <v>0</v>
      </c>
      <c r="G81" s="267">
        <f t="shared" si="16"/>
        <v>0</v>
      </c>
      <c r="H81" s="265" t="s">
        <v>178</v>
      </c>
      <c r="I81" s="275">
        <v>21000</v>
      </c>
      <c r="J81" s="267">
        <f t="shared" si="17"/>
        <v>0</v>
      </c>
      <c r="K81" s="271"/>
      <c r="L81" s="271"/>
      <c r="M81" s="271"/>
      <c r="N81" s="268">
        <f t="shared" si="23"/>
        <v>0</v>
      </c>
      <c r="O81" s="269">
        <f t="shared" si="24"/>
        <v>0</v>
      </c>
      <c r="P81" s="268">
        <f t="shared" si="25"/>
        <v>0</v>
      </c>
      <c r="Q81" s="268">
        <f t="shared" si="26"/>
        <v>0</v>
      </c>
      <c r="R81" s="271"/>
      <c r="S81" s="272"/>
    </row>
    <row r="82" spans="1:239" s="144" customFormat="1" ht="36" x14ac:dyDescent="0.25">
      <c r="A82" s="5">
        <f>A79+1</f>
        <v>12</v>
      </c>
      <c r="B82" s="6" t="s">
        <v>319</v>
      </c>
      <c r="C82" s="13">
        <v>1</v>
      </c>
      <c r="D82" s="13">
        <v>0</v>
      </c>
      <c r="E82" s="190"/>
      <c r="F82" s="205"/>
      <c r="G82" s="130">
        <f t="shared" si="16"/>
        <v>1</v>
      </c>
      <c r="H82" s="5" t="s">
        <v>1</v>
      </c>
      <c r="I82" s="106">
        <v>14160</v>
      </c>
      <c r="J82" s="130">
        <f t="shared" si="17"/>
        <v>14160</v>
      </c>
      <c r="K82" s="136"/>
      <c r="L82" s="136"/>
      <c r="M82" s="136"/>
      <c r="N82" s="5">
        <f t="shared" si="19"/>
        <v>14160</v>
      </c>
      <c r="O82" s="226">
        <f t="shared" si="20"/>
        <v>0</v>
      </c>
      <c r="P82" s="5">
        <f t="shared" si="21"/>
        <v>0</v>
      </c>
      <c r="Q82" s="5">
        <f t="shared" si="22"/>
        <v>0</v>
      </c>
      <c r="R82" s="136"/>
    </row>
    <row r="83" spans="1:239" s="144" customFormat="1" ht="76.5" x14ac:dyDescent="0.25">
      <c r="A83" s="5">
        <f t="shared" si="18"/>
        <v>13</v>
      </c>
      <c r="B83" s="159" t="s">
        <v>401</v>
      </c>
      <c r="C83" s="13">
        <v>108</v>
      </c>
      <c r="D83" s="13">
        <v>0</v>
      </c>
      <c r="E83" s="190">
        <v>60</v>
      </c>
      <c r="F83" s="205"/>
      <c r="G83" s="130">
        <f t="shared" si="16"/>
        <v>168</v>
      </c>
      <c r="H83" s="13" t="s">
        <v>291</v>
      </c>
      <c r="I83" s="97">
        <v>88.5</v>
      </c>
      <c r="J83" s="130">
        <f t="shared" si="17"/>
        <v>14868</v>
      </c>
      <c r="K83" s="136"/>
      <c r="L83" s="136"/>
      <c r="M83" s="136"/>
      <c r="N83" s="5">
        <f t="shared" si="19"/>
        <v>9558</v>
      </c>
      <c r="O83" s="226">
        <f t="shared" si="20"/>
        <v>0</v>
      </c>
      <c r="P83" s="5">
        <f t="shared" si="21"/>
        <v>5310</v>
      </c>
      <c r="Q83" s="5">
        <f t="shared" si="22"/>
        <v>0</v>
      </c>
      <c r="R83" s="136"/>
    </row>
    <row r="84" spans="1:239" s="133" customFormat="1" ht="24" x14ac:dyDescent="0.2">
      <c r="A84" s="72">
        <v>35</v>
      </c>
      <c r="B84" s="71" t="s">
        <v>371</v>
      </c>
      <c r="C84" s="72"/>
      <c r="D84" s="72"/>
      <c r="E84" s="190"/>
      <c r="F84" s="205"/>
      <c r="G84" s="132">
        <f>C84+D84+E84+F84</f>
        <v>0</v>
      </c>
      <c r="H84" s="72" t="s">
        <v>125</v>
      </c>
      <c r="I84" s="72">
        <v>210</v>
      </c>
      <c r="J84" s="132">
        <f>G84*I84</f>
        <v>0</v>
      </c>
      <c r="K84" s="121"/>
      <c r="L84" s="121"/>
      <c r="M84" s="121"/>
      <c r="N84" s="5">
        <f>C84*I84</f>
        <v>0</v>
      </c>
      <c r="O84" s="226">
        <f>D84*I84</f>
        <v>0</v>
      </c>
      <c r="P84" s="5">
        <f>E84*I84</f>
        <v>0</v>
      </c>
      <c r="Q84" s="5">
        <f>F84*I84</f>
        <v>0</v>
      </c>
      <c r="R84" s="121"/>
      <c r="S84" s="120"/>
    </row>
    <row r="85" spans="1:239" s="144" customFormat="1" ht="36" x14ac:dyDescent="0.25">
      <c r="A85" s="5">
        <f>A83+1</f>
        <v>14</v>
      </c>
      <c r="B85" s="6" t="s">
        <v>321</v>
      </c>
      <c r="C85" s="13">
        <v>10</v>
      </c>
      <c r="D85" s="13">
        <v>0</v>
      </c>
      <c r="E85" s="190"/>
      <c r="F85" s="205"/>
      <c r="G85" s="130">
        <f t="shared" si="16"/>
        <v>10</v>
      </c>
      <c r="H85" s="5" t="s">
        <v>5</v>
      </c>
      <c r="I85" s="160">
        <v>600</v>
      </c>
      <c r="J85" s="130">
        <f t="shared" si="17"/>
        <v>6000</v>
      </c>
      <c r="K85" s="136"/>
      <c r="L85" s="136"/>
      <c r="M85" s="136"/>
      <c r="N85" s="5">
        <f t="shared" si="19"/>
        <v>6000</v>
      </c>
      <c r="O85" s="226">
        <f t="shared" si="20"/>
        <v>0</v>
      </c>
      <c r="P85" s="5">
        <f t="shared" si="21"/>
        <v>0</v>
      </c>
      <c r="Q85" s="5">
        <f t="shared" si="22"/>
        <v>0</v>
      </c>
      <c r="R85" s="136"/>
    </row>
    <row r="86" spans="1:239" s="252" customFormat="1" ht="60" x14ac:dyDescent="0.25">
      <c r="A86" s="192">
        <f t="shared" si="18"/>
        <v>15</v>
      </c>
      <c r="B86" s="191" t="s">
        <v>322</v>
      </c>
      <c r="C86" s="190">
        <v>2</v>
      </c>
      <c r="D86" s="190">
        <v>2</v>
      </c>
      <c r="E86" s="190"/>
      <c r="F86" s="190">
        <v>2</v>
      </c>
      <c r="G86" s="193">
        <f t="shared" si="16"/>
        <v>6</v>
      </c>
      <c r="H86" s="190" t="s">
        <v>178</v>
      </c>
      <c r="I86" s="253">
        <v>15443</v>
      </c>
      <c r="J86" s="193">
        <f t="shared" si="17"/>
        <v>92658</v>
      </c>
      <c r="K86" s="194"/>
      <c r="L86" s="194"/>
      <c r="M86" s="194"/>
      <c r="N86" s="192">
        <f t="shared" si="19"/>
        <v>30886</v>
      </c>
      <c r="O86" s="251">
        <f t="shared" si="20"/>
        <v>30886</v>
      </c>
      <c r="P86" s="192">
        <f t="shared" si="21"/>
        <v>0</v>
      </c>
      <c r="Q86" s="192">
        <f t="shared" si="22"/>
        <v>30886</v>
      </c>
      <c r="R86" s="194"/>
    </row>
    <row r="87" spans="1:239" s="196" customFormat="1" ht="24" x14ac:dyDescent="0.2">
      <c r="A87" s="190">
        <v>40</v>
      </c>
      <c r="B87" s="258" t="s">
        <v>189</v>
      </c>
      <c r="C87" s="190"/>
      <c r="D87" s="190"/>
      <c r="E87" s="190"/>
      <c r="F87" s="190">
        <v>0</v>
      </c>
      <c r="G87" s="193">
        <f t="shared" si="16"/>
        <v>0</v>
      </c>
      <c r="H87" s="190" t="s">
        <v>5</v>
      </c>
      <c r="I87" s="259">
        <v>20250</v>
      </c>
      <c r="J87" s="193">
        <f t="shared" si="17"/>
        <v>0</v>
      </c>
      <c r="K87" s="194"/>
      <c r="L87" s="194"/>
      <c r="M87" s="194"/>
      <c r="N87" s="192">
        <f t="shared" si="19"/>
        <v>0</v>
      </c>
      <c r="O87" s="251">
        <f t="shared" si="20"/>
        <v>0</v>
      </c>
      <c r="P87" s="192">
        <f t="shared" si="21"/>
        <v>0</v>
      </c>
      <c r="Q87" s="192">
        <f t="shared" si="22"/>
        <v>0</v>
      </c>
      <c r="R87" s="194"/>
      <c r="S87" s="195"/>
    </row>
    <row r="88" spans="1:239" s="196" customFormat="1" ht="48" x14ac:dyDescent="0.2">
      <c r="A88" s="192">
        <v>53</v>
      </c>
      <c r="B88" s="191" t="s">
        <v>306</v>
      </c>
      <c r="C88" s="192">
        <v>0</v>
      </c>
      <c r="D88" s="192">
        <v>0</v>
      </c>
      <c r="E88" s="192"/>
      <c r="F88" s="192"/>
      <c r="G88" s="193">
        <f t="shared" si="16"/>
        <v>0</v>
      </c>
      <c r="H88" s="192" t="s">
        <v>2</v>
      </c>
      <c r="I88" s="260">
        <v>23712</v>
      </c>
      <c r="J88" s="193">
        <f t="shared" si="17"/>
        <v>0</v>
      </c>
      <c r="K88" s="194"/>
      <c r="L88" s="194"/>
      <c r="M88" s="194"/>
      <c r="N88" s="192">
        <f t="shared" si="19"/>
        <v>0</v>
      </c>
      <c r="O88" s="251">
        <f t="shared" si="20"/>
        <v>0</v>
      </c>
      <c r="P88" s="192">
        <f t="shared" si="21"/>
        <v>0</v>
      </c>
      <c r="Q88" s="192">
        <f t="shared" si="22"/>
        <v>0</v>
      </c>
      <c r="R88" s="194"/>
    </row>
    <row r="89" spans="1:239" s="133" customFormat="1" ht="84" x14ac:dyDescent="0.2">
      <c r="A89" s="70">
        <f>A86+1</f>
        <v>16</v>
      </c>
      <c r="B89" s="111" t="s">
        <v>323</v>
      </c>
      <c r="C89" s="72">
        <v>36</v>
      </c>
      <c r="D89" s="72">
        <v>4</v>
      </c>
      <c r="E89" s="190">
        <v>18</v>
      </c>
      <c r="F89" s="205">
        <v>10</v>
      </c>
      <c r="G89" s="132">
        <f t="shared" si="16"/>
        <v>68</v>
      </c>
      <c r="H89" s="72" t="s">
        <v>125</v>
      </c>
      <c r="I89" s="76">
        <v>250</v>
      </c>
      <c r="J89" s="132">
        <f t="shared" si="17"/>
        <v>17000</v>
      </c>
      <c r="K89" s="121"/>
      <c r="L89" s="121"/>
      <c r="M89" s="121"/>
      <c r="N89" s="5">
        <f t="shared" si="19"/>
        <v>9000</v>
      </c>
      <c r="O89" s="226">
        <f t="shared" si="20"/>
        <v>1000</v>
      </c>
      <c r="P89" s="5">
        <f t="shared" si="21"/>
        <v>4500</v>
      </c>
      <c r="Q89" s="5">
        <f t="shared" si="22"/>
        <v>2500</v>
      </c>
      <c r="R89" s="121"/>
    </row>
    <row r="90" spans="1:239" ht="36" x14ac:dyDescent="0.2">
      <c r="A90" s="5">
        <f t="shared" si="18"/>
        <v>17</v>
      </c>
      <c r="B90" s="129" t="s">
        <v>324</v>
      </c>
      <c r="C90" s="13">
        <v>1</v>
      </c>
      <c r="D90" s="13">
        <v>0</v>
      </c>
      <c r="E90" s="190"/>
      <c r="F90" s="205"/>
      <c r="G90" s="130">
        <f t="shared" si="16"/>
        <v>1</v>
      </c>
      <c r="H90" s="13" t="s">
        <v>5</v>
      </c>
      <c r="I90" s="106">
        <v>2400</v>
      </c>
      <c r="J90" s="130">
        <f t="shared" si="17"/>
        <v>2400</v>
      </c>
      <c r="K90" s="136"/>
      <c r="L90" s="136"/>
      <c r="M90" s="136"/>
      <c r="N90" s="5">
        <f t="shared" si="19"/>
        <v>2400</v>
      </c>
      <c r="O90" s="226">
        <f t="shared" si="20"/>
        <v>0</v>
      </c>
      <c r="P90" s="5">
        <f t="shared" si="21"/>
        <v>0</v>
      </c>
      <c r="Q90" s="5">
        <f t="shared" si="22"/>
        <v>0</v>
      </c>
      <c r="R90" s="136"/>
    </row>
    <row r="91" spans="1:239" ht="48" x14ac:dyDescent="0.2">
      <c r="A91" s="5">
        <f t="shared" si="18"/>
        <v>18</v>
      </c>
      <c r="B91" s="6" t="s">
        <v>325</v>
      </c>
      <c r="C91" s="13">
        <v>1</v>
      </c>
      <c r="D91" s="13">
        <v>1</v>
      </c>
      <c r="E91" s="190"/>
      <c r="F91" s="205"/>
      <c r="G91" s="130">
        <f t="shared" si="16"/>
        <v>2</v>
      </c>
      <c r="H91" s="5" t="s">
        <v>5</v>
      </c>
      <c r="I91" s="97">
        <v>8000</v>
      </c>
      <c r="J91" s="130">
        <f t="shared" si="17"/>
        <v>16000</v>
      </c>
      <c r="K91" s="136"/>
      <c r="L91" s="136"/>
      <c r="M91" s="136"/>
      <c r="N91" s="5">
        <f t="shared" si="19"/>
        <v>8000</v>
      </c>
      <c r="O91" s="226">
        <f t="shared" si="20"/>
        <v>8000</v>
      </c>
      <c r="P91" s="5">
        <f t="shared" si="21"/>
        <v>0</v>
      </c>
      <c r="Q91" s="5">
        <f t="shared" si="22"/>
        <v>0</v>
      </c>
      <c r="R91" s="136"/>
    </row>
    <row r="92" spans="1:239" ht="84" x14ac:dyDescent="0.2">
      <c r="A92" s="5">
        <f t="shared" si="18"/>
        <v>19</v>
      </c>
      <c r="B92" s="6" t="s">
        <v>326</v>
      </c>
      <c r="C92" s="13">
        <v>1</v>
      </c>
      <c r="D92" s="13">
        <v>0</v>
      </c>
      <c r="E92" s="190"/>
      <c r="F92" s="205"/>
      <c r="G92" s="130">
        <f t="shared" si="16"/>
        <v>1</v>
      </c>
      <c r="H92" s="13" t="s">
        <v>5</v>
      </c>
      <c r="I92" s="106">
        <v>39325.769999999997</v>
      </c>
      <c r="J92" s="130">
        <f t="shared" si="17"/>
        <v>39325.769999999997</v>
      </c>
      <c r="K92" s="136"/>
      <c r="L92" s="136"/>
      <c r="M92" s="136"/>
      <c r="N92" s="5">
        <f t="shared" si="19"/>
        <v>39325.769999999997</v>
      </c>
      <c r="O92" s="226">
        <f t="shared" si="20"/>
        <v>0</v>
      </c>
      <c r="P92" s="5">
        <f t="shared" si="21"/>
        <v>0</v>
      </c>
      <c r="Q92" s="5">
        <f t="shared" si="22"/>
        <v>0</v>
      </c>
      <c r="R92" s="136"/>
    </row>
    <row r="93" spans="1:239" ht="24" x14ac:dyDescent="0.2">
      <c r="A93" s="5">
        <f t="shared" si="18"/>
        <v>20</v>
      </c>
      <c r="B93" s="6" t="s">
        <v>327</v>
      </c>
      <c r="C93" s="13">
        <v>1</v>
      </c>
      <c r="D93" s="13">
        <v>0</v>
      </c>
      <c r="E93" s="190"/>
      <c r="F93" s="205"/>
      <c r="G93" s="130">
        <f t="shared" si="16"/>
        <v>1</v>
      </c>
      <c r="H93" s="13" t="s">
        <v>5</v>
      </c>
      <c r="I93" s="106">
        <v>7080</v>
      </c>
      <c r="J93" s="130">
        <f t="shared" si="17"/>
        <v>7080</v>
      </c>
      <c r="K93" s="136"/>
      <c r="L93" s="136"/>
      <c r="M93" s="136"/>
      <c r="N93" s="5">
        <f t="shared" si="19"/>
        <v>7080</v>
      </c>
      <c r="O93" s="226">
        <f t="shared" si="20"/>
        <v>0</v>
      </c>
      <c r="P93" s="5">
        <f t="shared" si="21"/>
        <v>0</v>
      </c>
      <c r="Q93" s="5">
        <f t="shared" si="22"/>
        <v>0</v>
      </c>
      <c r="R93" s="136"/>
    </row>
    <row r="94" spans="1:239" s="141" customFormat="1" ht="72" x14ac:dyDescent="0.25">
      <c r="A94" s="5">
        <f t="shared" si="18"/>
        <v>21</v>
      </c>
      <c r="B94" s="129" t="s">
        <v>328</v>
      </c>
      <c r="C94" s="13">
        <v>5</v>
      </c>
      <c r="D94" s="13">
        <v>0</v>
      </c>
      <c r="E94" s="190"/>
      <c r="F94" s="205"/>
      <c r="G94" s="130">
        <f t="shared" si="16"/>
        <v>5</v>
      </c>
      <c r="H94" s="13" t="s">
        <v>5</v>
      </c>
      <c r="I94" s="13">
        <v>13800</v>
      </c>
      <c r="J94" s="130">
        <f t="shared" si="17"/>
        <v>69000</v>
      </c>
      <c r="K94" s="136"/>
      <c r="L94" s="136"/>
      <c r="M94" s="136"/>
      <c r="N94" s="5">
        <f t="shared" si="19"/>
        <v>69000</v>
      </c>
      <c r="O94" s="226">
        <f t="shared" si="20"/>
        <v>0</v>
      </c>
      <c r="P94" s="5">
        <f t="shared" si="21"/>
        <v>0</v>
      </c>
      <c r="Q94" s="5">
        <f t="shared" si="22"/>
        <v>0</v>
      </c>
      <c r="R94" s="136"/>
    </row>
    <row r="95" spans="1:239" s="141" customFormat="1" ht="72" x14ac:dyDescent="0.25">
      <c r="A95" s="5">
        <f t="shared" si="18"/>
        <v>22</v>
      </c>
      <c r="B95" s="129" t="s">
        <v>329</v>
      </c>
      <c r="C95" s="13">
        <v>4</v>
      </c>
      <c r="D95" s="13">
        <v>0</v>
      </c>
      <c r="E95" s="190"/>
      <c r="F95" s="205"/>
      <c r="G95" s="130">
        <f t="shared" si="16"/>
        <v>4</v>
      </c>
      <c r="H95" s="13" t="s">
        <v>5</v>
      </c>
      <c r="I95" s="13">
        <v>17500</v>
      </c>
      <c r="J95" s="130">
        <f t="shared" si="17"/>
        <v>70000</v>
      </c>
      <c r="K95" s="136"/>
      <c r="L95" s="136"/>
      <c r="M95" s="136"/>
      <c r="N95" s="5">
        <f t="shared" si="19"/>
        <v>70000</v>
      </c>
      <c r="O95" s="226">
        <f t="shared" si="20"/>
        <v>0</v>
      </c>
      <c r="P95" s="5">
        <f t="shared" si="21"/>
        <v>0</v>
      </c>
      <c r="Q95" s="5">
        <f t="shared" si="22"/>
        <v>0</v>
      </c>
      <c r="R95" s="136"/>
    </row>
    <row r="96" spans="1:239" s="252" customFormat="1" ht="60" x14ac:dyDescent="0.2">
      <c r="A96" s="192">
        <f t="shared" si="18"/>
        <v>23</v>
      </c>
      <c r="B96" s="256" t="s">
        <v>330</v>
      </c>
      <c r="C96" s="190">
        <v>5</v>
      </c>
      <c r="D96" s="190">
        <v>1</v>
      </c>
      <c r="E96" s="190">
        <v>5</v>
      </c>
      <c r="F96" s="190">
        <v>1</v>
      </c>
      <c r="G96" s="193">
        <f t="shared" si="16"/>
        <v>12</v>
      </c>
      <c r="H96" s="190" t="s">
        <v>178</v>
      </c>
      <c r="I96" s="253">
        <v>38350</v>
      </c>
      <c r="J96" s="193">
        <f t="shared" si="17"/>
        <v>460200</v>
      </c>
      <c r="K96" s="194"/>
      <c r="L96" s="194"/>
      <c r="M96" s="194"/>
      <c r="N96" s="192">
        <f t="shared" si="19"/>
        <v>191750</v>
      </c>
      <c r="O96" s="251">
        <f t="shared" si="20"/>
        <v>38350</v>
      </c>
      <c r="P96" s="192">
        <f t="shared" si="21"/>
        <v>191750</v>
      </c>
      <c r="Q96" s="192">
        <f t="shared" si="22"/>
        <v>38350</v>
      </c>
      <c r="R96" s="194"/>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c r="BD96" s="196"/>
      <c r="BE96" s="196"/>
      <c r="BF96" s="196"/>
      <c r="BG96" s="196"/>
      <c r="BH96" s="196"/>
      <c r="BI96" s="196"/>
      <c r="BJ96" s="196"/>
      <c r="BK96" s="196"/>
      <c r="BL96" s="196"/>
      <c r="BM96" s="196"/>
      <c r="BN96" s="196"/>
      <c r="BO96" s="196"/>
      <c r="BP96" s="196"/>
      <c r="BQ96" s="196"/>
      <c r="BR96" s="196"/>
      <c r="BS96" s="196"/>
      <c r="BT96" s="196"/>
      <c r="BU96" s="196"/>
      <c r="BV96" s="196"/>
      <c r="BW96" s="196"/>
      <c r="BX96" s="196"/>
      <c r="BY96" s="196"/>
      <c r="BZ96" s="196"/>
      <c r="CA96" s="196"/>
      <c r="CB96" s="196"/>
      <c r="CC96" s="196"/>
      <c r="CD96" s="196"/>
      <c r="CE96" s="196"/>
      <c r="CF96" s="196"/>
      <c r="CG96" s="196"/>
      <c r="CH96" s="196"/>
      <c r="CI96" s="196"/>
      <c r="CJ96" s="196"/>
      <c r="CK96" s="196"/>
      <c r="CL96" s="196"/>
      <c r="CM96" s="196"/>
      <c r="CN96" s="196"/>
      <c r="CO96" s="196"/>
      <c r="CP96" s="196"/>
      <c r="CQ96" s="196"/>
      <c r="CR96" s="196"/>
      <c r="CS96" s="196"/>
      <c r="CT96" s="196"/>
      <c r="CU96" s="196"/>
      <c r="CV96" s="196"/>
      <c r="CW96" s="196"/>
      <c r="CX96" s="196"/>
      <c r="CY96" s="196"/>
      <c r="CZ96" s="196"/>
      <c r="DA96" s="196"/>
      <c r="DB96" s="196"/>
      <c r="DC96" s="196"/>
      <c r="DD96" s="196"/>
      <c r="DE96" s="196"/>
      <c r="DF96" s="196"/>
      <c r="DG96" s="196"/>
      <c r="DH96" s="196"/>
      <c r="DI96" s="196"/>
      <c r="DJ96" s="196"/>
      <c r="DK96" s="196"/>
      <c r="DL96" s="196"/>
      <c r="DM96" s="196"/>
      <c r="DN96" s="196"/>
      <c r="DO96" s="196"/>
      <c r="DP96" s="196"/>
      <c r="DQ96" s="196"/>
      <c r="DR96" s="196"/>
      <c r="DS96" s="196"/>
      <c r="DT96" s="196"/>
      <c r="DU96" s="196"/>
      <c r="DV96" s="196"/>
      <c r="DW96" s="196"/>
      <c r="DX96" s="196"/>
      <c r="DY96" s="196"/>
      <c r="DZ96" s="196"/>
      <c r="EA96" s="196"/>
      <c r="EB96" s="196"/>
      <c r="EC96" s="196"/>
      <c r="ED96" s="196"/>
      <c r="EE96" s="196"/>
      <c r="EF96" s="196"/>
      <c r="EG96" s="196"/>
      <c r="EH96" s="196"/>
      <c r="EI96" s="196"/>
      <c r="EJ96" s="196"/>
      <c r="EK96" s="196"/>
      <c r="EL96" s="196"/>
      <c r="EM96" s="196"/>
      <c r="EN96" s="196"/>
      <c r="EO96" s="196"/>
      <c r="EP96" s="196"/>
      <c r="EQ96" s="196"/>
      <c r="ER96" s="196"/>
      <c r="ES96" s="196"/>
      <c r="ET96" s="196"/>
      <c r="EU96" s="196"/>
      <c r="EV96" s="196"/>
      <c r="EW96" s="196"/>
      <c r="EX96" s="196"/>
      <c r="EY96" s="196"/>
      <c r="EZ96" s="196"/>
      <c r="FA96" s="196"/>
      <c r="FB96" s="196"/>
      <c r="FC96" s="196"/>
      <c r="FD96" s="196"/>
      <c r="FE96" s="196"/>
      <c r="FF96" s="196"/>
      <c r="FG96" s="196"/>
      <c r="FH96" s="196"/>
      <c r="FI96" s="196"/>
      <c r="FJ96" s="196"/>
      <c r="FK96" s="196"/>
      <c r="FL96" s="196"/>
      <c r="FM96" s="196"/>
      <c r="FN96" s="196"/>
      <c r="FO96" s="196"/>
      <c r="FP96" s="196"/>
      <c r="FQ96" s="196"/>
      <c r="FR96" s="196"/>
      <c r="FS96" s="196"/>
      <c r="FT96" s="196"/>
      <c r="FU96" s="196"/>
      <c r="FV96" s="196"/>
      <c r="FW96" s="196"/>
      <c r="FX96" s="196"/>
      <c r="FY96" s="196"/>
      <c r="FZ96" s="196"/>
      <c r="GA96" s="196"/>
      <c r="GB96" s="196"/>
      <c r="GC96" s="196"/>
      <c r="GD96" s="196"/>
      <c r="GE96" s="196"/>
      <c r="GF96" s="196"/>
      <c r="GG96" s="196"/>
      <c r="GH96" s="196"/>
      <c r="GI96" s="196"/>
      <c r="GJ96" s="196"/>
      <c r="GK96" s="196"/>
      <c r="GL96" s="196"/>
      <c r="GM96" s="196"/>
      <c r="GN96" s="196"/>
      <c r="GO96" s="196"/>
      <c r="GP96" s="196"/>
      <c r="GQ96" s="196"/>
      <c r="GR96" s="196"/>
      <c r="GS96" s="196"/>
      <c r="GT96" s="196"/>
      <c r="GU96" s="196"/>
      <c r="GV96" s="196"/>
      <c r="GW96" s="196"/>
      <c r="GX96" s="196"/>
      <c r="GY96" s="196"/>
      <c r="GZ96" s="196"/>
      <c r="HA96" s="196"/>
      <c r="HB96" s="196"/>
      <c r="HC96" s="196"/>
      <c r="HD96" s="196"/>
      <c r="HE96" s="196"/>
      <c r="HF96" s="196"/>
      <c r="HG96" s="196"/>
      <c r="HH96" s="196"/>
      <c r="HI96" s="196"/>
      <c r="HJ96" s="196"/>
      <c r="HK96" s="196"/>
      <c r="HL96" s="196"/>
      <c r="HM96" s="196"/>
      <c r="HN96" s="196"/>
      <c r="HO96" s="196"/>
      <c r="HP96" s="196"/>
      <c r="HQ96" s="196"/>
      <c r="HR96" s="196"/>
      <c r="HS96" s="196"/>
      <c r="HT96" s="196"/>
      <c r="HU96" s="196"/>
      <c r="HV96" s="196"/>
      <c r="HW96" s="196"/>
      <c r="HX96" s="196"/>
      <c r="HY96" s="196"/>
      <c r="HZ96" s="196"/>
      <c r="IA96" s="196"/>
      <c r="IB96" s="196"/>
      <c r="IC96" s="196"/>
      <c r="ID96" s="196"/>
      <c r="IE96" s="196"/>
    </row>
    <row r="97" spans="1:245" s="194" customFormat="1" ht="48" x14ac:dyDescent="0.25">
      <c r="A97" s="192">
        <f>A119+1</f>
        <v>43</v>
      </c>
      <c r="B97" s="191" t="s">
        <v>349</v>
      </c>
      <c r="C97" s="190">
        <v>0</v>
      </c>
      <c r="D97" s="190">
        <v>0</v>
      </c>
      <c r="E97" s="190"/>
      <c r="F97" s="190"/>
      <c r="G97" s="193">
        <f>C97+D97+E97+F97</f>
        <v>0</v>
      </c>
      <c r="H97" s="192" t="s">
        <v>5</v>
      </c>
      <c r="I97" s="251">
        <v>38350</v>
      </c>
      <c r="J97" s="193">
        <f>G97*I97</f>
        <v>0</v>
      </c>
      <c r="N97" s="192">
        <f>C97*I97</f>
        <v>0</v>
      </c>
      <c r="O97" s="251">
        <f>D97*I97</f>
        <v>0</v>
      </c>
      <c r="P97" s="192">
        <f>E97*I97</f>
        <v>0</v>
      </c>
      <c r="Q97" s="192">
        <f>F97*I97</f>
        <v>0</v>
      </c>
    </row>
    <row r="98" spans="1:245" s="196" customFormat="1" ht="36" x14ac:dyDescent="0.2">
      <c r="A98" s="190">
        <v>22</v>
      </c>
      <c r="B98" s="191" t="s">
        <v>122</v>
      </c>
      <c r="C98" s="190"/>
      <c r="D98" s="190"/>
      <c r="E98" s="190">
        <v>0</v>
      </c>
      <c r="F98" s="190"/>
      <c r="G98" s="193">
        <f>C98+D98+E98+F98</f>
        <v>0</v>
      </c>
      <c r="H98" s="192" t="s">
        <v>5</v>
      </c>
      <c r="I98" s="304">
        <v>38500</v>
      </c>
      <c r="J98" s="193">
        <f>G98*I98</f>
        <v>0</v>
      </c>
      <c r="K98" s="194"/>
      <c r="L98" s="194"/>
      <c r="M98" s="194"/>
      <c r="N98" s="192">
        <f>C98*I98</f>
        <v>0</v>
      </c>
      <c r="O98" s="251">
        <f>D98*I98</f>
        <v>0</v>
      </c>
      <c r="P98" s="192">
        <f>E98*I98</f>
        <v>0</v>
      </c>
      <c r="Q98" s="192">
        <f>F98*I98</f>
        <v>0</v>
      </c>
      <c r="R98" s="194"/>
      <c r="S98" s="195"/>
    </row>
    <row r="99" spans="1:245" s="14" customFormat="1" ht="84" x14ac:dyDescent="0.25">
      <c r="A99" s="5">
        <f>A96+1</f>
        <v>24</v>
      </c>
      <c r="B99" s="6" t="s">
        <v>331</v>
      </c>
      <c r="C99" s="13">
        <v>1</v>
      </c>
      <c r="D99" s="13">
        <v>0</v>
      </c>
      <c r="E99" s="190"/>
      <c r="F99" s="205"/>
      <c r="G99" s="130">
        <f t="shared" si="16"/>
        <v>1</v>
      </c>
      <c r="H99" s="5" t="s">
        <v>5</v>
      </c>
      <c r="I99" s="97">
        <v>87910</v>
      </c>
      <c r="J99" s="130">
        <f t="shared" si="17"/>
        <v>87910</v>
      </c>
      <c r="K99" s="136"/>
      <c r="L99" s="136"/>
      <c r="M99" s="136"/>
      <c r="N99" s="5">
        <f t="shared" si="19"/>
        <v>87910</v>
      </c>
      <c r="O99" s="226">
        <f t="shared" si="20"/>
        <v>0</v>
      </c>
      <c r="P99" s="5">
        <f t="shared" si="21"/>
        <v>0</v>
      </c>
      <c r="Q99" s="5">
        <f t="shared" si="22"/>
        <v>0</v>
      </c>
      <c r="R99" s="136"/>
    </row>
    <row r="100" spans="1:245" s="172" customFormat="1" ht="120" x14ac:dyDescent="0.25">
      <c r="A100" s="136">
        <v>25</v>
      </c>
      <c r="B100" s="148" t="s">
        <v>332</v>
      </c>
      <c r="C100" s="137">
        <v>400</v>
      </c>
      <c r="D100" s="137">
        <v>300</v>
      </c>
      <c r="E100" s="201"/>
      <c r="F100" s="217"/>
      <c r="G100" s="130">
        <f t="shared" si="16"/>
        <v>700</v>
      </c>
      <c r="H100" s="137" t="s">
        <v>333</v>
      </c>
      <c r="I100" s="171">
        <v>41.3</v>
      </c>
      <c r="J100" s="143">
        <f t="shared" si="17"/>
        <v>28909.999999999996</v>
      </c>
      <c r="K100" s="136"/>
      <c r="L100" s="136"/>
      <c r="M100" s="136"/>
      <c r="N100" s="5">
        <f t="shared" si="19"/>
        <v>16520</v>
      </c>
      <c r="O100" s="226">
        <f t="shared" si="20"/>
        <v>12390</v>
      </c>
      <c r="P100" s="5">
        <f t="shared" si="21"/>
        <v>0</v>
      </c>
      <c r="Q100" s="5">
        <f t="shared" si="22"/>
        <v>0</v>
      </c>
      <c r="R100" s="136"/>
    </row>
    <row r="101" spans="1:245" s="144" customFormat="1" ht="72" x14ac:dyDescent="0.25">
      <c r="A101" s="5">
        <f t="shared" si="18"/>
        <v>26</v>
      </c>
      <c r="B101" s="129" t="s">
        <v>334</v>
      </c>
      <c r="C101" s="13">
        <v>6</v>
      </c>
      <c r="D101" s="13">
        <v>0</v>
      </c>
      <c r="E101" s="190"/>
      <c r="F101" s="205"/>
      <c r="G101" s="130">
        <f t="shared" si="16"/>
        <v>6</v>
      </c>
      <c r="H101" s="5" t="s">
        <v>178</v>
      </c>
      <c r="I101" s="5">
        <v>1200</v>
      </c>
      <c r="J101" s="130">
        <f t="shared" si="17"/>
        <v>7200</v>
      </c>
      <c r="K101" s="136"/>
      <c r="L101" s="136"/>
      <c r="M101" s="136"/>
      <c r="N101" s="5">
        <f t="shared" si="19"/>
        <v>7200</v>
      </c>
      <c r="O101" s="226">
        <f t="shared" si="20"/>
        <v>0</v>
      </c>
      <c r="P101" s="5">
        <f t="shared" si="21"/>
        <v>0</v>
      </c>
      <c r="Q101" s="5">
        <f t="shared" si="22"/>
        <v>0</v>
      </c>
      <c r="R101" s="136"/>
    </row>
    <row r="102" spans="1:245" s="133" customFormat="1" ht="24" x14ac:dyDescent="0.2">
      <c r="A102" s="70">
        <f t="shared" si="18"/>
        <v>27</v>
      </c>
      <c r="B102" s="71" t="s">
        <v>335</v>
      </c>
      <c r="C102" s="72">
        <v>500</v>
      </c>
      <c r="D102" s="72">
        <v>0</v>
      </c>
      <c r="E102" s="190">
        <v>488</v>
      </c>
      <c r="F102" s="205"/>
      <c r="G102" s="132">
        <f t="shared" si="16"/>
        <v>988</v>
      </c>
      <c r="H102" s="70" t="s">
        <v>178</v>
      </c>
      <c r="I102" s="70">
        <v>10.75</v>
      </c>
      <c r="J102" s="132">
        <f t="shared" si="17"/>
        <v>10621</v>
      </c>
      <c r="K102" s="121"/>
      <c r="L102" s="121"/>
      <c r="M102" s="121"/>
      <c r="N102" s="5">
        <f t="shared" si="19"/>
        <v>5375</v>
      </c>
      <c r="O102" s="226">
        <f t="shared" si="20"/>
        <v>0</v>
      </c>
      <c r="P102" s="5">
        <f t="shared" si="21"/>
        <v>5246</v>
      </c>
      <c r="Q102" s="5">
        <f t="shared" si="22"/>
        <v>0</v>
      </c>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c r="BY102" s="121"/>
      <c r="BZ102" s="121"/>
      <c r="CA102" s="121"/>
      <c r="CB102" s="121"/>
      <c r="CC102" s="121"/>
      <c r="CD102" s="121"/>
      <c r="CE102" s="121"/>
      <c r="CF102" s="121"/>
      <c r="CG102" s="121"/>
      <c r="CH102" s="121"/>
      <c r="CI102" s="121"/>
      <c r="CJ102" s="121"/>
      <c r="CK102" s="121"/>
      <c r="CL102" s="121"/>
      <c r="CM102" s="121"/>
      <c r="CN102" s="121"/>
      <c r="CO102" s="121"/>
      <c r="CP102" s="121"/>
      <c r="CQ102" s="121"/>
      <c r="CR102" s="121"/>
      <c r="CS102" s="121"/>
      <c r="CT102" s="121"/>
      <c r="CU102" s="121"/>
      <c r="CV102" s="121"/>
      <c r="CW102" s="121"/>
      <c r="CX102" s="121"/>
      <c r="CY102" s="121"/>
      <c r="CZ102" s="121"/>
      <c r="DA102" s="121"/>
      <c r="DB102" s="121"/>
      <c r="DC102" s="121"/>
      <c r="DD102" s="121"/>
      <c r="DE102" s="121"/>
      <c r="DF102" s="121"/>
      <c r="DG102" s="121"/>
      <c r="DH102" s="121"/>
      <c r="DI102" s="121"/>
      <c r="DJ102" s="121"/>
      <c r="DK102" s="121"/>
      <c r="DL102" s="121"/>
      <c r="DM102" s="121"/>
      <c r="DN102" s="121"/>
      <c r="DO102" s="121"/>
      <c r="DP102" s="121"/>
      <c r="DQ102" s="121"/>
      <c r="DR102" s="121"/>
      <c r="DS102" s="121"/>
      <c r="DT102" s="121"/>
      <c r="DU102" s="121"/>
      <c r="DV102" s="121"/>
      <c r="DW102" s="121"/>
      <c r="DX102" s="121"/>
      <c r="DY102" s="121"/>
      <c r="DZ102" s="121"/>
      <c r="EA102" s="121"/>
      <c r="EB102" s="121"/>
      <c r="EC102" s="121"/>
      <c r="ED102" s="121"/>
      <c r="EE102" s="121"/>
      <c r="EF102" s="121"/>
      <c r="EG102" s="121"/>
      <c r="EH102" s="121"/>
      <c r="EI102" s="121"/>
      <c r="EJ102" s="121"/>
      <c r="EK102" s="121"/>
      <c r="EL102" s="121"/>
      <c r="EM102" s="121"/>
      <c r="EN102" s="121"/>
      <c r="EO102" s="121"/>
      <c r="EP102" s="121"/>
      <c r="EQ102" s="121"/>
      <c r="ER102" s="121"/>
      <c r="ES102" s="121"/>
      <c r="ET102" s="121"/>
      <c r="EU102" s="121"/>
      <c r="EV102" s="121"/>
      <c r="EW102" s="121"/>
      <c r="EX102" s="121"/>
      <c r="EY102" s="121"/>
      <c r="EZ102" s="121"/>
      <c r="FA102" s="121"/>
      <c r="FB102" s="121"/>
      <c r="FC102" s="121"/>
      <c r="FD102" s="121"/>
      <c r="FE102" s="121"/>
      <c r="FF102" s="121"/>
      <c r="FG102" s="121"/>
      <c r="FH102" s="121"/>
      <c r="FI102" s="121"/>
      <c r="FJ102" s="121"/>
      <c r="FK102" s="121"/>
      <c r="FL102" s="121"/>
      <c r="FM102" s="121"/>
      <c r="FN102" s="121"/>
      <c r="FO102" s="121"/>
      <c r="FP102" s="121"/>
      <c r="FQ102" s="121"/>
      <c r="FR102" s="121"/>
      <c r="FS102" s="121"/>
      <c r="FT102" s="121"/>
      <c r="FU102" s="121"/>
      <c r="FV102" s="121"/>
      <c r="FW102" s="121"/>
      <c r="FX102" s="121"/>
      <c r="FY102" s="121"/>
      <c r="FZ102" s="121"/>
      <c r="GA102" s="121"/>
      <c r="GB102" s="121"/>
      <c r="GC102" s="121"/>
      <c r="GD102" s="121"/>
      <c r="GE102" s="121"/>
      <c r="GF102" s="121"/>
      <c r="GG102" s="121"/>
      <c r="GH102" s="121"/>
      <c r="GI102" s="121"/>
      <c r="GJ102" s="121"/>
      <c r="GK102" s="121"/>
      <c r="GL102" s="121"/>
      <c r="GM102" s="121"/>
      <c r="GN102" s="121"/>
      <c r="GO102" s="121"/>
      <c r="GP102" s="121"/>
      <c r="GQ102" s="121"/>
      <c r="GR102" s="121"/>
      <c r="GS102" s="121"/>
      <c r="GT102" s="121"/>
      <c r="GU102" s="121"/>
      <c r="GV102" s="121"/>
      <c r="GW102" s="121"/>
      <c r="GX102" s="121"/>
      <c r="GY102" s="121"/>
      <c r="GZ102" s="121"/>
      <c r="HA102" s="121"/>
      <c r="HB102" s="121"/>
      <c r="HC102" s="121"/>
      <c r="HD102" s="121"/>
      <c r="HE102" s="121"/>
      <c r="HF102" s="121"/>
      <c r="HG102" s="121"/>
      <c r="HH102" s="121"/>
      <c r="HI102" s="121"/>
      <c r="HJ102" s="121"/>
      <c r="HK102" s="121"/>
      <c r="HL102" s="121"/>
      <c r="HM102" s="121"/>
      <c r="HN102" s="121"/>
      <c r="HO102" s="121"/>
      <c r="HP102" s="121"/>
      <c r="HQ102" s="121"/>
      <c r="HR102" s="121"/>
      <c r="HS102" s="121"/>
      <c r="HT102" s="121"/>
      <c r="HU102" s="121"/>
      <c r="HV102" s="121"/>
      <c r="HW102" s="121"/>
      <c r="HX102" s="121"/>
      <c r="HY102" s="121"/>
      <c r="HZ102" s="121"/>
      <c r="IA102" s="121"/>
      <c r="IB102" s="121"/>
      <c r="IC102" s="121"/>
      <c r="ID102" s="121"/>
      <c r="IE102" s="121"/>
      <c r="IF102" s="121"/>
      <c r="IG102" s="121"/>
      <c r="IH102" s="121"/>
      <c r="II102" s="121"/>
      <c r="IJ102" s="121"/>
      <c r="IK102" s="121"/>
    </row>
    <row r="103" spans="1:245" s="133" customFormat="1" ht="165.75" x14ac:dyDescent="0.2">
      <c r="A103" s="70">
        <f t="shared" si="18"/>
        <v>28</v>
      </c>
      <c r="B103" s="138" t="s">
        <v>336</v>
      </c>
      <c r="C103" s="72">
        <v>1</v>
      </c>
      <c r="D103" s="72">
        <v>0</v>
      </c>
      <c r="E103" s="190">
        <v>1</v>
      </c>
      <c r="F103" s="205">
        <v>1</v>
      </c>
      <c r="G103" s="132">
        <f t="shared" si="16"/>
        <v>3</v>
      </c>
      <c r="H103" s="70" t="s">
        <v>5</v>
      </c>
      <c r="I103" s="70">
        <v>18000</v>
      </c>
      <c r="J103" s="132">
        <f t="shared" si="17"/>
        <v>54000</v>
      </c>
      <c r="K103" s="121"/>
      <c r="L103" s="121"/>
      <c r="M103" s="121"/>
      <c r="N103" s="5">
        <f t="shared" si="19"/>
        <v>18000</v>
      </c>
      <c r="O103" s="226">
        <f t="shared" si="20"/>
        <v>0</v>
      </c>
      <c r="P103" s="5">
        <f t="shared" si="21"/>
        <v>18000</v>
      </c>
      <c r="Q103" s="5">
        <f t="shared" si="22"/>
        <v>18000</v>
      </c>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c r="BY103" s="121"/>
      <c r="BZ103" s="121"/>
      <c r="CA103" s="121"/>
      <c r="CB103" s="121"/>
      <c r="CC103" s="121"/>
      <c r="CD103" s="121"/>
      <c r="CE103" s="121"/>
      <c r="CF103" s="121"/>
      <c r="CG103" s="121"/>
      <c r="CH103" s="121"/>
      <c r="CI103" s="121"/>
      <c r="CJ103" s="121"/>
      <c r="CK103" s="121"/>
      <c r="CL103" s="121"/>
      <c r="CM103" s="121"/>
      <c r="CN103" s="121"/>
      <c r="CO103" s="121"/>
      <c r="CP103" s="121"/>
      <c r="CQ103" s="121"/>
      <c r="CR103" s="121"/>
      <c r="CS103" s="121"/>
      <c r="CT103" s="121"/>
      <c r="CU103" s="121"/>
      <c r="CV103" s="121"/>
      <c r="CW103" s="121"/>
      <c r="CX103" s="121"/>
      <c r="CY103" s="121"/>
      <c r="CZ103" s="121"/>
      <c r="DA103" s="121"/>
      <c r="DB103" s="121"/>
      <c r="DC103" s="121"/>
      <c r="DD103" s="121"/>
      <c r="DE103" s="121"/>
      <c r="DF103" s="121"/>
      <c r="DG103" s="121"/>
      <c r="DH103" s="121"/>
      <c r="DI103" s="121"/>
      <c r="DJ103" s="121"/>
      <c r="DK103" s="121"/>
      <c r="DL103" s="121"/>
      <c r="DM103" s="121"/>
      <c r="DN103" s="121"/>
      <c r="DO103" s="121"/>
      <c r="DP103" s="121"/>
      <c r="DQ103" s="121"/>
      <c r="DR103" s="121"/>
      <c r="DS103" s="121"/>
      <c r="DT103" s="121"/>
      <c r="DU103" s="121"/>
      <c r="DV103" s="121"/>
      <c r="DW103" s="121"/>
      <c r="DX103" s="121"/>
      <c r="DY103" s="121"/>
      <c r="DZ103" s="121"/>
      <c r="EA103" s="121"/>
      <c r="EB103" s="121"/>
      <c r="EC103" s="121"/>
      <c r="ED103" s="121"/>
      <c r="EE103" s="121"/>
      <c r="EF103" s="121"/>
      <c r="EG103" s="121"/>
      <c r="EH103" s="121"/>
      <c r="EI103" s="121"/>
      <c r="EJ103" s="121"/>
      <c r="EK103" s="121"/>
      <c r="EL103" s="121"/>
      <c r="EM103" s="121"/>
      <c r="EN103" s="121"/>
      <c r="EO103" s="121"/>
      <c r="EP103" s="121"/>
      <c r="EQ103" s="121"/>
      <c r="ER103" s="121"/>
      <c r="ES103" s="121"/>
      <c r="ET103" s="121"/>
      <c r="EU103" s="121"/>
      <c r="EV103" s="121"/>
      <c r="EW103" s="121"/>
      <c r="EX103" s="121"/>
      <c r="EY103" s="121"/>
      <c r="EZ103" s="121"/>
      <c r="FA103" s="121"/>
      <c r="FB103" s="121"/>
      <c r="FC103" s="121"/>
      <c r="FD103" s="121"/>
      <c r="FE103" s="121"/>
      <c r="FF103" s="121"/>
      <c r="FG103" s="121"/>
      <c r="FH103" s="121"/>
      <c r="FI103" s="121"/>
      <c r="FJ103" s="121"/>
      <c r="FK103" s="121"/>
      <c r="FL103" s="121"/>
      <c r="FM103" s="121"/>
      <c r="FN103" s="121"/>
      <c r="FO103" s="121"/>
      <c r="FP103" s="121"/>
      <c r="FQ103" s="121"/>
      <c r="FR103" s="121"/>
      <c r="FS103" s="121"/>
      <c r="FT103" s="121"/>
      <c r="FU103" s="121"/>
      <c r="FV103" s="121"/>
      <c r="FW103" s="121"/>
      <c r="FX103" s="121"/>
      <c r="FY103" s="121"/>
      <c r="FZ103" s="121"/>
      <c r="GA103" s="121"/>
      <c r="GB103" s="121"/>
      <c r="GC103" s="121"/>
      <c r="GD103" s="121"/>
      <c r="GE103" s="121"/>
      <c r="GF103" s="121"/>
      <c r="GG103" s="121"/>
      <c r="GH103" s="121"/>
      <c r="GI103" s="121"/>
      <c r="GJ103" s="121"/>
      <c r="GK103" s="121"/>
      <c r="GL103" s="121"/>
      <c r="GM103" s="121"/>
      <c r="GN103" s="121"/>
      <c r="GO103" s="121"/>
      <c r="GP103" s="121"/>
      <c r="GQ103" s="121"/>
      <c r="GR103" s="121"/>
      <c r="GS103" s="121"/>
      <c r="GT103" s="121"/>
      <c r="GU103" s="121"/>
      <c r="GV103" s="121"/>
      <c r="GW103" s="121"/>
      <c r="GX103" s="121"/>
      <c r="GY103" s="121"/>
      <c r="GZ103" s="121"/>
      <c r="HA103" s="121"/>
      <c r="HB103" s="121"/>
      <c r="HC103" s="121"/>
      <c r="HD103" s="121"/>
      <c r="HE103" s="121"/>
      <c r="HF103" s="121"/>
      <c r="HG103" s="121"/>
      <c r="HH103" s="121"/>
      <c r="HI103" s="121"/>
      <c r="HJ103" s="121"/>
      <c r="HK103" s="121"/>
      <c r="HL103" s="121"/>
      <c r="HM103" s="121"/>
      <c r="HN103" s="121"/>
      <c r="HO103" s="121"/>
      <c r="HP103" s="121"/>
      <c r="HQ103" s="121"/>
      <c r="HR103" s="121"/>
      <c r="HS103" s="121"/>
      <c r="HT103" s="121"/>
      <c r="HU103" s="121"/>
      <c r="HV103" s="121"/>
      <c r="HW103" s="121"/>
      <c r="HX103" s="121"/>
      <c r="HY103" s="121"/>
      <c r="HZ103" s="121"/>
      <c r="IA103" s="121"/>
      <c r="IB103" s="121"/>
      <c r="IC103" s="121"/>
      <c r="ID103" s="121"/>
      <c r="IE103" s="121"/>
      <c r="IF103" s="121"/>
      <c r="IG103" s="121"/>
      <c r="IH103" s="121"/>
      <c r="II103" s="121"/>
      <c r="IJ103" s="121"/>
      <c r="IK103" s="121"/>
    </row>
    <row r="104" spans="1:245" ht="24" x14ac:dyDescent="0.2">
      <c r="A104" s="72">
        <v>41</v>
      </c>
      <c r="B104" s="111" t="s">
        <v>193</v>
      </c>
      <c r="C104" s="13"/>
      <c r="D104" s="13"/>
      <c r="E104" s="190"/>
      <c r="F104" s="205">
        <v>0</v>
      </c>
      <c r="G104" s="132">
        <f>C104+D104+E104+F104</f>
        <v>0</v>
      </c>
      <c r="H104" s="70" t="s">
        <v>5</v>
      </c>
      <c r="I104" s="70">
        <v>18500</v>
      </c>
      <c r="J104" s="132">
        <f>G104*I104</f>
        <v>0</v>
      </c>
      <c r="K104" s="136"/>
      <c r="L104" s="136"/>
      <c r="M104" s="136"/>
      <c r="N104" s="5">
        <f>C104*I104</f>
        <v>0</v>
      </c>
      <c r="O104" s="226">
        <f>D104*I104</f>
        <v>0</v>
      </c>
      <c r="P104" s="5">
        <f>E104*I104</f>
        <v>0</v>
      </c>
      <c r="Q104" s="5">
        <f>F104*I104</f>
        <v>0</v>
      </c>
      <c r="R104" s="136"/>
      <c r="S104" s="141"/>
    </row>
    <row r="105" spans="1:245" s="133" customFormat="1" ht="12.75" x14ac:dyDescent="0.2">
      <c r="A105" s="70"/>
      <c r="B105" s="138"/>
      <c r="C105" s="72"/>
      <c r="D105" s="72"/>
      <c r="E105" s="190"/>
      <c r="F105" s="205"/>
      <c r="G105" s="132"/>
      <c r="H105" s="70"/>
      <c r="I105" s="70"/>
      <c r="J105" s="132"/>
      <c r="K105" s="121"/>
      <c r="L105" s="121"/>
      <c r="M105" s="121"/>
      <c r="N105" s="5"/>
      <c r="O105" s="226"/>
      <c r="P105" s="5"/>
      <c r="Q105" s="5"/>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c r="BY105" s="121"/>
      <c r="BZ105" s="121"/>
      <c r="CA105" s="121"/>
      <c r="CB105" s="121"/>
      <c r="CC105" s="121"/>
      <c r="CD105" s="121"/>
      <c r="CE105" s="121"/>
      <c r="CF105" s="121"/>
      <c r="CG105" s="121"/>
      <c r="CH105" s="121"/>
      <c r="CI105" s="121"/>
      <c r="CJ105" s="121"/>
      <c r="CK105" s="121"/>
      <c r="CL105" s="121"/>
      <c r="CM105" s="121"/>
      <c r="CN105" s="121"/>
      <c r="CO105" s="121"/>
      <c r="CP105" s="121"/>
      <c r="CQ105" s="121"/>
      <c r="CR105" s="121"/>
      <c r="CS105" s="121"/>
      <c r="CT105" s="121"/>
      <c r="CU105" s="121"/>
      <c r="CV105" s="121"/>
      <c r="CW105" s="121"/>
      <c r="CX105" s="121"/>
      <c r="CY105" s="121"/>
      <c r="CZ105" s="121"/>
      <c r="DA105" s="121"/>
      <c r="DB105" s="121"/>
      <c r="DC105" s="121"/>
      <c r="DD105" s="121"/>
      <c r="DE105" s="121"/>
      <c r="DF105" s="121"/>
      <c r="DG105" s="121"/>
      <c r="DH105" s="121"/>
      <c r="DI105" s="121"/>
      <c r="DJ105" s="121"/>
      <c r="DK105" s="121"/>
      <c r="DL105" s="121"/>
      <c r="DM105" s="121"/>
      <c r="DN105" s="121"/>
      <c r="DO105" s="121"/>
      <c r="DP105" s="121"/>
      <c r="DQ105" s="121"/>
      <c r="DR105" s="121"/>
      <c r="DS105" s="121"/>
      <c r="DT105" s="121"/>
      <c r="DU105" s="121"/>
      <c r="DV105" s="121"/>
      <c r="DW105" s="121"/>
      <c r="DX105" s="121"/>
      <c r="DY105" s="121"/>
      <c r="DZ105" s="121"/>
      <c r="EA105" s="121"/>
      <c r="EB105" s="121"/>
      <c r="EC105" s="121"/>
      <c r="ED105" s="121"/>
      <c r="EE105" s="121"/>
      <c r="EF105" s="121"/>
      <c r="EG105" s="121"/>
      <c r="EH105" s="121"/>
      <c r="EI105" s="121"/>
      <c r="EJ105" s="121"/>
      <c r="EK105" s="121"/>
      <c r="EL105" s="121"/>
      <c r="EM105" s="121"/>
      <c r="EN105" s="121"/>
      <c r="EO105" s="121"/>
      <c r="EP105" s="121"/>
      <c r="EQ105" s="121"/>
      <c r="ER105" s="121"/>
      <c r="ES105" s="121"/>
      <c r="ET105" s="121"/>
      <c r="EU105" s="121"/>
      <c r="EV105" s="121"/>
      <c r="EW105" s="121"/>
      <c r="EX105" s="121"/>
      <c r="EY105" s="121"/>
      <c r="EZ105" s="121"/>
      <c r="FA105" s="121"/>
      <c r="FB105" s="121"/>
      <c r="FC105" s="121"/>
      <c r="FD105" s="121"/>
      <c r="FE105" s="121"/>
      <c r="FF105" s="121"/>
      <c r="FG105" s="121"/>
      <c r="FH105" s="121"/>
      <c r="FI105" s="121"/>
      <c r="FJ105" s="121"/>
      <c r="FK105" s="121"/>
      <c r="FL105" s="121"/>
      <c r="FM105" s="121"/>
      <c r="FN105" s="121"/>
      <c r="FO105" s="121"/>
      <c r="FP105" s="121"/>
      <c r="FQ105" s="121"/>
      <c r="FR105" s="121"/>
      <c r="FS105" s="121"/>
      <c r="FT105" s="121"/>
      <c r="FU105" s="121"/>
      <c r="FV105" s="121"/>
      <c r="FW105" s="121"/>
      <c r="FX105" s="121"/>
      <c r="FY105" s="121"/>
      <c r="FZ105" s="121"/>
      <c r="GA105" s="121"/>
      <c r="GB105" s="121"/>
      <c r="GC105" s="121"/>
      <c r="GD105" s="121"/>
      <c r="GE105" s="121"/>
      <c r="GF105" s="121"/>
      <c r="GG105" s="121"/>
      <c r="GH105" s="121"/>
      <c r="GI105" s="121"/>
      <c r="GJ105" s="121"/>
      <c r="GK105" s="121"/>
      <c r="GL105" s="121"/>
      <c r="GM105" s="121"/>
      <c r="GN105" s="121"/>
      <c r="GO105" s="121"/>
      <c r="GP105" s="121"/>
      <c r="GQ105" s="121"/>
      <c r="GR105" s="121"/>
      <c r="GS105" s="121"/>
      <c r="GT105" s="121"/>
      <c r="GU105" s="121"/>
      <c r="GV105" s="121"/>
      <c r="GW105" s="121"/>
      <c r="GX105" s="121"/>
      <c r="GY105" s="121"/>
      <c r="GZ105" s="121"/>
      <c r="HA105" s="121"/>
      <c r="HB105" s="121"/>
      <c r="HC105" s="121"/>
      <c r="HD105" s="121"/>
      <c r="HE105" s="121"/>
      <c r="HF105" s="121"/>
      <c r="HG105" s="121"/>
      <c r="HH105" s="121"/>
      <c r="HI105" s="121"/>
      <c r="HJ105" s="121"/>
      <c r="HK105" s="121"/>
      <c r="HL105" s="121"/>
      <c r="HM105" s="121"/>
      <c r="HN105" s="121"/>
      <c r="HO105" s="121"/>
      <c r="HP105" s="121"/>
      <c r="HQ105" s="121"/>
      <c r="HR105" s="121"/>
      <c r="HS105" s="121"/>
      <c r="HT105" s="121"/>
      <c r="HU105" s="121"/>
      <c r="HV105" s="121"/>
      <c r="HW105" s="121"/>
      <c r="HX105" s="121"/>
      <c r="HY105" s="121"/>
      <c r="HZ105" s="121"/>
      <c r="IA105" s="121"/>
      <c r="IB105" s="121"/>
      <c r="IC105" s="121"/>
      <c r="ID105" s="121"/>
      <c r="IE105" s="121"/>
      <c r="IF105" s="121"/>
      <c r="IG105" s="121"/>
      <c r="IH105" s="121"/>
      <c r="II105" s="121"/>
      <c r="IJ105" s="121"/>
      <c r="IK105" s="121"/>
    </row>
    <row r="106" spans="1:245" s="133" customFormat="1" ht="36" x14ac:dyDescent="0.2">
      <c r="A106" s="70">
        <f>A103+1</f>
        <v>29</v>
      </c>
      <c r="B106" s="71" t="s">
        <v>177</v>
      </c>
      <c r="C106" s="72">
        <v>4</v>
      </c>
      <c r="D106" s="72">
        <v>0</v>
      </c>
      <c r="E106" s="190"/>
      <c r="F106" s="205">
        <v>3</v>
      </c>
      <c r="G106" s="132">
        <f t="shared" si="16"/>
        <v>7</v>
      </c>
      <c r="H106" s="70" t="s">
        <v>178</v>
      </c>
      <c r="I106" s="70">
        <v>545</v>
      </c>
      <c r="J106" s="132">
        <f t="shared" si="17"/>
        <v>3815</v>
      </c>
      <c r="K106" s="121"/>
      <c r="L106" s="121"/>
      <c r="M106" s="121"/>
      <c r="N106" s="5">
        <f t="shared" si="19"/>
        <v>2180</v>
      </c>
      <c r="O106" s="226">
        <f t="shared" si="20"/>
        <v>0</v>
      </c>
      <c r="P106" s="5">
        <f t="shared" si="21"/>
        <v>0</v>
      </c>
      <c r="Q106" s="5">
        <f t="shared" si="22"/>
        <v>1635</v>
      </c>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c r="BY106" s="121"/>
      <c r="BZ106" s="121"/>
      <c r="CA106" s="121"/>
      <c r="CB106" s="121"/>
      <c r="CC106" s="121"/>
      <c r="CD106" s="121"/>
      <c r="CE106" s="121"/>
      <c r="CF106" s="121"/>
      <c r="CG106" s="121"/>
      <c r="CH106" s="121"/>
      <c r="CI106" s="121"/>
      <c r="CJ106" s="121"/>
      <c r="CK106" s="121"/>
      <c r="CL106" s="121"/>
      <c r="CM106" s="121"/>
      <c r="CN106" s="121"/>
      <c r="CO106" s="121"/>
      <c r="CP106" s="121"/>
      <c r="CQ106" s="121"/>
      <c r="CR106" s="121"/>
      <c r="CS106" s="121"/>
      <c r="CT106" s="121"/>
      <c r="CU106" s="121"/>
      <c r="CV106" s="121"/>
      <c r="CW106" s="121"/>
      <c r="CX106" s="121"/>
      <c r="CY106" s="121"/>
      <c r="CZ106" s="121"/>
      <c r="DA106" s="121"/>
      <c r="DB106" s="121"/>
      <c r="DC106" s="121"/>
      <c r="DD106" s="121"/>
      <c r="DE106" s="121"/>
      <c r="DF106" s="121"/>
      <c r="DG106" s="121"/>
      <c r="DH106" s="121"/>
      <c r="DI106" s="121"/>
      <c r="DJ106" s="121"/>
      <c r="DK106" s="121"/>
      <c r="DL106" s="121"/>
      <c r="DM106" s="121"/>
      <c r="DN106" s="121"/>
      <c r="DO106" s="121"/>
      <c r="DP106" s="121"/>
      <c r="DQ106" s="121"/>
      <c r="DR106" s="121"/>
      <c r="DS106" s="121"/>
      <c r="DT106" s="121"/>
      <c r="DU106" s="121"/>
      <c r="DV106" s="121"/>
      <c r="DW106" s="121"/>
      <c r="DX106" s="121"/>
      <c r="DY106" s="121"/>
      <c r="DZ106" s="121"/>
      <c r="EA106" s="121"/>
      <c r="EB106" s="121"/>
      <c r="EC106" s="121"/>
      <c r="ED106" s="121"/>
      <c r="EE106" s="121"/>
      <c r="EF106" s="121"/>
      <c r="EG106" s="121"/>
      <c r="EH106" s="121"/>
      <c r="EI106" s="121"/>
      <c r="EJ106" s="121"/>
      <c r="EK106" s="121"/>
      <c r="EL106" s="121"/>
      <c r="EM106" s="121"/>
      <c r="EN106" s="121"/>
      <c r="EO106" s="121"/>
      <c r="EP106" s="121"/>
      <c r="EQ106" s="121"/>
      <c r="ER106" s="121"/>
      <c r="ES106" s="121"/>
      <c r="ET106" s="121"/>
      <c r="EU106" s="121"/>
      <c r="EV106" s="121"/>
      <c r="EW106" s="121"/>
      <c r="EX106" s="121"/>
      <c r="EY106" s="121"/>
      <c r="EZ106" s="121"/>
      <c r="FA106" s="121"/>
      <c r="FB106" s="121"/>
      <c r="FC106" s="121"/>
      <c r="FD106" s="121"/>
      <c r="FE106" s="121"/>
      <c r="FF106" s="121"/>
      <c r="FG106" s="121"/>
      <c r="FH106" s="121"/>
      <c r="FI106" s="121"/>
      <c r="FJ106" s="121"/>
      <c r="FK106" s="121"/>
      <c r="FL106" s="121"/>
      <c r="FM106" s="121"/>
      <c r="FN106" s="121"/>
      <c r="FO106" s="121"/>
      <c r="FP106" s="121"/>
      <c r="FQ106" s="121"/>
      <c r="FR106" s="121"/>
      <c r="FS106" s="121"/>
      <c r="FT106" s="121"/>
      <c r="FU106" s="121"/>
      <c r="FV106" s="121"/>
      <c r="FW106" s="121"/>
      <c r="FX106" s="121"/>
      <c r="FY106" s="121"/>
      <c r="FZ106" s="121"/>
      <c r="GA106" s="121"/>
      <c r="GB106" s="121"/>
      <c r="GC106" s="121"/>
      <c r="GD106" s="121"/>
      <c r="GE106" s="121"/>
      <c r="GF106" s="121"/>
      <c r="GG106" s="121"/>
      <c r="GH106" s="121"/>
      <c r="GI106" s="121"/>
      <c r="GJ106" s="121"/>
      <c r="GK106" s="121"/>
      <c r="GL106" s="121"/>
      <c r="GM106" s="121"/>
      <c r="GN106" s="121"/>
      <c r="GO106" s="121"/>
      <c r="GP106" s="121"/>
      <c r="GQ106" s="121"/>
      <c r="GR106" s="121"/>
      <c r="GS106" s="121"/>
      <c r="GT106" s="121"/>
      <c r="GU106" s="121"/>
      <c r="GV106" s="121"/>
      <c r="GW106" s="121"/>
      <c r="GX106" s="121"/>
      <c r="GY106" s="121"/>
      <c r="GZ106" s="121"/>
      <c r="HA106" s="121"/>
      <c r="HB106" s="121"/>
      <c r="HC106" s="121"/>
      <c r="HD106" s="121"/>
      <c r="HE106" s="121"/>
      <c r="HF106" s="121"/>
      <c r="HG106" s="121"/>
      <c r="HH106" s="121"/>
      <c r="HI106" s="121"/>
      <c r="HJ106" s="121"/>
      <c r="HK106" s="121"/>
      <c r="HL106" s="121"/>
      <c r="HM106" s="121"/>
      <c r="HN106" s="121"/>
      <c r="HO106" s="121"/>
      <c r="HP106" s="121"/>
      <c r="HQ106" s="121"/>
      <c r="HR106" s="121"/>
      <c r="HS106" s="121"/>
      <c r="HT106" s="121"/>
      <c r="HU106" s="121"/>
      <c r="HV106" s="121"/>
      <c r="HW106" s="121"/>
      <c r="HX106" s="121"/>
      <c r="HY106" s="121"/>
      <c r="HZ106" s="121"/>
      <c r="IA106" s="121"/>
      <c r="IB106" s="121"/>
      <c r="IC106" s="121"/>
      <c r="ID106" s="121"/>
      <c r="IE106" s="121"/>
      <c r="IF106" s="121"/>
      <c r="IG106" s="121"/>
      <c r="IH106" s="121"/>
      <c r="II106" s="121"/>
      <c r="IJ106" s="121"/>
      <c r="IK106" s="121"/>
    </row>
    <row r="107" spans="1:245" ht="36" x14ac:dyDescent="0.2">
      <c r="A107" s="5">
        <f t="shared" si="18"/>
        <v>30</v>
      </c>
      <c r="B107" s="129" t="s">
        <v>337</v>
      </c>
      <c r="C107" s="13">
        <v>4</v>
      </c>
      <c r="D107" s="13">
        <v>0</v>
      </c>
      <c r="E107" s="190"/>
      <c r="F107" s="205"/>
      <c r="G107" s="130">
        <f t="shared" si="16"/>
        <v>4</v>
      </c>
      <c r="H107" s="5" t="s">
        <v>178</v>
      </c>
      <c r="I107" s="5">
        <v>728</v>
      </c>
      <c r="J107" s="130">
        <f t="shared" si="17"/>
        <v>2912</v>
      </c>
      <c r="K107" s="136"/>
      <c r="L107" s="136"/>
      <c r="M107" s="136"/>
      <c r="N107" s="5">
        <f t="shared" si="19"/>
        <v>2912</v>
      </c>
      <c r="O107" s="226">
        <f t="shared" si="20"/>
        <v>0</v>
      </c>
      <c r="P107" s="5">
        <f t="shared" si="21"/>
        <v>0</v>
      </c>
      <c r="Q107" s="5">
        <f t="shared" si="22"/>
        <v>0</v>
      </c>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136"/>
      <c r="CN107" s="136"/>
      <c r="CO107" s="136"/>
      <c r="CP107" s="136"/>
      <c r="CQ107" s="136"/>
      <c r="CR107" s="136"/>
      <c r="CS107" s="136"/>
      <c r="CT107" s="136"/>
      <c r="CU107" s="136"/>
      <c r="CV107" s="136"/>
      <c r="CW107" s="136"/>
      <c r="CX107" s="136"/>
      <c r="CY107" s="136"/>
      <c r="CZ107" s="136"/>
      <c r="DA107" s="136"/>
      <c r="DB107" s="136"/>
      <c r="DC107" s="136"/>
      <c r="DD107" s="136"/>
      <c r="DE107" s="136"/>
      <c r="DF107" s="136"/>
      <c r="DG107" s="136"/>
      <c r="DH107" s="136"/>
      <c r="DI107" s="136"/>
      <c r="DJ107" s="136"/>
      <c r="DK107" s="136"/>
      <c r="DL107" s="136"/>
      <c r="DM107" s="136"/>
      <c r="DN107" s="136"/>
      <c r="DO107" s="136"/>
      <c r="DP107" s="136"/>
      <c r="DQ107" s="136"/>
      <c r="DR107" s="136"/>
      <c r="DS107" s="136"/>
      <c r="DT107" s="136"/>
      <c r="DU107" s="136"/>
      <c r="DV107" s="136"/>
      <c r="DW107" s="136"/>
      <c r="DX107" s="136"/>
      <c r="DY107" s="136"/>
      <c r="DZ107" s="136"/>
      <c r="EA107" s="136"/>
      <c r="EB107" s="136"/>
      <c r="EC107" s="136"/>
      <c r="ED107" s="136"/>
      <c r="EE107" s="136"/>
      <c r="EF107" s="136"/>
      <c r="EG107" s="136"/>
      <c r="EH107" s="136"/>
      <c r="EI107" s="136"/>
      <c r="EJ107" s="136"/>
      <c r="EK107" s="136"/>
      <c r="EL107" s="136"/>
      <c r="EM107" s="136"/>
      <c r="EN107" s="136"/>
      <c r="EO107" s="136"/>
      <c r="EP107" s="136"/>
      <c r="EQ107" s="136"/>
      <c r="ER107" s="136"/>
      <c r="ES107" s="136"/>
      <c r="ET107" s="136"/>
      <c r="EU107" s="136"/>
      <c r="EV107" s="136"/>
      <c r="EW107" s="136"/>
      <c r="EX107" s="136"/>
      <c r="EY107" s="136"/>
      <c r="EZ107" s="136"/>
      <c r="FA107" s="136"/>
      <c r="FB107" s="136"/>
      <c r="FC107" s="136"/>
      <c r="FD107" s="136"/>
      <c r="FE107" s="136"/>
      <c r="FF107" s="136"/>
      <c r="FG107" s="136"/>
      <c r="FH107" s="136"/>
      <c r="FI107" s="136"/>
      <c r="FJ107" s="136"/>
      <c r="FK107" s="136"/>
      <c r="FL107" s="136"/>
      <c r="FM107" s="136"/>
      <c r="FN107" s="136"/>
      <c r="FO107" s="136"/>
      <c r="FP107" s="136"/>
      <c r="FQ107" s="136"/>
      <c r="FR107" s="136"/>
      <c r="FS107" s="136"/>
      <c r="FT107" s="136"/>
      <c r="FU107" s="136"/>
      <c r="FV107" s="136"/>
      <c r="FW107" s="136"/>
      <c r="FX107" s="136"/>
      <c r="FY107" s="136"/>
      <c r="FZ107" s="136"/>
      <c r="GA107" s="136"/>
      <c r="GB107" s="136"/>
      <c r="GC107" s="136"/>
      <c r="GD107" s="136"/>
      <c r="GE107" s="136"/>
      <c r="GF107" s="136"/>
      <c r="GG107" s="136"/>
      <c r="GH107" s="136"/>
      <c r="GI107" s="136"/>
      <c r="GJ107" s="136"/>
      <c r="GK107" s="136"/>
      <c r="GL107" s="136"/>
      <c r="GM107" s="136"/>
      <c r="GN107" s="136"/>
      <c r="GO107" s="136"/>
      <c r="GP107" s="136"/>
      <c r="GQ107" s="136"/>
      <c r="GR107" s="136"/>
      <c r="GS107" s="136"/>
      <c r="GT107" s="136"/>
      <c r="GU107" s="136"/>
      <c r="GV107" s="136"/>
      <c r="GW107" s="136"/>
      <c r="GX107" s="136"/>
      <c r="GY107" s="136"/>
      <c r="GZ107" s="136"/>
      <c r="HA107" s="136"/>
      <c r="HB107" s="136"/>
      <c r="HC107" s="136"/>
      <c r="HD107" s="136"/>
      <c r="HE107" s="136"/>
      <c r="HF107" s="136"/>
      <c r="HG107" s="136"/>
      <c r="HH107" s="136"/>
      <c r="HI107" s="136"/>
      <c r="HJ107" s="136"/>
      <c r="HK107" s="136"/>
      <c r="HL107" s="136"/>
      <c r="HM107" s="136"/>
      <c r="HN107" s="136"/>
      <c r="HO107" s="136"/>
      <c r="HP107" s="136"/>
      <c r="HQ107" s="136"/>
      <c r="HR107" s="136"/>
      <c r="HS107" s="136"/>
      <c r="HT107" s="136"/>
      <c r="HU107" s="136"/>
      <c r="HV107" s="136"/>
      <c r="HW107" s="136"/>
      <c r="HX107" s="136"/>
      <c r="HY107" s="136"/>
      <c r="HZ107" s="136"/>
      <c r="IA107" s="136"/>
      <c r="IB107" s="136"/>
      <c r="IC107" s="136"/>
      <c r="ID107" s="136"/>
      <c r="IE107" s="136"/>
      <c r="IF107" s="136"/>
      <c r="IG107" s="136"/>
      <c r="IH107" s="136"/>
      <c r="II107" s="136"/>
      <c r="IJ107" s="136"/>
      <c r="IK107" s="136"/>
    </row>
    <row r="108" spans="1:245" s="72" customFormat="1" ht="72" x14ac:dyDescent="0.25">
      <c r="A108" s="70">
        <f t="shared" si="18"/>
        <v>31</v>
      </c>
      <c r="B108" s="71" t="s">
        <v>338</v>
      </c>
      <c r="C108" s="72">
        <v>400</v>
      </c>
      <c r="D108" s="72">
        <v>0</v>
      </c>
      <c r="E108" s="190">
        <v>800</v>
      </c>
      <c r="F108" s="205">
        <v>200</v>
      </c>
      <c r="G108" s="132">
        <f t="shared" si="16"/>
        <v>1400</v>
      </c>
      <c r="H108" s="72" t="s">
        <v>45</v>
      </c>
      <c r="I108" s="72">
        <v>42</v>
      </c>
      <c r="J108" s="132">
        <f t="shared" si="17"/>
        <v>58800</v>
      </c>
      <c r="K108" s="121"/>
      <c r="L108" s="121"/>
      <c r="M108" s="121"/>
      <c r="N108" s="5">
        <f t="shared" si="19"/>
        <v>16800</v>
      </c>
      <c r="O108" s="226">
        <f t="shared" si="20"/>
        <v>0</v>
      </c>
      <c r="P108" s="5">
        <f t="shared" si="21"/>
        <v>33600</v>
      </c>
      <c r="Q108" s="5">
        <f t="shared" si="22"/>
        <v>8400</v>
      </c>
      <c r="R108" s="121"/>
    </row>
    <row r="109" spans="1:245" s="133" customFormat="1" ht="120" x14ac:dyDescent="0.2">
      <c r="A109" s="70">
        <v>32</v>
      </c>
      <c r="B109" s="71" t="s">
        <v>339</v>
      </c>
      <c r="C109" s="72">
        <v>4</v>
      </c>
      <c r="D109" s="72">
        <v>0</v>
      </c>
      <c r="E109" s="190">
        <v>4</v>
      </c>
      <c r="F109" s="205"/>
      <c r="G109" s="132">
        <f t="shared" si="16"/>
        <v>8</v>
      </c>
      <c r="H109" s="72" t="s">
        <v>340</v>
      </c>
      <c r="I109" s="72">
        <v>9266</v>
      </c>
      <c r="J109" s="132">
        <f t="shared" si="17"/>
        <v>74128</v>
      </c>
      <c r="K109" s="121"/>
      <c r="L109" s="121"/>
      <c r="M109" s="121"/>
      <c r="N109" s="5">
        <f t="shared" si="19"/>
        <v>37064</v>
      </c>
      <c r="O109" s="226">
        <f t="shared" si="20"/>
        <v>0</v>
      </c>
      <c r="P109" s="5">
        <f t="shared" si="21"/>
        <v>37064</v>
      </c>
      <c r="Q109" s="5">
        <f t="shared" si="22"/>
        <v>0</v>
      </c>
      <c r="R109" s="121"/>
    </row>
    <row r="110" spans="1:245" s="181" customFormat="1" ht="48" x14ac:dyDescent="0.2">
      <c r="A110" s="175">
        <f t="shared" si="18"/>
        <v>33</v>
      </c>
      <c r="B110" s="176" t="s">
        <v>341</v>
      </c>
      <c r="C110" s="177">
        <v>50</v>
      </c>
      <c r="D110" s="177">
        <v>30</v>
      </c>
      <c r="E110" s="190">
        <v>150</v>
      </c>
      <c r="F110" s="205">
        <v>30</v>
      </c>
      <c r="G110" s="178">
        <f t="shared" si="16"/>
        <v>260</v>
      </c>
      <c r="H110" s="177" t="s">
        <v>45</v>
      </c>
      <c r="I110" s="179">
        <v>380</v>
      </c>
      <c r="J110" s="178">
        <f t="shared" si="17"/>
        <v>98800</v>
      </c>
      <c r="K110" s="180"/>
      <c r="L110" s="180"/>
      <c r="M110" s="180"/>
      <c r="N110" s="175">
        <f t="shared" si="19"/>
        <v>19000</v>
      </c>
      <c r="O110" s="226">
        <f t="shared" si="20"/>
        <v>11400</v>
      </c>
      <c r="P110" s="175">
        <f t="shared" si="21"/>
        <v>57000</v>
      </c>
      <c r="Q110" s="175">
        <f t="shared" si="22"/>
        <v>11400</v>
      </c>
      <c r="R110" s="180"/>
    </row>
    <row r="111" spans="1:245" s="133" customFormat="1" ht="60" x14ac:dyDescent="0.2">
      <c r="A111" s="70">
        <f t="shared" si="18"/>
        <v>34</v>
      </c>
      <c r="B111" s="71" t="s">
        <v>203</v>
      </c>
      <c r="C111" s="72">
        <v>50</v>
      </c>
      <c r="D111" s="72">
        <v>30</v>
      </c>
      <c r="E111" s="190">
        <v>150</v>
      </c>
      <c r="F111" s="205">
        <v>30</v>
      </c>
      <c r="G111" s="132">
        <f t="shared" si="16"/>
        <v>260</v>
      </c>
      <c r="H111" s="72" t="s">
        <v>64</v>
      </c>
      <c r="I111" s="113">
        <v>85</v>
      </c>
      <c r="J111" s="132">
        <f t="shared" si="17"/>
        <v>22100</v>
      </c>
      <c r="K111" s="121"/>
      <c r="L111" s="121"/>
      <c r="M111" s="121"/>
      <c r="N111" s="5">
        <f t="shared" si="19"/>
        <v>4250</v>
      </c>
      <c r="O111" s="226">
        <f t="shared" si="20"/>
        <v>2550</v>
      </c>
      <c r="P111" s="5">
        <f t="shared" si="21"/>
        <v>12750</v>
      </c>
      <c r="Q111" s="5">
        <f t="shared" si="22"/>
        <v>2550</v>
      </c>
      <c r="R111" s="121"/>
    </row>
    <row r="112" spans="1:245" s="133" customFormat="1" ht="84" x14ac:dyDescent="0.2">
      <c r="A112" s="70">
        <f t="shared" si="18"/>
        <v>35</v>
      </c>
      <c r="B112" s="71" t="s">
        <v>58</v>
      </c>
      <c r="C112" s="72">
        <v>10</v>
      </c>
      <c r="D112" s="72">
        <v>10</v>
      </c>
      <c r="E112" s="190">
        <v>25</v>
      </c>
      <c r="F112" s="205">
        <v>3</v>
      </c>
      <c r="G112" s="132">
        <f t="shared" si="16"/>
        <v>48</v>
      </c>
      <c r="H112" s="70" t="s">
        <v>178</v>
      </c>
      <c r="I112" s="113">
        <v>300</v>
      </c>
      <c r="J112" s="132">
        <f t="shared" si="17"/>
        <v>14400</v>
      </c>
      <c r="K112" s="121"/>
      <c r="L112" s="121"/>
      <c r="M112" s="121"/>
      <c r="N112" s="5">
        <f t="shared" si="19"/>
        <v>3000</v>
      </c>
      <c r="O112" s="226">
        <f t="shared" si="20"/>
        <v>3000</v>
      </c>
      <c r="P112" s="5">
        <f t="shared" si="21"/>
        <v>7500</v>
      </c>
      <c r="Q112" s="5">
        <f t="shared" si="22"/>
        <v>900</v>
      </c>
      <c r="R112" s="121"/>
    </row>
    <row r="113" spans="1:223" s="196" customFormat="1" ht="48" x14ac:dyDescent="0.2">
      <c r="A113" s="192">
        <f t="shared" si="18"/>
        <v>36</v>
      </c>
      <c r="B113" s="191" t="s">
        <v>342</v>
      </c>
      <c r="C113" s="190">
        <v>22</v>
      </c>
      <c r="D113" s="190">
        <v>0</v>
      </c>
      <c r="E113" s="190">
        <v>0</v>
      </c>
      <c r="F113" s="205">
        <v>4</v>
      </c>
      <c r="G113" s="193">
        <f t="shared" si="16"/>
        <v>26</v>
      </c>
      <c r="H113" s="192" t="s">
        <v>343</v>
      </c>
      <c r="I113" s="192">
        <v>7080</v>
      </c>
      <c r="J113" s="193">
        <f t="shared" si="17"/>
        <v>184080</v>
      </c>
      <c r="K113" s="194"/>
      <c r="L113" s="194"/>
      <c r="M113" s="194"/>
      <c r="N113" s="192">
        <f t="shared" si="19"/>
        <v>155760</v>
      </c>
      <c r="O113" s="226">
        <f t="shared" si="20"/>
        <v>0</v>
      </c>
      <c r="P113" s="192">
        <f t="shared" si="21"/>
        <v>0</v>
      </c>
      <c r="Q113" s="192">
        <f t="shared" si="22"/>
        <v>28320</v>
      </c>
      <c r="R113" s="194"/>
    </row>
    <row r="114" spans="1:223" s="120" customFormat="1" ht="144" x14ac:dyDescent="0.25">
      <c r="A114" s="70">
        <f t="shared" si="18"/>
        <v>37</v>
      </c>
      <c r="B114" s="71" t="s">
        <v>344</v>
      </c>
      <c r="C114" s="72">
        <v>200</v>
      </c>
      <c r="D114" s="72">
        <v>0</v>
      </c>
      <c r="E114" s="190">
        <v>150</v>
      </c>
      <c r="F114" s="205">
        <v>50</v>
      </c>
      <c r="G114" s="132">
        <f t="shared" si="16"/>
        <v>400</v>
      </c>
      <c r="H114" s="70" t="s">
        <v>45</v>
      </c>
      <c r="I114" s="125">
        <v>163</v>
      </c>
      <c r="J114" s="132">
        <f t="shared" si="17"/>
        <v>65200</v>
      </c>
      <c r="K114" s="121"/>
      <c r="L114" s="121"/>
      <c r="M114" s="121"/>
      <c r="N114" s="5">
        <f t="shared" si="19"/>
        <v>32600</v>
      </c>
      <c r="O114" s="226">
        <f t="shared" si="20"/>
        <v>0</v>
      </c>
      <c r="P114" s="5">
        <f t="shared" si="21"/>
        <v>24450</v>
      </c>
      <c r="Q114" s="5">
        <f t="shared" si="22"/>
        <v>8150</v>
      </c>
      <c r="R114" s="121"/>
    </row>
    <row r="115" spans="1:223" s="120" customFormat="1" ht="144" x14ac:dyDescent="0.25">
      <c r="A115" s="70">
        <f t="shared" si="18"/>
        <v>38</v>
      </c>
      <c r="B115" s="71" t="s">
        <v>345</v>
      </c>
      <c r="C115" s="72">
        <v>200</v>
      </c>
      <c r="D115" s="72">
        <v>0</v>
      </c>
      <c r="E115" s="190">
        <v>400</v>
      </c>
      <c r="F115" s="205">
        <v>100</v>
      </c>
      <c r="G115" s="132">
        <f t="shared" si="16"/>
        <v>700</v>
      </c>
      <c r="H115" s="70" t="s">
        <v>45</v>
      </c>
      <c r="I115" s="125">
        <v>78</v>
      </c>
      <c r="J115" s="132">
        <f t="shared" si="17"/>
        <v>54600</v>
      </c>
      <c r="K115" s="121"/>
      <c r="L115" s="121"/>
      <c r="M115" s="121"/>
      <c r="N115" s="5">
        <f t="shared" si="19"/>
        <v>15600</v>
      </c>
      <c r="O115" s="226">
        <f t="shared" si="20"/>
        <v>0</v>
      </c>
      <c r="P115" s="5">
        <f t="shared" si="21"/>
        <v>31200</v>
      </c>
      <c r="Q115" s="5">
        <f t="shared" si="22"/>
        <v>7800</v>
      </c>
      <c r="R115" s="121"/>
    </row>
    <row r="116" spans="1:223" s="121" customFormat="1" ht="48" x14ac:dyDescent="0.25">
      <c r="A116" s="70">
        <f t="shared" si="18"/>
        <v>39</v>
      </c>
      <c r="B116" s="71" t="s">
        <v>75</v>
      </c>
      <c r="C116" s="72">
        <v>100</v>
      </c>
      <c r="D116" s="72">
        <v>0</v>
      </c>
      <c r="E116" s="190">
        <v>250</v>
      </c>
      <c r="F116" s="205"/>
      <c r="G116" s="132">
        <f t="shared" si="16"/>
        <v>350</v>
      </c>
      <c r="H116" s="70" t="s">
        <v>45</v>
      </c>
      <c r="I116" s="125">
        <v>60</v>
      </c>
      <c r="J116" s="132">
        <f t="shared" si="17"/>
        <v>21000</v>
      </c>
      <c r="N116" s="5">
        <f t="shared" si="19"/>
        <v>6000</v>
      </c>
      <c r="O116" s="226">
        <f t="shared" si="20"/>
        <v>0</v>
      </c>
      <c r="P116" s="5">
        <f t="shared" si="21"/>
        <v>15000</v>
      </c>
      <c r="Q116" s="5">
        <f t="shared" si="22"/>
        <v>0</v>
      </c>
    </row>
    <row r="117" spans="1:223" s="120" customFormat="1" ht="108" x14ac:dyDescent="0.25">
      <c r="A117" s="70">
        <f t="shared" si="18"/>
        <v>40</v>
      </c>
      <c r="B117" s="71" t="s">
        <v>346</v>
      </c>
      <c r="C117" s="72">
        <v>50</v>
      </c>
      <c r="D117" s="72">
        <v>30</v>
      </c>
      <c r="E117" s="190">
        <v>150</v>
      </c>
      <c r="F117" s="205"/>
      <c r="G117" s="132">
        <f t="shared" si="16"/>
        <v>230</v>
      </c>
      <c r="H117" s="70" t="s">
        <v>64</v>
      </c>
      <c r="I117" s="125">
        <v>100</v>
      </c>
      <c r="J117" s="132">
        <f t="shared" si="17"/>
        <v>23000</v>
      </c>
      <c r="K117" s="121"/>
      <c r="L117" s="121"/>
      <c r="M117" s="121"/>
      <c r="N117" s="5">
        <f t="shared" si="19"/>
        <v>5000</v>
      </c>
      <c r="O117" s="226">
        <f t="shared" si="20"/>
        <v>3000</v>
      </c>
      <c r="P117" s="5">
        <f t="shared" si="21"/>
        <v>15000</v>
      </c>
      <c r="Q117" s="5">
        <f t="shared" si="22"/>
        <v>0</v>
      </c>
      <c r="R117" s="121"/>
    </row>
    <row r="118" spans="1:223" ht="76.5" x14ac:dyDescent="0.2">
      <c r="A118" s="5">
        <f t="shared" si="18"/>
        <v>41</v>
      </c>
      <c r="B118" s="105" t="s">
        <v>347</v>
      </c>
      <c r="C118" s="13">
        <v>6010</v>
      </c>
      <c r="D118" s="13">
        <v>0</v>
      </c>
      <c r="E118" s="190"/>
      <c r="F118" s="205"/>
      <c r="G118" s="130">
        <f t="shared" si="16"/>
        <v>6010</v>
      </c>
      <c r="H118" s="5" t="s">
        <v>64</v>
      </c>
      <c r="I118" s="11">
        <v>5</v>
      </c>
      <c r="J118" s="130">
        <f t="shared" si="17"/>
        <v>30050</v>
      </c>
      <c r="K118" s="136"/>
      <c r="L118" s="136"/>
      <c r="M118" s="136"/>
      <c r="N118" s="5">
        <f t="shared" si="19"/>
        <v>30050</v>
      </c>
      <c r="O118" s="226">
        <f t="shared" si="20"/>
        <v>0</v>
      </c>
      <c r="P118" s="5">
        <f t="shared" si="21"/>
        <v>0</v>
      </c>
      <c r="Q118" s="5">
        <f t="shared" si="22"/>
        <v>0</v>
      </c>
      <c r="R118" s="136"/>
    </row>
    <row r="119" spans="1:223" s="136" customFormat="1" ht="36" x14ac:dyDescent="0.25">
      <c r="A119" s="5">
        <f t="shared" si="18"/>
        <v>42</v>
      </c>
      <c r="B119" s="129" t="s">
        <v>348</v>
      </c>
      <c r="C119" s="13">
        <v>3</v>
      </c>
      <c r="D119" s="13">
        <v>0</v>
      </c>
      <c r="E119" s="190"/>
      <c r="F119" s="205"/>
      <c r="G119" s="130">
        <f t="shared" si="16"/>
        <v>3</v>
      </c>
      <c r="H119" s="5" t="s">
        <v>2</v>
      </c>
      <c r="I119" s="106">
        <v>2301</v>
      </c>
      <c r="J119" s="130">
        <f t="shared" si="17"/>
        <v>6903</v>
      </c>
      <c r="N119" s="5">
        <f t="shared" si="19"/>
        <v>6903</v>
      </c>
      <c r="O119" s="226">
        <f t="shared" si="20"/>
        <v>0</v>
      </c>
      <c r="P119" s="5">
        <f t="shared" si="21"/>
        <v>0</v>
      </c>
      <c r="Q119" s="5">
        <f t="shared" si="22"/>
        <v>0</v>
      </c>
    </row>
    <row r="120" spans="1:223" s="136" customFormat="1" ht="24" x14ac:dyDescent="0.25">
      <c r="A120" s="5">
        <f>A97+1</f>
        <v>44</v>
      </c>
      <c r="B120" s="148" t="s">
        <v>350</v>
      </c>
      <c r="C120" s="13">
        <v>6</v>
      </c>
      <c r="D120" s="13">
        <v>0</v>
      </c>
      <c r="E120" s="190"/>
      <c r="F120" s="205"/>
      <c r="G120" s="130">
        <f t="shared" si="16"/>
        <v>6</v>
      </c>
      <c r="H120" s="5" t="s">
        <v>5</v>
      </c>
      <c r="I120" s="106">
        <v>811</v>
      </c>
      <c r="J120" s="130">
        <f t="shared" si="17"/>
        <v>4866</v>
      </c>
      <c r="N120" s="5">
        <f t="shared" si="19"/>
        <v>4866</v>
      </c>
      <c r="O120" s="226">
        <f t="shared" si="20"/>
        <v>0</v>
      </c>
      <c r="P120" s="5">
        <f t="shared" si="21"/>
        <v>0</v>
      </c>
      <c r="Q120" s="5">
        <f t="shared" si="22"/>
        <v>0</v>
      </c>
    </row>
    <row r="121" spans="1:223" s="136" customFormat="1" ht="24" x14ac:dyDescent="0.25">
      <c r="A121" s="5">
        <f t="shared" si="18"/>
        <v>45</v>
      </c>
      <c r="B121" s="148" t="s">
        <v>351</v>
      </c>
      <c r="C121" s="13">
        <v>7</v>
      </c>
      <c r="D121" s="13">
        <v>0</v>
      </c>
      <c r="E121" s="190"/>
      <c r="F121" s="205"/>
      <c r="G121" s="130">
        <f t="shared" si="16"/>
        <v>7</v>
      </c>
      <c r="H121" s="5" t="s">
        <v>5</v>
      </c>
      <c r="I121" s="106">
        <v>650</v>
      </c>
      <c r="J121" s="130">
        <f t="shared" si="17"/>
        <v>4550</v>
      </c>
      <c r="N121" s="5">
        <f t="shared" si="19"/>
        <v>4550</v>
      </c>
      <c r="O121" s="226">
        <f t="shared" si="20"/>
        <v>0</v>
      </c>
      <c r="P121" s="5">
        <f t="shared" si="21"/>
        <v>0</v>
      </c>
      <c r="Q121" s="5">
        <f t="shared" si="22"/>
        <v>0</v>
      </c>
    </row>
    <row r="122" spans="1:223" s="141" customFormat="1" ht="36" x14ac:dyDescent="0.25">
      <c r="A122" s="5">
        <f t="shared" si="18"/>
        <v>46</v>
      </c>
      <c r="B122" s="129" t="s">
        <v>352</v>
      </c>
      <c r="C122" s="13">
        <v>1</v>
      </c>
      <c r="D122" s="13">
        <v>0</v>
      </c>
      <c r="E122" s="190"/>
      <c r="F122" s="205"/>
      <c r="G122" s="130">
        <f t="shared" si="16"/>
        <v>1</v>
      </c>
      <c r="H122" s="5" t="s">
        <v>5</v>
      </c>
      <c r="I122" s="106">
        <v>6100</v>
      </c>
      <c r="J122" s="130">
        <f t="shared" si="17"/>
        <v>6100</v>
      </c>
      <c r="K122" s="136"/>
      <c r="L122" s="136"/>
      <c r="M122" s="136"/>
      <c r="N122" s="5">
        <f t="shared" si="19"/>
        <v>6100</v>
      </c>
      <c r="O122" s="226">
        <f t="shared" si="20"/>
        <v>0</v>
      </c>
      <c r="P122" s="5">
        <f t="shared" si="21"/>
        <v>0</v>
      </c>
      <c r="Q122" s="5">
        <f t="shared" si="22"/>
        <v>0</v>
      </c>
      <c r="R122" s="136"/>
    </row>
    <row r="123" spans="1:223" s="120" customFormat="1" ht="72" x14ac:dyDescent="0.25">
      <c r="A123" s="70">
        <f t="shared" si="18"/>
        <v>47</v>
      </c>
      <c r="B123" s="71" t="s">
        <v>353</v>
      </c>
      <c r="C123" s="72">
        <v>2</v>
      </c>
      <c r="D123" s="72">
        <v>0</v>
      </c>
      <c r="E123" s="190">
        <v>2</v>
      </c>
      <c r="F123" s="205"/>
      <c r="G123" s="132">
        <f t="shared" si="16"/>
        <v>4</v>
      </c>
      <c r="H123" s="70" t="s">
        <v>5</v>
      </c>
      <c r="I123" s="74">
        <v>32300</v>
      </c>
      <c r="J123" s="132">
        <f t="shared" si="17"/>
        <v>129200</v>
      </c>
      <c r="K123" s="121"/>
      <c r="L123" s="121"/>
      <c r="M123" s="121"/>
      <c r="N123" s="5">
        <f t="shared" si="19"/>
        <v>64600</v>
      </c>
      <c r="O123" s="226">
        <f t="shared" si="20"/>
        <v>0</v>
      </c>
      <c r="P123" s="5">
        <f t="shared" si="21"/>
        <v>64600</v>
      </c>
      <c r="Q123" s="5">
        <f t="shared" si="22"/>
        <v>0</v>
      </c>
      <c r="R123" s="121"/>
    </row>
    <row r="124" spans="1:223" s="120" customFormat="1" ht="312" x14ac:dyDescent="0.25">
      <c r="A124" s="70">
        <f t="shared" si="18"/>
        <v>48</v>
      </c>
      <c r="B124" s="139" t="s">
        <v>354</v>
      </c>
      <c r="C124" s="72">
        <v>1</v>
      </c>
      <c r="D124" s="72">
        <v>0</v>
      </c>
      <c r="E124" s="190">
        <v>3</v>
      </c>
      <c r="F124" s="205">
        <v>1</v>
      </c>
      <c r="G124" s="132">
        <f t="shared" si="16"/>
        <v>5</v>
      </c>
      <c r="H124" s="70" t="s">
        <v>5</v>
      </c>
      <c r="I124" s="74">
        <v>27022</v>
      </c>
      <c r="J124" s="132">
        <f t="shared" si="17"/>
        <v>135110</v>
      </c>
      <c r="K124" s="121"/>
      <c r="L124" s="121"/>
      <c r="M124" s="121"/>
      <c r="N124" s="5">
        <f t="shared" si="19"/>
        <v>27022</v>
      </c>
      <c r="O124" s="226">
        <f t="shared" si="20"/>
        <v>0</v>
      </c>
      <c r="P124" s="5">
        <f t="shared" si="21"/>
        <v>81066</v>
      </c>
      <c r="Q124" s="5">
        <f t="shared" si="22"/>
        <v>27022</v>
      </c>
      <c r="R124" s="121"/>
    </row>
    <row r="125" spans="1:223" s="120" customFormat="1" ht="96" x14ac:dyDescent="0.25">
      <c r="A125" s="70">
        <f t="shared" si="18"/>
        <v>49</v>
      </c>
      <c r="B125" s="139" t="s">
        <v>355</v>
      </c>
      <c r="C125" s="72">
        <v>1</v>
      </c>
      <c r="D125" s="72">
        <v>0</v>
      </c>
      <c r="E125" s="190">
        <v>3</v>
      </c>
      <c r="F125" s="205">
        <v>1</v>
      </c>
      <c r="G125" s="132">
        <f t="shared" si="16"/>
        <v>5</v>
      </c>
      <c r="H125" s="70" t="s">
        <v>5</v>
      </c>
      <c r="I125" s="74">
        <v>11776</v>
      </c>
      <c r="J125" s="132">
        <f t="shared" si="17"/>
        <v>58880</v>
      </c>
      <c r="K125" s="121"/>
      <c r="L125" s="121"/>
      <c r="M125" s="121"/>
      <c r="N125" s="5">
        <f t="shared" si="19"/>
        <v>11776</v>
      </c>
      <c r="O125" s="226">
        <f t="shared" si="20"/>
        <v>0</v>
      </c>
      <c r="P125" s="5">
        <f t="shared" si="21"/>
        <v>35328</v>
      </c>
      <c r="Q125" s="5">
        <f t="shared" si="22"/>
        <v>11776</v>
      </c>
      <c r="R125" s="121"/>
    </row>
    <row r="126" spans="1:223" s="120" customFormat="1" ht="48" x14ac:dyDescent="0.25">
      <c r="A126" s="70">
        <f t="shared" si="18"/>
        <v>50</v>
      </c>
      <c r="B126" s="139" t="s">
        <v>356</v>
      </c>
      <c r="C126" s="72">
        <v>1</v>
      </c>
      <c r="D126" s="72">
        <v>0</v>
      </c>
      <c r="E126" s="190">
        <v>3</v>
      </c>
      <c r="F126" s="205">
        <v>1</v>
      </c>
      <c r="G126" s="132">
        <f t="shared" si="16"/>
        <v>5</v>
      </c>
      <c r="H126" s="70" t="s">
        <v>5</v>
      </c>
      <c r="I126" s="74">
        <v>1770</v>
      </c>
      <c r="J126" s="132">
        <f t="shared" si="17"/>
        <v>8850</v>
      </c>
      <c r="K126" s="121"/>
      <c r="L126" s="121"/>
      <c r="M126" s="121"/>
      <c r="N126" s="5">
        <f t="shared" si="19"/>
        <v>1770</v>
      </c>
      <c r="O126" s="226">
        <f t="shared" si="20"/>
        <v>0</v>
      </c>
      <c r="P126" s="5">
        <f t="shared" si="21"/>
        <v>5310</v>
      </c>
      <c r="Q126" s="5">
        <f t="shared" si="22"/>
        <v>1770</v>
      </c>
      <c r="R126" s="121"/>
    </row>
    <row r="127" spans="1:223" ht="36" x14ac:dyDescent="0.2">
      <c r="A127" s="5">
        <f t="shared" si="18"/>
        <v>51</v>
      </c>
      <c r="B127" s="129" t="s">
        <v>357</v>
      </c>
      <c r="C127" s="13">
        <v>1</v>
      </c>
      <c r="D127" s="13">
        <v>0</v>
      </c>
      <c r="E127" s="190"/>
      <c r="F127" s="205"/>
      <c r="G127" s="130">
        <f t="shared" si="16"/>
        <v>1</v>
      </c>
      <c r="H127" s="13" t="s">
        <v>5</v>
      </c>
      <c r="I127" s="11">
        <v>6529</v>
      </c>
      <c r="J127" s="130">
        <f t="shared" si="17"/>
        <v>6529</v>
      </c>
      <c r="K127" s="136"/>
      <c r="L127" s="136"/>
      <c r="M127" s="136"/>
      <c r="N127" s="5">
        <f t="shared" si="19"/>
        <v>6529</v>
      </c>
      <c r="O127" s="226">
        <f t="shared" si="20"/>
        <v>0</v>
      </c>
      <c r="P127" s="5">
        <f t="shared" si="21"/>
        <v>0</v>
      </c>
      <c r="Q127" s="5">
        <f t="shared" si="22"/>
        <v>0</v>
      </c>
      <c r="R127" s="136"/>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row>
    <row r="128" spans="1:223" ht="96" x14ac:dyDescent="0.2">
      <c r="A128" s="5">
        <v>52</v>
      </c>
      <c r="B128" s="6" t="s">
        <v>358</v>
      </c>
      <c r="C128" s="11"/>
      <c r="D128" s="11">
        <v>1</v>
      </c>
      <c r="E128" s="202"/>
      <c r="F128" s="218"/>
      <c r="G128" s="130">
        <f t="shared" si="16"/>
        <v>1</v>
      </c>
      <c r="H128" s="97" t="s">
        <v>5</v>
      </c>
      <c r="I128" s="151">
        <v>391040</v>
      </c>
      <c r="J128" s="130">
        <f t="shared" si="17"/>
        <v>391040</v>
      </c>
      <c r="K128" s="136"/>
      <c r="L128" s="136"/>
      <c r="M128" s="136"/>
      <c r="N128" s="5">
        <f t="shared" si="19"/>
        <v>0</v>
      </c>
      <c r="O128" s="226">
        <f t="shared" si="20"/>
        <v>391040</v>
      </c>
      <c r="P128" s="5">
        <f t="shared" si="21"/>
        <v>0</v>
      </c>
      <c r="Q128" s="5">
        <f t="shared" si="22"/>
        <v>0</v>
      </c>
      <c r="R128" s="136"/>
    </row>
    <row r="129" spans="1:19" ht="24" x14ac:dyDescent="0.2">
      <c r="A129" s="5">
        <v>53</v>
      </c>
      <c r="B129" s="6" t="s">
        <v>359</v>
      </c>
      <c r="C129" s="13">
        <v>0</v>
      </c>
      <c r="D129" s="13">
        <v>1</v>
      </c>
      <c r="E129" s="190"/>
      <c r="F129" s="205"/>
      <c r="G129" s="130">
        <f t="shared" si="16"/>
        <v>1</v>
      </c>
      <c r="H129" s="13" t="s">
        <v>5</v>
      </c>
      <c r="I129" s="106">
        <v>39325.769999999997</v>
      </c>
      <c r="J129" s="130">
        <f t="shared" si="17"/>
        <v>39325.769999999997</v>
      </c>
      <c r="K129" s="136"/>
      <c r="L129" s="136"/>
      <c r="M129" s="136"/>
      <c r="N129" s="5">
        <f t="shared" si="19"/>
        <v>0</v>
      </c>
      <c r="O129" s="226">
        <f t="shared" si="20"/>
        <v>39325.769999999997</v>
      </c>
      <c r="P129" s="5">
        <f t="shared" si="21"/>
        <v>0</v>
      </c>
      <c r="Q129" s="5">
        <f t="shared" si="22"/>
        <v>0</v>
      </c>
      <c r="R129" s="136"/>
    </row>
    <row r="130" spans="1:19" ht="24" x14ac:dyDescent="0.2">
      <c r="A130" s="5">
        <v>54</v>
      </c>
      <c r="B130" s="6" t="s">
        <v>229</v>
      </c>
      <c r="C130" s="13">
        <v>0</v>
      </c>
      <c r="D130" s="13">
        <v>1</v>
      </c>
      <c r="E130" s="190"/>
      <c r="F130" s="205"/>
      <c r="G130" s="130">
        <f t="shared" si="16"/>
        <v>1</v>
      </c>
      <c r="H130" s="13" t="s">
        <v>5</v>
      </c>
      <c r="I130" s="106">
        <v>7080</v>
      </c>
      <c r="J130" s="130">
        <f t="shared" si="17"/>
        <v>7080</v>
      </c>
      <c r="K130" s="136"/>
      <c r="L130" s="136"/>
      <c r="M130" s="136"/>
      <c r="N130" s="5">
        <f t="shared" si="19"/>
        <v>0</v>
      </c>
      <c r="O130" s="226">
        <f t="shared" si="20"/>
        <v>7080</v>
      </c>
      <c r="P130" s="5">
        <f t="shared" si="21"/>
        <v>0</v>
      </c>
      <c r="Q130" s="5">
        <f t="shared" si="22"/>
        <v>0</v>
      </c>
      <c r="R130" s="136"/>
    </row>
    <row r="131" spans="1:19" ht="72" x14ac:dyDescent="0.2">
      <c r="A131" s="5">
        <v>56</v>
      </c>
      <c r="B131" s="129" t="s">
        <v>360</v>
      </c>
      <c r="C131" s="5">
        <v>0</v>
      </c>
      <c r="D131" s="5">
        <v>1</v>
      </c>
      <c r="G131" s="130">
        <f t="shared" si="16"/>
        <v>1</v>
      </c>
      <c r="H131" s="5" t="s">
        <v>5</v>
      </c>
      <c r="I131" s="153">
        <v>41647</v>
      </c>
      <c r="J131" s="130">
        <f t="shared" si="17"/>
        <v>41647</v>
      </c>
      <c r="K131" s="136"/>
      <c r="L131" s="136"/>
      <c r="M131" s="136"/>
      <c r="N131" s="5">
        <f t="shared" si="19"/>
        <v>0</v>
      </c>
      <c r="O131" s="226">
        <f t="shared" si="20"/>
        <v>41647</v>
      </c>
      <c r="P131" s="5">
        <f t="shared" si="21"/>
        <v>0</v>
      </c>
      <c r="Q131" s="5">
        <f t="shared" si="22"/>
        <v>0</v>
      </c>
      <c r="R131" s="136"/>
    </row>
    <row r="132" spans="1:19" s="6" customFormat="1" ht="60" x14ac:dyDescent="0.25">
      <c r="A132" s="5">
        <v>57</v>
      </c>
      <c r="B132" s="129" t="s">
        <v>361</v>
      </c>
      <c r="C132" s="7">
        <v>0</v>
      </c>
      <c r="D132" s="7">
        <v>15</v>
      </c>
      <c r="E132" s="200"/>
      <c r="F132" s="216"/>
      <c r="G132" s="130">
        <f t="shared" si="16"/>
        <v>15</v>
      </c>
      <c r="H132" s="97" t="s">
        <v>5</v>
      </c>
      <c r="I132" s="153">
        <v>2229</v>
      </c>
      <c r="J132" s="130">
        <f t="shared" si="17"/>
        <v>33435</v>
      </c>
      <c r="K132" s="136"/>
      <c r="L132" s="136"/>
      <c r="M132" s="136"/>
      <c r="N132" s="5">
        <f t="shared" si="19"/>
        <v>0</v>
      </c>
      <c r="O132" s="226">
        <f t="shared" si="20"/>
        <v>33435</v>
      </c>
      <c r="P132" s="5">
        <f t="shared" si="21"/>
        <v>0</v>
      </c>
      <c r="Q132" s="5">
        <f t="shared" si="22"/>
        <v>0</v>
      </c>
      <c r="R132" s="136"/>
    </row>
    <row r="133" spans="1:19" s="145" customFormat="1" ht="12.75" thickBot="1" x14ac:dyDescent="0.25">
      <c r="A133" s="12"/>
      <c r="B133" s="140" t="s">
        <v>249</v>
      </c>
      <c r="C133" s="12"/>
      <c r="D133" s="12"/>
      <c r="E133" s="197"/>
      <c r="F133" s="213"/>
      <c r="G133" s="146"/>
      <c r="H133" s="12"/>
      <c r="I133" s="12"/>
      <c r="J133" s="166">
        <f>SUM(J69:J132)</f>
        <v>3557515.75</v>
      </c>
      <c r="K133" s="82"/>
      <c r="L133" s="82"/>
      <c r="M133" s="82"/>
      <c r="N133" s="169">
        <f>SUM(N69:N132)</f>
        <v>1717009.58</v>
      </c>
      <c r="O133" s="229">
        <f>SUM(O69:O132)</f>
        <v>641511.77</v>
      </c>
      <c r="P133" s="169">
        <f>SUM(P69:P132)</f>
        <v>957787</v>
      </c>
      <c r="Q133" s="169">
        <f>SUM(Q69:Q132)</f>
        <v>241207.4</v>
      </c>
      <c r="R133" s="128">
        <f>SUM(N133:Q133)</f>
        <v>3557515.75</v>
      </c>
      <c r="S133" s="128">
        <f>J133-R133</f>
        <v>0</v>
      </c>
    </row>
    <row r="134" spans="1:19" x14ac:dyDescent="0.2">
      <c r="A134" s="13"/>
      <c r="B134" s="173"/>
      <c r="C134" s="13"/>
      <c r="D134" s="13"/>
      <c r="E134" s="190"/>
      <c r="F134" s="205"/>
      <c r="G134" s="130"/>
      <c r="I134" s="13"/>
      <c r="J134" s="174"/>
      <c r="K134" s="136"/>
      <c r="L134" s="136"/>
      <c r="M134" s="136"/>
      <c r="N134" s="5">
        <f t="shared" si="19"/>
        <v>0</v>
      </c>
      <c r="O134" s="226">
        <f t="shared" si="20"/>
        <v>0</v>
      </c>
      <c r="P134" s="5">
        <f t="shared" si="21"/>
        <v>0</v>
      </c>
      <c r="Q134" s="5">
        <f t="shared" si="22"/>
        <v>0</v>
      </c>
      <c r="R134" s="136"/>
      <c r="S134" s="141"/>
    </row>
    <row r="135" spans="1:19" s="128" customFormat="1" x14ac:dyDescent="0.25">
      <c r="A135" s="12" t="s">
        <v>250</v>
      </c>
      <c r="B135" s="131" t="s">
        <v>369</v>
      </c>
      <c r="C135" s="12"/>
      <c r="D135" s="12"/>
      <c r="E135" s="197"/>
      <c r="F135" s="213"/>
      <c r="G135" s="146"/>
      <c r="H135" s="12"/>
      <c r="I135" s="12"/>
      <c r="J135" s="12"/>
      <c r="K135" s="82"/>
      <c r="L135" s="82"/>
      <c r="M135" s="82"/>
      <c r="N135" s="17">
        <f t="shared" si="19"/>
        <v>0</v>
      </c>
      <c r="O135" s="228">
        <f t="shared" si="20"/>
        <v>0</v>
      </c>
      <c r="P135" s="17">
        <f t="shared" si="21"/>
        <v>0</v>
      </c>
      <c r="Q135" s="17">
        <f t="shared" si="22"/>
        <v>0</v>
      </c>
      <c r="R135" s="82"/>
    </row>
    <row r="136" spans="1:19" s="133" customFormat="1" ht="36" x14ac:dyDescent="0.2">
      <c r="A136" s="72">
        <v>1</v>
      </c>
      <c r="B136" s="71" t="s">
        <v>39</v>
      </c>
      <c r="C136" s="72"/>
      <c r="D136" s="72"/>
      <c r="E136" s="192">
        <v>1</v>
      </c>
      <c r="F136" s="212"/>
      <c r="G136" s="130">
        <f t="shared" ref="G136:G178" si="27">C136+D136+E136+F136</f>
        <v>1</v>
      </c>
      <c r="H136" s="70" t="s">
        <v>1</v>
      </c>
      <c r="I136" s="70">
        <v>159987</v>
      </c>
      <c r="J136" s="132">
        <f t="shared" ref="J136:J179" si="28">G136*I136</f>
        <v>159987</v>
      </c>
      <c r="K136" s="121"/>
      <c r="L136" s="121"/>
      <c r="M136" s="121"/>
      <c r="N136" s="5">
        <f t="shared" si="19"/>
        <v>0</v>
      </c>
      <c r="O136" s="226">
        <f t="shared" si="20"/>
        <v>0</v>
      </c>
      <c r="P136" s="5">
        <f t="shared" si="21"/>
        <v>159987</v>
      </c>
      <c r="Q136" s="5">
        <f t="shared" si="22"/>
        <v>0</v>
      </c>
      <c r="R136" s="121"/>
      <c r="S136" s="120"/>
    </row>
    <row r="137" spans="1:19" s="133" customFormat="1" ht="24" x14ac:dyDescent="0.2">
      <c r="A137" s="72">
        <v>2</v>
      </c>
      <c r="B137" s="71" t="s">
        <v>129</v>
      </c>
      <c r="C137" s="72"/>
      <c r="D137" s="72"/>
      <c r="E137" s="190">
        <v>7</v>
      </c>
      <c r="F137" s="205"/>
      <c r="G137" s="130">
        <f t="shared" si="27"/>
        <v>7</v>
      </c>
      <c r="H137" s="70" t="s">
        <v>1</v>
      </c>
      <c r="I137" s="70">
        <v>7200</v>
      </c>
      <c r="J137" s="132">
        <f t="shared" si="28"/>
        <v>50400</v>
      </c>
      <c r="K137" s="121"/>
      <c r="L137" s="121"/>
      <c r="M137" s="121"/>
      <c r="N137" s="5">
        <f t="shared" si="19"/>
        <v>0</v>
      </c>
      <c r="O137" s="226">
        <f t="shared" si="20"/>
        <v>0</v>
      </c>
      <c r="P137" s="5">
        <f t="shared" si="21"/>
        <v>50400</v>
      </c>
      <c r="Q137" s="5">
        <f t="shared" si="22"/>
        <v>0</v>
      </c>
      <c r="R137" s="121"/>
      <c r="S137" s="120"/>
    </row>
    <row r="138" spans="1:19" s="196" customFormat="1" ht="36" x14ac:dyDescent="0.2">
      <c r="A138" s="190">
        <v>5</v>
      </c>
      <c r="B138" s="191" t="s">
        <v>110</v>
      </c>
      <c r="C138" s="190"/>
      <c r="D138" s="190"/>
      <c r="E138" s="192">
        <f>25*305</f>
        <v>7625</v>
      </c>
      <c r="F138" s="208">
        <v>0</v>
      </c>
      <c r="G138" s="193">
        <f t="shared" si="27"/>
        <v>7625</v>
      </c>
      <c r="H138" s="192" t="s">
        <v>41</v>
      </c>
      <c r="I138" s="192">
        <v>37</v>
      </c>
      <c r="J138" s="193">
        <f t="shared" si="28"/>
        <v>282125</v>
      </c>
      <c r="K138" s="194"/>
      <c r="L138" s="194"/>
      <c r="M138" s="194"/>
      <c r="N138" s="192">
        <f t="shared" si="19"/>
        <v>0</v>
      </c>
      <c r="O138" s="226">
        <f t="shared" si="20"/>
        <v>0</v>
      </c>
      <c r="P138" s="192">
        <f t="shared" si="21"/>
        <v>282125</v>
      </c>
      <c r="Q138" s="192">
        <f t="shared" si="22"/>
        <v>0</v>
      </c>
      <c r="R138" s="194"/>
      <c r="S138" s="195"/>
    </row>
    <row r="139" spans="1:19" ht="36" x14ac:dyDescent="0.2">
      <c r="A139" s="72">
        <v>6</v>
      </c>
      <c r="B139" s="71" t="s">
        <v>44</v>
      </c>
      <c r="C139" s="13"/>
      <c r="D139" s="13"/>
      <c r="E139" s="190">
        <v>600</v>
      </c>
      <c r="F139" s="205">
        <v>400</v>
      </c>
      <c r="G139" s="130">
        <f t="shared" si="27"/>
        <v>1000</v>
      </c>
      <c r="H139" s="72" t="s">
        <v>45</v>
      </c>
      <c r="I139" s="124">
        <v>41.3</v>
      </c>
      <c r="J139" s="132">
        <f t="shared" si="28"/>
        <v>41300</v>
      </c>
      <c r="K139" s="136"/>
      <c r="L139" s="136"/>
      <c r="M139" s="136"/>
      <c r="N139" s="5">
        <f t="shared" si="19"/>
        <v>0</v>
      </c>
      <c r="O139" s="226">
        <f t="shared" si="20"/>
        <v>0</v>
      </c>
      <c r="P139" s="5">
        <f t="shared" si="21"/>
        <v>24780</v>
      </c>
      <c r="Q139" s="5">
        <f t="shared" si="22"/>
        <v>16520</v>
      </c>
      <c r="R139" s="136"/>
      <c r="S139" s="141"/>
    </row>
    <row r="140" spans="1:19" s="133" customFormat="1" ht="60" x14ac:dyDescent="0.2">
      <c r="A140" s="72">
        <v>7</v>
      </c>
      <c r="B140" s="71" t="s">
        <v>94</v>
      </c>
      <c r="C140" s="72"/>
      <c r="D140" s="72"/>
      <c r="E140" s="190">
        <v>2</v>
      </c>
      <c r="F140" s="205"/>
      <c r="G140" s="132">
        <f t="shared" si="27"/>
        <v>2</v>
      </c>
      <c r="H140" s="70" t="s">
        <v>5</v>
      </c>
      <c r="I140" s="74">
        <v>26485</v>
      </c>
      <c r="J140" s="132">
        <f t="shared" si="28"/>
        <v>52970</v>
      </c>
      <c r="K140" s="20" t="s">
        <v>93</v>
      </c>
      <c r="L140" s="121"/>
      <c r="M140" s="121"/>
      <c r="N140" s="5">
        <f t="shared" si="19"/>
        <v>0</v>
      </c>
      <c r="O140" s="226">
        <f t="shared" si="20"/>
        <v>0</v>
      </c>
      <c r="P140" s="5">
        <f t="shared" si="21"/>
        <v>52970</v>
      </c>
      <c r="Q140" s="5">
        <f t="shared" si="22"/>
        <v>0</v>
      </c>
      <c r="R140" s="121"/>
      <c r="S140" s="120"/>
    </row>
    <row r="141" spans="1:19" s="133" customFormat="1" ht="48" x14ac:dyDescent="0.2">
      <c r="A141" s="72">
        <v>8</v>
      </c>
      <c r="B141" s="71" t="s">
        <v>107</v>
      </c>
      <c r="C141" s="72"/>
      <c r="D141" s="72"/>
      <c r="E141" s="190">
        <v>1</v>
      </c>
      <c r="F141" s="205"/>
      <c r="G141" s="132">
        <f t="shared" si="27"/>
        <v>1</v>
      </c>
      <c r="H141" s="70" t="s">
        <v>1</v>
      </c>
      <c r="I141" s="70">
        <v>168000</v>
      </c>
      <c r="J141" s="132">
        <f t="shared" si="28"/>
        <v>168000</v>
      </c>
      <c r="K141" s="23" t="s">
        <v>88</v>
      </c>
      <c r="L141" s="121"/>
      <c r="M141" s="121"/>
      <c r="N141" s="5">
        <f t="shared" si="19"/>
        <v>0</v>
      </c>
      <c r="O141" s="226">
        <f t="shared" si="20"/>
        <v>0</v>
      </c>
      <c r="P141" s="5">
        <f t="shared" si="21"/>
        <v>168000</v>
      </c>
      <c r="Q141" s="5">
        <f t="shared" si="22"/>
        <v>0</v>
      </c>
      <c r="R141" s="121"/>
      <c r="S141" s="120"/>
    </row>
    <row r="142" spans="1:19" s="273" customFormat="1" ht="84" x14ac:dyDescent="0.2">
      <c r="A142" s="265">
        <v>9</v>
      </c>
      <c r="B142" s="266" t="s">
        <v>86</v>
      </c>
      <c r="C142" s="265"/>
      <c r="D142" s="265"/>
      <c r="E142" s="265">
        <v>0</v>
      </c>
      <c r="F142" s="265"/>
      <c r="G142" s="267">
        <f t="shared" si="27"/>
        <v>0</v>
      </c>
      <c r="H142" s="268" t="s">
        <v>5</v>
      </c>
      <c r="I142" s="269">
        <v>20874.2</v>
      </c>
      <c r="J142" s="267">
        <f t="shared" si="28"/>
        <v>0</v>
      </c>
      <c r="K142" s="270" t="s">
        <v>87</v>
      </c>
      <c r="L142" s="271"/>
      <c r="M142" s="271"/>
      <c r="N142" s="268">
        <f t="shared" si="19"/>
        <v>0</v>
      </c>
      <c r="O142" s="269">
        <f t="shared" si="20"/>
        <v>0</v>
      </c>
      <c r="P142" s="268">
        <f t="shared" si="21"/>
        <v>0</v>
      </c>
      <c r="Q142" s="268">
        <f t="shared" si="22"/>
        <v>0</v>
      </c>
      <c r="R142" s="271"/>
      <c r="S142" s="272"/>
    </row>
    <row r="143" spans="1:19" s="133" customFormat="1" ht="48" x14ac:dyDescent="0.2">
      <c r="A143" s="72">
        <v>10</v>
      </c>
      <c r="B143" s="71" t="s">
        <v>7</v>
      </c>
      <c r="C143" s="72"/>
      <c r="D143" s="72"/>
      <c r="E143" s="190">
        <v>1</v>
      </c>
      <c r="F143" s="205"/>
      <c r="G143" s="132">
        <f t="shared" si="27"/>
        <v>1</v>
      </c>
      <c r="H143" s="70" t="s">
        <v>1</v>
      </c>
      <c r="I143" s="70">
        <v>72000</v>
      </c>
      <c r="J143" s="132">
        <f t="shared" si="28"/>
        <v>72000</v>
      </c>
      <c r="K143" s="20" t="s">
        <v>103</v>
      </c>
      <c r="L143" s="121"/>
      <c r="M143" s="121"/>
      <c r="N143" s="5">
        <f t="shared" ref="N143:N180" si="29">C143*I143</f>
        <v>0</v>
      </c>
      <c r="O143" s="226">
        <f t="shared" ref="O143:O180" si="30">D143*I143</f>
        <v>0</v>
      </c>
      <c r="P143" s="5">
        <f t="shared" ref="P143:P180" si="31">E143*I143</f>
        <v>72000</v>
      </c>
      <c r="Q143" s="5">
        <f t="shared" ref="Q143:Q180" si="32">F143*I143</f>
        <v>0</v>
      </c>
      <c r="R143" s="121"/>
      <c r="S143" s="120"/>
    </row>
    <row r="144" spans="1:19" s="133" customFormat="1" ht="48" x14ac:dyDescent="0.2">
      <c r="A144" s="72">
        <v>11</v>
      </c>
      <c r="B144" s="71" t="s">
        <v>6</v>
      </c>
      <c r="C144" s="72"/>
      <c r="D144" s="72"/>
      <c r="E144" s="190">
        <v>5</v>
      </c>
      <c r="F144" s="205">
        <v>1</v>
      </c>
      <c r="G144" s="132">
        <f t="shared" si="27"/>
        <v>6</v>
      </c>
      <c r="H144" s="72" t="s">
        <v>1</v>
      </c>
      <c r="I144" s="74">
        <v>80709.64</v>
      </c>
      <c r="J144" s="132">
        <f t="shared" si="28"/>
        <v>484257.83999999997</v>
      </c>
      <c r="K144" s="72" t="s">
        <v>84</v>
      </c>
      <c r="L144" s="121"/>
      <c r="M144" s="121"/>
      <c r="N144" s="5">
        <f t="shared" si="29"/>
        <v>0</v>
      </c>
      <c r="O144" s="226">
        <f t="shared" si="30"/>
        <v>0</v>
      </c>
      <c r="P144" s="5">
        <f t="shared" si="31"/>
        <v>403548.2</v>
      </c>
      <c r="Q144" s="5">
        <f t="shared" si="32"/>
        <v>80709.64</v>
      </c>
      <c r="R144" s="121"/>
      <c r="S144" s="120"/>
    </row>
    <row r="145" spans="1:19" s="133" customFormat="1" ht="24" x14ac:dyDescent="0.2">
      <c r="A145" s="72">
        <v>12</v>
      </c>
      <c r="B145" s="71" t="s">
        <v>108</v>
      </c>
      <c r="C145" s="72"/>
      <c r="D145" s="72"/>
      <c r="E145" s="190">
        <v>1</v>
      </c>
      <c r="F145" s="205"/>
      <c r="G145" s="132">
        <f t="shared" si="27"/>
        <v>1</v>
      </c>
      <c r="H145" s="70" t="s">
        <v>1</v>
      </c>
      <c r="I145" s="70">
        <v>32000</v>
      </c>
      <c r="J145" s="132">
        <f t="shared" si="28"/>
        <v>32000</v>
      </c>
      <c r="K145" s="70" t="s">
        <v>88</v>
      </c>
      <c r="L145" s="121"/>
      <c r="M145" s="121"/>
      <c r="N145" s="5">
        <f t="shared" si="29"/>
        <v>0</v>
      </c>
      <c r="O145" s="226">
        <f t="shared" si="30"/>
        <v>0</v>
      </c>
      <c r="P145" s="5">
        <f t="shared" si="31"/>
        <v>32000</v>
      </c>
      <c r="Q145" s="5">
        <f t="shared" si="32"/>
        <v>0</v>
      </c>
      <c r="R145" s="121"/>
      <c r="S145" s="120"/>
    </row>
    <row r="146" spans="1:19" ht="60" x14ac:dyDescent="0.2">
      <c r="A146" s="72">
        <v>13</v>
      </c>
      <c r="B146" s="19" t="s">
        <v>95</v>
      </c>
      <c r="C146" s="13"/>
      <c r="D146" s="13"/>
      <c r="E146" s="190">
        <v>8</v>
      </c>
      <c r="F146" s="205"/>
      <c r="G146" s="130">
        <f t="shared" si="27"/>
        <v>8</v>
      </c>
      <c r="H146" s="23" t="s">
        <v>5</v>
      </c>
      <c r="I146" s="204">
        <v>12117.125</v>
      </c>
      <c r="J146" s="132">
        <f>G146*I146</f>
        <v>96937</v>
      </c>
      <c r="K146" s="20" t="s">
        <v>96</v>
      </c>
      <c r="L146" s="136"/>
      <c r="M146" s="136"/>
      <c r="N146" s="5">
        <f t="shared" si="29"/>
        <v>0</v>
      </c>
      <c r="O146" s="226">
        <f t="shared" si="30"/>
        <v>0</v>
      </c>
      <c r="P146" s="5">
        <f t="shared" si="31"/>
        <v>96937</v>
      </c>
      <c r="Q146" s="5">
        <f t="shared" si="32"/>
        <v>0</v>
      </c>
      <c r="R146" s="136"/>
      <c r="S146" s="141"/>
    </row>
    <row r="147" spans="1:19" ht="108" x14ac:dyDescent="0.2">
      <c r="A147" s="72">
        <v>14</v>
      </c>
      <c r="B147" s="71" t="s">
        <v>14</v>
      </c>
      <c r="C147" s="13"/>
      <c r="D147" s="13"/>
      <c r="E147" s="190">
        <v>1</v>
      </c>
      <c r="F147" s="205"/>
      <c r="G147" s="130">
        <f t="shared" si="27"/>
        <v>1</v>
      </c>
      <c r="H147" s="72" t="s">
        <v>13</v>
      </c>
      <c r="I147" s="70">
        <v>380000</v>
      </c>
      <c r="J147" s="132">
        <f t="shared" si="28"/>
        <v>380000</v>
      </c>
      <c r="K147" s="70" t="s">
        <v>88</v>
      </c>
      <c r="L147" s="136"/>
      <c r="M147" s="136"/>
      <c r="N147" s="5">
        <f t="shared" si="29"/>
        <v>0</v>
      </c>
      <c r="O147" s="226">
        <f t="shared" si="30"/>
        <v>0</v>
      </c>
      <c r="P147" s="5">
        <f t="shared" si="31"/>
        <v>380000</v>
      </c>
      <c r="Q147" s="5">
        <f t="shared" si="32"/>
        <v>0</v>
      </c>
      <c r="R147" s="136"/>
      <c r="S147" s="141"/>
    </row>
    <row r="148" spans="1:19" s="133" customFormat="1" ht="48" x14ac:dyDescent="0.2">
      <c r="A148" s="72">
        <v>15</v>
      </c>
      <c r="B148" s="71" t="s">
        <v>15</v>
      </c>
      <c r="C148" s="72"/>
      <c r="D148" s="72"/>
      <c r="E148" s="190">
        <v>1</v>
      </c>
      <c r="F148" s="205"/>
      <c r="G148" s="132">
        <f t="shared" si="27"/>
        <v>1</v>
      </c>
      <c r="H148" s="70" t="s">
        <v>1</v>
      </c>
      <c r="I148" s="163">
        <v>110000</v>
      </c>
      <c r="J148" s="132">
        <f t="shared" si="28"/>
        <v>110000</v>
      </c>
      <c r="K148" s="72" t="s">
        <v>153</v>
      </c>
      <c r="L148" s="121"/>
      <c r="M148" s="121"/>
      <c r="N148" s="5">
        <f t="shared" si="29"/>
        <v>0</v>
      </c>
      <c r="O148" s="226">
        <f t="shared" si="30"/>
        <v>0</v>
      </c>
      <c r="P148" s="5">
        <f t="shared" si="31"/>
        <v>110000</v>
      </c>
      <c r="Q148" s="5">
        <f t="shared" si="32"/>
        <v>0</v>
      </c>
      <c r="R148" s="121"/>
      <c r="S148" s="120"/>
    </row>
    <row r="149" spans="1:19" s="133" customFormat="1" ht="48" x14ac:dyDescent="0.2">
      <c r="A149" s="72">
        <v>16</v>
      </c>
      <c r="B149" s="71" t="s">
        <v>101</v>
      </c>
      <c r="C149" s="72"/>
      <c r="D149" s="72"/>
      <c r="E149" s="190">
        <v>2</v>
      </c>
      <c r="F149" s="205"/>
      <c r="G149" s="132">
        <f t="shared" si="27"/>
        <v>2</v>
      </c>
      <c r="H149" s="70" t="s">
        <v>1</v>
      </c>
      <c r="I149" s="74">
        <v>193849.22</v>
      </c>
      <c r="J149" s="132">
        <f t="shared" si="28"/>
        <v>387698.44</v>
      </c>
      <c r="K149" s="72" t="s">
        <v>102</v>
      </c>
      <c r="L149" s="121"/>
      <c r="M149" s="121"/>
      <c r="N149" s="5">
        <f t="shared" si="29"/>
        <v>0</v>
      </c>
      <c r="O149" s="226">
        <f t="shared" si="30"/>
        <v>0</v>
      </c>
      <c r="P149" s="5">
        <f t="shared" si="31"/>
        <v>387698.44</v>
      </c>
      <c r="Q149" s="5">
        <f t="shared" si="32"/>
        <v>0</v>
      </c>
      <c r="R149" s="121"/>
      <c r="S149" s="120"/>
    </row>
    <row r="150" spans="1:19" s="133" customFormat="1" ht="24" x14ac:dyDescent="0.2">
      <c r="A150" s="72">
        <v>17</v>
      </c>
      <c r="B150" s="71" t="s">
        <v>104</v>
      </c>
      <c r="C150" s="72"/>
      <c r="D150" s="72"/>
      <c r="E150" s="190">
        <v>1</v>
      </c>
      <c r="F150" s="205"/>
      <c r="G150" s="132">
        <f t="shared" si="27"/>
        <v>1</v>
      </c>
      <c r="H150" s="70" t="s">
        <v>1</v>
      </c>
      <c r="I150" s="70">
        <v>38000</v>
      </c>
      <c r="J150" s="132">
        <f t="shared" si="28"/>
        <v>38000</v>
      </c>
      <c r="K150" s="70" t="s">
        <v>88</v>
      </c>
      <c r="L150" s="121"/>
      <c r="M150" s="121"/>
      <c r="N150" s="5">
        <f t="shared" si="29"/>
        <v>0</v>
      </c>
      <c r="O150" s="226">
        <f t="shared" si="30"/>
        <v>0</v>
      </c>
      <c r="P150" s="5">
        <f t="shared" si="31"/>
        <v>38000</v>
      </c>
      <c r="Q150" s="5">
        <f t="shared" si="32"/>
        <v>0</v>
      </c>
      <c r="R150" s="121"/>
      <c r="S150" s="120"/>
    </row>
    <row r="151" spans="1:19" s="212" customFormat="1" ht="48" x14ac:dyDescent="0.2">
      <c r="A151" s="205">
        <v>18</v>
      </c>
      <c r="B151" s="206" t="s">
        <v>78</v>
      </c>
      <c r="C151" s="205"/>
      <c r="D151" s="205"/>
      <c r="E151" s="205">
        <v>0</v>
      </c>
      <c r="F151" s="205"/>
      <c r="G151" s="207">
        <f t="shared" si="27"/>
        <v>0</v>
      </c>
      <c r="H151" s="208" t="s">
        <v>79</v>
      </c>
      <c r="I151" s="209">
        <v>5007</v>
      </c>
      <c r="J151" s="207">
        <f t="shared" si="28"/>
        <v>0</v>
      </c>
      <c r="K151" s="210"/>
      <c r="L151" s="210"/>
      <c r="M151" s="210"/>
      <c r="N151" s="208">
        <f t="shared" si="29"/>
        <v>0</v>
      </c>
      <c r="O151" s="226">
        <f t="shared" si="30"/>
        <v>0</v>
      </c>
      <c r="P151" s="208">
        <f t="shared" si="31"/>
        <v>0</v>
      </c>
      <c r="Q151" s="208">
        <f t="shared" si="32"/>
        <v>0</v>
      </c>
      <c r="R151" s="210"/>
      <c r="S151" s="211"/>
    </row>
    <row r="152" spans="1:19" s="133" customFormat="1" ht="24" x14ac:dyDescent="0.2">
      <c r="A152" s="72">
        <v>19</v>
      </c>
      <c r="B152" s="71" t="s">
        <v>9</v>
      </c>
      <c r="C152" s="72"/>
      <c r="D152" s="72"/>
      <c r="E152" s="190">
        <v>1</v>
      </c>
      <c r="F152" s="205"/>
      <c r="G152" s="132">
        <f t="shared" si="27"/>
        <v>1</v>
      </c>
      <c r="H152" s="70" t="s">
        <v>1</v>
      </c>
      <c r="I152" s="118">
        <v>20100</v>
      </c>
      <c r="J152" s="132">
        <f t="shared" si="28"/>
        <v>20100</v>
      </c>
      <c r="K152" s="121"/>
      <c r="L152" s="121"/>
      <c r="M152" s="121"/>
      <c r="N152" s="5">
        <f t="shared" si="29"/>
        <v>0</v>
      </c>
      <c r="O152" s="226">
        <f t="shared" si="30"/>
        <v>0</v>
      </c>
      <c r="P152" s="5">
        <f t="shared" si="31"/>
        <v>20100</v>
      </c>
      <c r="Q152" s="5">
        <f t="shared" si="32"/>
        <v>0</v>
      </c>
      <c r="R152" s="121"/>
      <c r="S152" s="120"/>
    </row>
    <row r="153" spans="1:19" s="133" customFormat="1" ht="36" x14ac:dyDescent="0.2">
      <c r="A153" s="72">
        <v>20</v>
      </c>
      <c r="B153" s="71" t="s">
        <v>10</v>
      </c>
      <c r="C153" s="72"/>
      <c r="D153" s="72"/>
      <c r="E153" s="190">
        <v>1</v>
      </c>
      <c r="F153" s="205"/>
      <c r="G153" s="132">
        <f t="shared" si="27"/>
        <v>1</v>
      </c>
      <c r="H153" s="70" t="s">
        <v>11</v>
      </c>
      <c r="I153" s="118">
        <v>130000</v>
      </c>
      <c r="J153" s="132">
        <f t="shared" si="28"/>
        <v>130000</v>
      </c>
      <c r="K153" s="121"/>
      <c r="L153" s="121"/>
      <c r="M153" s="121"/>
      <c r="N153" s="5">
        <f t="shared" si="29"/>
        <v>0</v>
      </c>
      <c r="O153" s="226">
        <f t="shared" si="30"/>
        <v>0</v>
      </c>
      <c r="P153" s="5">
        <f t="shared" si="31"/>
        <v>130000</v>
      </c>
      <c r="Q153" s="5">
        <f t="shared" si="32"/>
        <v>0</v>
      </c>
      <c r="R153" s="121"/>
      <c r="S153" s="120"/>
    </row>
    <row r="154" spans="1:19" s="133" customFormat="1" ht="24" x14ac:dyDescent="0.2">
      <c r="A154" s="72">
        <v>21</v>
      </c>
      <c r="B154" s="71" t="s">
        <v>12</v>
      </c>
      <c r="C154" s="72"/>
      <c r="D154" s="72"/>
      <c r="E154" s="190">
        <v>1</v>
      </c>
      <c r="F154" s="205"/>
      <c r="G154" s="132">
        <f t="shared" si="27"/>
        <v>1</v>
      </c>
      <c r="H154" s="70" t="s">
        <v>1</v>
      </c>
      <c r="I154" s="118">
        <v>86000</v>
      </c>
      <c r="J154" s="132">
        <f t="shared" si="28"/>
        <v>86000</v>
      </c>
      <c r="K154" s="121"/>
      <c r="L154" s="121"/>
      <c r="M154" s="121"/>
      <c r="N154" s="5">
        <f t="shared" si="29"/>
        <v>0</v>
      </c>
      <c r="O154" s="226">
        <f t="shared" si="30"/>
        <v>0</v>
      </c>
      <c r="P154" s="5">
        <f t="shared" si="31"/>
        <v>86000</v>
      </c>
      <c r="Q154" s="5">
        <f t="shared" si="32"/>
        <v>0</v>
      </c>
      <c r="R154" s="121"/>
      <c r="S154" s="120"/>
    </row>
    <row r="155" spans="1:19" s="133" customFormat="1" ht="24" x14ac:dyDescent="0.2">
      <c r="A155" s="72">
        <v>23</v>
      </c>
      <c r="B155" s="71" t="s">
        <v>127</v>
      </c>
      <c r="C155" s="72"/>
      <c r="D155" s="72"/>
      <c r="E155" s="190">
        <v>2</v>
      </c>
      <c r="F155" s="205"/>
      <c r="G155" s="132">
        <f t="shared" si="27"/>
        <v>2</v>
      </c>
      <c r="H155" s="72" t="s">
        <v>2</v>
      </c>
      <c r="I155" s="72">
        <v>18900</v>
      </c>
      <c r="J155" s="132">
        <f t="shared" si="28"/>
        <v>37800</v>
      </c>
      <c r="K155" s="121"/>
      <c r="L155" s="121"/>
      <c r="M155" s="121"/>
      <c r="N155" s="5">
        <f t="shared" si="29"/>
        <v>0</v>
      </c>
      <c r="O155" s="226">
        <f t="shared" si="30"/>
        <v>0</v>
      </c>
      <c r="P155" s="5">
        <f t="shared" si="31"/>
        <v>37800</v>
      </c>
      <c r="Q155" s="5">
        <f t="shared" si="32"/>
        <v>0</v>
      </c>
      <c r="R155" s="121"/>
      <c r="S155" s="120"/>
    </row>
    <row r="156" spans="1:19" s="133" customFormat="1" ht="36" x14ac:dyDescent="0.2">
      <c r="A156" s="72">
        <v>24</v>
      </c>
      <c r="B156" s="71" t="s">
        <v>128</v>
      </c>
      <c r="C156" s="72"/>
      <c r="D156" s="72"/>
      <c r="E156" s="190">
        <v>1</v>
      </c>
      <c r="F156" s="205"/>
      <c r="G156" s="132">
        <f t="shared" si="27"/>
        <v>1</v>
      </c>
      <c r="H156" s="72" t="s">
        <v>2</v>
      </c>
      <c r="I156" s="72">
        <v>23000</v>
      </c>
      <c r="J156" s="132">
        <f t="shared" si="28"/>
        <v>23000</v>
      </c>
      <c r="K156" s="121"/>
      <c r="L156" s="121"/>
      <c r="M156" s="121"/>
      <c r="N156" s="5">
        <f t="shared" si="29"/>
        <v>0</v>
      </c>
      <c r="O156" s="226">
        <f t="shared" si="30"/>
        <v>0</v>
      </c>
      <c r="P156" s="5">
        <f t="shared" si="31"/>
        <v>23000</v>
      </c>
      <c r="Q156" s="5">
        <f t="shared" si="32"/>
        <v>0</v>
      </c>
      <c r="R156" s="121"/>
      <c r="S156" s="120"/>
    </row>
    <row r="157" spans="1:19" s="133" customFormat="1" ht="48" x14ac:dyDescent="0.2">
      <c r="A157" s="72">
        <v>25</v>
      </c>
      <c r="B157" s="71" t="s">
        <v>112</v>
      </c>
      <c r="C157" s="72"/>
      <c r="D157" s="72"/>
      <c r="E157" s="190">
        <v>1</v>
      </c>
      <c r="F157" s="205"/>
      <c r="G157" s="132">
        <f t="shared" si="27"/>
        <v>1</v>
      </c>
      <c r="H157" s="70" t="s">
        <v>1</v>
      </c>
      <c r="I157" s="118">
        <v>96116</v>
      </c>
      <c r="J157" s="132">
        <f t="shared" si="28"/>
        <v>96116</v>
      </c>
      <c r="K157" s="121"/>
      <c r="L157" s="121"/>
      <c r="M157" s="121"/>
      <c r="N157" s="5">
        <f t="shared" si="29"/>
        <v>0</v>
      </c>
      <c r="O157" s="226">
        <f t="shared" si="30"/>
        <v>0</v>
      </c>
      <c r="P157" s="5">
        <f t="shared" si="31"/>
        <v>96116</v>
      </c>
      <c r="Q157" s="5">
        <f t="shared" si="32"/>
        <v>0</v>
      </c>
      <c r="R157" s="121"/>
      <c r="S157" s="120"/>
    </row>
    <row r="158" spans="1:19" s="133" customFormat="1" ht="48" x14ac:dyDescent="0.2">
      <c r="A158" s="72">
        <v>26</v>
      </c>
      <c r="B158" s="71" t="s">
        <v>113</v>
      </c>
      <c r="C158" s="72"/>
      <c r="D158" s="72"/>
      <c r="E158" s="190">
        <v>1</v>
      </c>
      <c r="F158" s="205"/>
      <c r="G158" s="132">
        <f t="shared" si="27"/>
        <v>1</v>
      </c>
      <c r="H158" s="70" t="s">
        <v>2</v>
      </c>
      <c r="I158" s="118">
        <v>28300</v>
      </c>
      <c r="J158" s="132">
        <f t="shared" si="28"/>
        <v>28300</v>
      </c>
      <c r="K158" s="121"/>
      <c r="L158" s="121"/>
      <c r="M158" s="121"/>
      <c r="N158" s="5">
        <f t="shared" si="29"/>
        <v>0</v>
      </c>
      <c r="O158" s="226">
        <f t="shared" si="30"/>
        <v>0</v>
      </c>
      <c r="P158" s="5">
        <f t="shared" si="31"/>
        <v>28300</v>
      </c>
      <c r="Q158" s="5">
        <f t="shared" si="32"/>
        <v>0</v>
      </c>
      <c r="R158" s="121"/>
      <c r="S158" s="120"/>
    </row>
    <row r="159" spans="1:19" s="133" customFormat="1" ht="48" x14ac:dyDescent="0.2">
      <c r="A159" s="72">
        <v>27</v>
      </c>
      <c r="B159" s="71" t="s">
        <v>114</v>
      </c>
      <c r="C159" s="72"/>
      <c r="D159" s="72"/>
      <c r="E159" s="190">
        <v>1</v>
      </c>
      <c r="F159" s="205"/>
      <c r="G159" s="132">
        <f t="shared" si="27"/>
        <v>1</v>
      </c>
      <c r="H159" s="70" t="s">
        <v>5</v>
      </c>
      <c r="I159" s="118">
        <v>20000</v>
      </c>
      <c r="J159" s="132">
        <f t="shared" si="28"/>
        <v>20000</v>
      </c>
      <c r="K159" s="121"/>
      <c r="L159" s="121"/>
      <c r="M159" s="121"/>
      <c r="N159" s="5">
        <f t="shared" si="29"/>
        <v>0</v>
      </c>
      <c r="O159" s="226">
        <f t="shared" si="30"/>
        <v>0</v>
      </c>
      <c r="P159" s="5">
        <f t="shared" si="31"/>
        <v>20000</v>
      </c>
      <c r="Q159" s="5">
        <f t="shared" si="32"/>
        <v>0</v>
      </c>
      <c r="R159" s="121"/>
      <c r="S159" s="120"/>
    </row>
    <row r="160" spans="1:19" s="133" customFormat="1" ht="24" x14ac:dyDescent="0.2">
      <c r="A160" s="72">
        <v>28</v>
      </c>
      <c r="B160" s="71" t="s">
        <v>115</v>
      </c>
      <c r="C160" s="72"/>
      <c r="D160" s="72"/>
      <c r="E160" s="190">
        <v>3</v>
      </c>
      <c r="F160" s="205"/>
      <c r="G160" s="132">
        <f t="shared" si="27"/>
        <v>3</v>
      </c>
      <c r="H160" s="70" t="s">
        <v>5</v>
      </c>
      <c r="I160" s="118">
        <v>3500</v>
      </c>
      <c r="J160" s="132">
        <f t="shared" si="28"/>
        <v>10500</v>
      </c>
      <c r="K160" s="121"/>
      <c r="L160" s="121"/>
      <c r="M160" s="121"/>
      <c r="N160" s="5">
        <f t="shared" si="29"/>
        <v>0</v>
      </c>
      <c r="O160" s="226">
        <f t="shared" si="30"/>
        <v>0</v>
      </c>
      <c r="P160" s="5">
        <f t="shared" si="31"/>
        <v>10500</v>
      </c>
      <c r="Q160" s="5">
        <f t="shared" si="32"/>
        <v>0</v>
      </c>
      <c r="R160" s="121"/>
      <c r="S160" s="120"/>
    </row>
    <row r="161" spans="1:19" s="133" customFormat="1" ht="36" x14ac:dyDescent="0.2">
      <c r="A161" s="72">
        <v>29</v>
      </c>
      <c r="B161" s="71" t="s">
        <v>116</v>
      </c>
      <c r="C161" s="72"/>
      <c r="D161" s="72"/>
      <c r="E161" s="190">
        <v>6</v>
      </c>
      <c r="F161" s="205"/>
      <c r="G161" s="132">
        <f t="shared" si="27"/>
        <v>6</v>
      </c>
      <c r="H161" s="70" t="s">
        <v>5</v>
      </c>
      <c r="I161" s="118">
        <v>1800</v>
      </c>
      <c r="J161" s="132">
        <f t="shared" si="28"/>
        <v>10800</v>
      </c>
      <c r="K161" s="121"/>
      <c r="L161" s="121"/>
      <c r="M161" s="121"/>
      <c r="N161" s="5">
        <f t="shared" si="29"/>
        <v>0</v>
      </c>
      <c r="O161" s="226">
        <f t="shared" si="30"/>
        <v>0</v>
      </c>
      <c r="P161" s="5">
        <f t="shared" si="31"/>
        <v>10800</v>
      </c>
      <c r="Q161" s="5">
        <f t="shared" si="32"/>
        <v>0</v>
      </c>
      <c r="R161" s="121"/>
      <c r="S161" s="120"/>
    </row>
    <row r="162" spans="1:19" s="133" customFormat="1" ht="24" x14ac:dyDescent="0.2">
      <c r="A162" s="72">
        <v>30</v>
      </c>
      <c r="B162" s="71" t="s">
        <v>117</v>
      </c>
      <c r="C162" s="72"/>
      <c r="D162" s="72"/>
      <c r="E162" s="190">
        <v>4</v>
      </c>
      <c r="F162" s="205"/>
      <c r="G162" s="132">
        <f t="shared" si="27"/>
        <v>4</v>
      </c>
      <c r="H162" s="72" t="s">
        <v>2</v>
      </c>
      <c r="I162" s="72">
        <v>2396</v>
      </c>
      <c r="J162" s="132">
        <f t="shared" si="28"/>
        <v>9584</v>
      </c>
      <c r="K162" s="121"/>
      <c r="L162" s="121"/>
      <c r="M162" s="121"/>
      <c r="N162" s="5">
        <f t="shared" si="29"/>
        <v>0</v>
      </c>
      <c r="O162" s="226">
        <f t="shared" si="30"/>
        <v>0</v>
      </c>
      <c r="P162" s="5">
        <f t="shared" si="31"/>
        <v>9584</v>
      </c>
      <c r="Q162" s="5">
        <f t="shared" si="32"/>
        <v>0</v>
      </c>
      <c r="R162" s="121"/>
      <c r="S162" s="120"/>
    </row>
    <row r="163" spans="1:19" ht="24" x14ac:dyDescent="0.2">
      <c r="A163" s="72">
        <v>31</v>
      </c>
      <c r="B163" s="71" t="s">
        <v>118</v>
      </c>
      <c r="C163" s="13"/>
      <c r="D163" s="13"/>
      <c r="E163" s="190">
        <v>4</v>
      </c>
      <c r="F163" s="205">
        <v>2</v>
      </c>
      <c r="G163" s="130">
        <f t="shared" si="27"/>
        <v>6</v>
      </c>
      <c r="H163" s="72" t="s">
        <v>2</v>
      </c>
      <c r="I163" s="72">
        <v>2500</v>
      </c>
      <c r="J163" s="132">
        <f t="shared" si="28"/>
        <v>15000</v>
      </c>
      <c r="K163" s="136"/>
      <c r="L163" s="136"/>
      <c r="M163" s="136"/>
      <c r="N163" s="5">
        <f t="shared" si="29"/>
        <v>0</v>
      </c>
      <c r="O163" s="226">
        <f t="shared" si="30"/>
        <v>0</v>
      </c>
      <c r="P163" s="5">
        <f t="shared" si="31"/>
        <v>10000</v>
      </c>
      <c r="Q163" s="5">
        <f t="shared" si="32"/>
        <v>5000</v>
      </c>
      <c r="R163" s="136"/>
      <c r="S163" s="141"/>
    </row>
    <row r="164" spans="1:19" s="133" customFormat="1" ht="72" x14ac:dyDescent="0.2">
      <c r="A164" s="72">
        <v>32</v>
      </c>
      <c r="B164" s="71" t="s">
        <v>126</v>
      </c>
      <c r="C164" s="72"/>
      <c r="D164" s="72"/>
      <c r="E164" s="190">
        <v>6</v>
      </c>
      <c r="F164" s="205"/>
      <c r="G164" s="132">
        <f t="shared" si="27"/>
        <v>6</v>
      </c>
      <c r="H164" s="70" t="s">
        <v>5</v>
      </c>
      <c r="I164" s="72">
        <v>31707</v>
      </c>
      <c r="J164" s="132">
        <f t="shared" si="28"/>
        <v>190242</v>
      </c>
      <c r="K164" s="121"/>
      <c r="L164" s="121"/>
      <c r="M164" s="121"/>
      <c r="N164" s="5">
        <f t="shared" si="29"/>
        <v>0</v>
      </c>
      <c r="O164" s="226">
        <f t="shared" si="30"/>
        <v>0</v>
      </c>
      <c r="P164" s="5">
        <f t="shared" si="31"/>
        <v>190242</v>
      </c>
      <c r="Q164" s="5">
        <f t="shared" si="32"/>
        <v>0</v>
      </c>
      <c r="R164" s="121"/>
      <c r="S164" s="120"/>
    </row>
    <row r="165" spans="1:19" s="133" customFormat="1" ht="48" x14ac:dyDescent="0.2">
      <c r="A165" s="72">
        <v>33</v>
      </c>
      <c r="B165" s="71" t="s">
        <v>120</v>
      </c>
      <c r="C165" s="72"/>
      <c r="D165" s="72"/>
      <c r="E165" s="190">
        <v>4</v>
      </c>
      <c r="F165" s="205"/>
      <c r="G165" s="132">
        <f t="shared" si="27"/>
        <v>4</v>
      </c>
      <c r="H165" s="72" t="s">
        <v>119</v>
      </c>
      <c r="I165" s="72">
        <v>8914</v>
      </c>
      <c r="J165" s="132">
        <f t="shared" si="28"/>
        <v>35656</v>
      </c>
      <c r="K165" s="121"/>
      <c r="L165" s="121"/>
      <c r="M165" s="121"/>
      <c r="N165" s="5">
        <f t="shared" si="29"/>
        <v>0</v>
      </c>
      <c r="O165" s="226">
        <f t="shared" si="30"/>
        <v>0</v>
      </c>
      <c r="P165" s="5">
        <f t="shared" si="31"/>
        <v>35656</v>
      </c>
      <c r="Q165" s="5">
        <f t="shared" si="32"/>
        <v>0</v>
      </c>
      <c r="R165" s="121"/>
      <c r="S165" s="120"/>
    </row>
    <row r="166" spans="1:19" s="133" customFormat="1" ht="48" x14ac:dyDescent="0.2">
      <c r="A166" s="72">
        <v>34</v>
      </c>
      <c r="B166" s="71" t="s">
        <v>121</v>
      </c>
      <c r="C166" s="72"/>
      <c r="D166" s="72"/>
      <c r="E166" s="190">
        <v>4</v>
      </c>
      <c r="F166" s="205"/>
      <c r="G166" s="132">
        <f t="shared" si="27"/>
        <v>4</v>
      </c>
      <c r="H166" s="72" t="s">
        <v>119</v>
      </c>
      <c r="I166" s="72">
        <v>7680</v>
      </c>
      <c r="J166" s="132">
        <f t="shared" si="28"/>
        <v>30720</v>
      </c>
      <c r="K166" s="121"/>
      <c r="L166" s="121"/>
      <c r="M166" s="121"/>
      <c r="N166" s="5">
        <f t="shared" si="29"/>
        <v>0</v>
      </c>
      <c r="O166" s="226">
        <f t="shared" si="30"/>
        <v>0</v>
      </c>
      <c r="P166" s="5">
        <f t="shared" si="31"/>
        <v>30720</v>
      </c>
      <c r="Q166" s="5">
        <f t="shared" si="32"/>
        <v>0</v>
      </c>
      <c r="R166" s="121"/>
      <c r="S166" s="120"/>
    </row>
    <row r="167" spans="1:19" s="133" customFormat="1" ht="36" x14ac:dyDescent="0.2">
      <c r="A167" s="72">
        <v>36</v>
      </c>
      <c r="B167" s="71" t="s">
        <v>123</v>
      </c>
      <c r="C167" s="72"/>
      <c r="D167" s="72"/>
      <c r="E167" s="190">
        <v>200</v>
      </c>
      <c r="F167" s="205"/>
      <c r="G167" s="132">
        <f t="shared" si="27"/>
        <v>200</v>
      </c>
      <c r="H167" s="72" t="s">
        <v>1</v>
      </c>
      <c r="I167" s="72">
        <v>30</v>
      </c>
      <c r="J167" s="132">
        <f t="shared" si="28"/>
        <v>6000</v>
      </c>
      <c r="K167" s="121"/>
      <c r="L167" s="121"/>
      <c r="M167" s="121"/>
      <c r="N167" s="5">
        <f t="shared" si="29"/>
        <v>0</v>
      </c>
      <c r="O167" s="226">
        <f t="shared" si="30"/>
        <v>0</v>
      </c>
      <c r="P167" s="5">
        <f t="shared" si="31"/>
        <v>6000</v>
      </c>
      <c r="Q167" s="5">
        <f t="shared" si="32"/>
        <v>0</v>
      </c>
      <c r="R167" s="121"/>
      <c r="S167" s="120"/>
    </row>
    <row r="168" spans="1:19" s="133" customFormat="1" ht="60" x14ac:dyDescent="0.2">
      <c r="A168" s="72">
        <v>37</v>
      </c>
      <c r="B168" s="111" t="s">
        <v>180</v>
      </c>
      <c r="C168" s="72"/>
      <c r="D168" s="72"/>
      <c r="E168" s="190"/>
      <c r="F168" s="205">
        <v>1</v>
      </c>
      <c r="G168" s="132">
        <f t="shared" si="27"/>
        <v>1</v>
      </c>
      <c r="H168" s="113" t="s">
        <v>178</v>
      </c>
      <c r="I168" s="70">
        <v>7000</v>
      </c>
      <c r="J168" s="132">
        <f t="shared" si="28"/>
        <v>7000</v>
      </c>
      <c r="K168" s="121"/>
      <c r="L168" s="121"/>
      <c r="M168" s="121"/>
      <c r="N168" s="5">
        <f t="shared" si="29"/>
        <v>0</v>
      </c>
      <c r="O168" s="226">
        <f t="shared" si="30"/>
        <v>0</v>
      </c>
      <c r="P168" s="5">
        <f t="shared" si="31"/>
        <v>0</v>
      </c>
      <c r="Q168" s="5">
        <f t="shared" si="32"/>
        <v>7000</v>
      </c>
      <c r="R168" s="121"/>
      <c r="S168" s="120"/>
    </row>
    <row r="169" spans="1:19" s="147" customFormat="1" ht="36" x14ac:dyDescent="0.25">
      <c r="A169" s="5">
        <f t="shared" ref="A169" si="33">A168+1</f>
        <v>38</v>
      </c>
      <c r="B169" s="149" t="s">
        <v>403</v>
      </c>
      <c r="C169" s="13">
        <v>0</v>
      </c>
      <c r="D169" s="13">
        <v>0</v>
      </c>
      <c r="E169" s="190"/>
      <c r="F169" s="205">
        <v>1</v>
      </c>
      <c r="G169" s="130">
        <f t="shared" si="27"/>
        <v>1</v>
      </c>
      <c r="H169" s="13" t="s">
        <v>5</v>
      </c>
      <c r="I169" s="150">
        <v>38000</v>
      </c>
      <c r="J169" s="130">
        <f t="shared" si="28"/>
        <v>38000</v>
      </c>
      <c r="K169" s="136"/>
      <c r="L169" s="136"/>
      <c r="M169" s="136"/>
      <c r="N169" s="5">
        <f t="shared" si="29"/>
        <v>0</v>
      </c>
      <c r="O169" s="226">
        <f t="shared" si="30"/>
        <v>0</v>
      </c>
      <c r="P169" s="5">
        <f t="shared" si="31"/>
        <v>0</v>
      </c>
      <c r="Q169" s="5">
        <f t="shared" si="32"/>
        <v>38000</v>
      </c>
      <c r="R169" s="136"/>
    </row>
    <row r="170" spans="1:19" s="273" customFormat="1" ht="36" x14ac:dyDescent="0.2">
      <c r="A170" s="265">
        <v>38</v>
      </c>
      <c r="B170" s="274" t="s">
        <v>183</v>
      </c>
      <c r="C170" s="265"/>
      <c r="D170" s="265"/>
      <c r="F170" s="265">
        <v>1</v>
      </c>
      <c r="G170" s="267">
        <f t="shared" si="27"/>
        <v>1</v>
      </c>
      <c r="H170" s="265" t="s">
        <v>5</v>
      </c>
      <c r="I170" s="275">
        <v>17200</v>
      </c>
      <c r="J170" s="267">
        <f t="shared" si="28"/>
        <v>17200</v>
      </c>
      <c r="K170" s="271"/>
      <c r="L170" s="271"/>
      <c r="M170" s="271"/>
      <c r="N170" s="268">
        <f t="shared" si="29"/>
        <v>0</v>
      </c>
      <c r="O170" s="269">
        <f t="shared" si="30"/>
        <v>0</v>
      </c>
      <c r="P170" s="268">
        <f t="shared" si="31"/>
        <v>0</v>
      </c>
      <c r="Q170" s="268">
        <f t="shared" si="32"/>
        <v>17200</v>
      </c>
      <c r="R170" s="271"/>
      <c r="S170" s="272"/>
    </row>
    <row r="171" spans="1:19" s="273" customFormat="1" ht="36" x14ac:dyDescent="0.2">
      <c r="A171" s="265">
        <v>39</v>
      </c>
      <c r="B171" s="274" t="s">
        <v>185</v>
      </c>
      <c r="C171" s="265"/>
      <c r="D171" s="265"/>
      <c r="E171" s="268"/>
      <c r="F171" s="265">
        <v>0</v>
      </c>
      <c r="G171" s="267">
        <f t="shared" si="27"/>
        <v>0</v>
      </c>
      <c r="H171" s="265" t="s">
        <v>178</v>
      </c>
      <c r="I171" s="275">
        <v>21000</v>
      </c>
      <c r="J171" s="267">
        <f t="shared" si="28"/>
        <v>0</v>
      </c>
      <c r="K171" s="271"/>
      <c r="L171" s="271"/>
      <c r="M171" s="271"/>
      <c r="N171" s="268">
        <f t="shared" si="29"/>
        <v>0</v>
      </c>
      <c r="O171" s="269">
        <f t="shared" si="30"/>
        <v>0</v>
      </c>
      <c r="P171" s="268">
        <f t="shared" si="31"/>
        <v>0</v>
      </c>
      <c r="Q171" s="268">
        <f t="shared" si="32"/>
        <v>0</v>
      </c>
      <c r="R171" s="271"/>
      <c r="S171" s="272"/>
    </row>
    <row r="172" spans="1:19" s="196" customFormat="1" ht="24" x14ac:dyDescent="0.2">
      <c r="A172" s="190">
        <v>40</v>
      </c>
      <c r="B172" s="258" t="s">
        <v>189</v>
      </c>
      <c r="C172" s="190"/>
      <c r="D172" s="190"/>
      <c r="E172" s="190"/>
      <c r="F172" s="190">
        <v>0</v>
      </c>
      <c r="G172" s="193">
        <f t="shared" si="27"/>
        <v>0</v>
      </c>
      <c r="H172" s="190" t="s">
        <v>5</v>
      </c>
      <c r="I172" s="259">
        <v>20250</v>
      </c>
      <c r="J172" s="193">
        <f t="shared" si="28"/>
        <v>0</v>
      </c>
      <c r="K172" s="194"/>
      <c r="L172" s="194"/>
      <c r="M172" s="194"/>
      <c r="N172" s="192">
        <f t="shared" si="29"/>
        <v>0</v>
      </c>
      <c r="O172" s="251">
        <f t="shared" si="30"/>
        <v>0</v>
      </c>
      <c r="P172" s="192">
        <f t="shared" si="31"/>
        <v>0</v>
      </c>
      <c r="Q172" s="192">
        <f t="shared" si="32"/>
        <v>0</v>
      </c>
      <c r="R172" s="194"/>
      <c r="S172" s="195"/>
    </row>
    <row r="173" spans="1:19" ht="63.75" x14ac:dyDescent="0.2">
      <c r="A173" s="72">
        <v>42</v>
      </c>
      <c r="B173" s="123" t="s">
        <v>206</v>
      </c>
      <c r="C173" s="13"/>
      <c r="D173" s="13"/>
      <c r="E173" s="190"/>
      <c r="F173" s="205">
        <v>30</v>
      </c>
      <c r="G173" s="132">
        <f t="shared" si="27"/>
        <v>30</v>
      </c>
      <c r="H173" s="112" t="s">
        <v>45</v>
      </c>
      <c r="I173" s="112">
        <v>250</v>
      </c>
      <c r="J173" s="132">
        <f t="shared" si="28"/>
        <v>7500</v>
      </c>
      <c r="K173" s="136"/>
      <c r="L173" s="136"/>
      <c r="M173" s="136"/>
      <c r="N173" s="5">
        <f t="shared" si="29"/>
        <v>0</v>
      </c>
      <c r="O173" s="226">
        <f t="shared" si="30"/>
        <v>0</v>
      </c>
      <c r="P173" s="5">
        <f t="shared" si="31"/>
        <v>0</v>
      </c>
      <c r="Q173" s="5">
        <f t="shared" si="32"/>
        <v>7500</v>
      </c>
      <c r="R173" s="136"/>
      <c r="S173" s="141"/>
    </row>
    <row r="174" spans="1:19" ht="38.25" x14ac:dyDescent="0.2">
      <c r="A174" s="72">
        <v>43</v>
      </c>
      <c r="B174" s="115" t="s">
        <v>208</v>
      </c>
      <c r="C174" s="13"/>
      <c r="D174" s="13"/>
      <c r="E174" s="190"/>
      <c r="F174" s="205">
        <v>100</v>
      </c>
      <c r="G174" s="132">
        <f t="shared" si="27"/>
        <v>100</v>
      </c>
      <c r="H174" s="72" t="s">
        <v>4</v>
      </c>
      <c r="I174" s="119">
        <v>100</v>
      </c>
      <c r="J174" s="132">
        <f t="shared" si="28"/>
        <v>10000</v>
      </c>
      <c r="K174" s="92" t="s">
        <v>209</v>
      </c>
      <c r="L174" s="136"/>
      <c r="M174" s="136"/>
      <c r="N174" s="5">
        <f t="shared" si="29"/>
        <v>0</v>
      </c>
      <c r="O174" s="226">
        <f t="shared" si="30"/>
        <v>0</v>
      </c>
      <c r="P174" s="5">
        <f t="shared" si="31"/>
        <v>0</v>
      </c>
      <c r="Q174" s="5">
        <f t="shared" si="32"/>
        <v>10000</v>
      </c>
      <c r="R174" s="136"/>
      <c r="S174" s="141"/>
    </row>
    <row r="175" spans="1:19" ht="48" x14ac:dyDescent="0.2">
      <c r="A175" s="72">
        <v>44</v>
      </c>
      <c r="B175" s="115" t="s">
        <v>236</v>
      </c>
      <c r="C175" s="13"/>
      <c r="D175" s="13"/>
      <c r="E175" s="190"/>
      <c r="F175" s="205">
        <v>1</v>
      </c>
      <c r="G175" s="132">
        <f t="shared" si="27"/>
        <v>1</v>
      </c>
      <c r="H175" s="72" t="s">
        <v>211</v>
      </c>
      <c r="I175" s="119">
        <v>29500</v>
      </c>
      <c r="J175" s="132">
        <f t="shared" si="28"/>
        <v>29500</v>
      </c>
      <c r="K175" s="136"/>
      <c r="L175" s="136"/>
      <c r="M175" s="136"/>
      <c r="N175" s="5">
        <f t="shared" si="29"/>
        <v>0</v>
      </c>
      <c r="O175" s="226">
        <f t="shared" si="30"/>
        <v>0</v>
      </c>
      <c r="P175" s="5">
        <f t="shared" si="31"/>
        <v>0</v>
      </c>
      <c r="Q175" s="5">
        <f t="shared" si="32"/>
        <v>29500</v>
      </c>
      <c r="R175" s="136"/>
      <c r="S175" s="141"/>
    </row>
    <row r="176" spans="1:19" ht="36" x14ac:dyDescent="0.2">
      <c r="A176" s="72">
        <v>45</v>
      </c>
      <c r="B176" s="115" t="s">
        <v>213</v>
      </c>
      <c r="C176" s="13"/>
      <c r="D176" s="13"/>
      <c r="E176" s="190"/>
      <c r="F176" s="205">
        <v>1</v>
      </c>
      <c r="G176" s="132">
        <f t="shared" si="27"/>
        <v>1</v>
      </c>
      <c r="H176" s="72" t="s">
        <v>2</v>
      </c>
      <c r="I176" s="119">
        <v>43223</v>
      </c>
      <c r="J176" s="132">
        <f t="shared" si="28"/>
        <v>43223</v>
      </c>
      <c r="K176" s="136"/>
      <c r="L176" s="136"/>
      <c r="M176" s="136"/>
      <c r="N176" s="5">
        <f t="shared" si="29"/>
        <v>0</v>
      </c>
      <c r="O176" s="226">
        <f t="shared" si="30"/>
        <v>0</v>
      </c>
      <c r="P176" s="5">
        <f t="shared" si="31"/>
        <v>0</v>
      </c>
      <c r="Q176" s="5">
        <f t="shared" si="32"/>
        <v>43223</v>
      </c>
      <c r="R176" s="136"/>
      <c r="S176" s="141"/>
    </row>
    <row r="177" spans="1:19" x14ac:dyDescent="0.2">
      <c r="A177" s="72">
        <v>46</v>
      </c>
      <c r="B177" s="115" t="s">
        <v>215</v>
      </c>
      <c r="C177" s="13"/>
      <c r="D177" s="13"/>
      <c r="E177" s="190"/>
      <c r="F177" s="205">
        <v>1</v>
      </c>
      <c r="G177" s="132">
        <f t="shared" si="27"/>
        <v>1</v>
      </c>
      <c r="H177" s="72" t="s">
        <v>2</v>
      </c>
      <c r="I177" s="119">
        <v>9853</v>
      </c>
      <c r="J177" s="132">
        <f t="shared" si="28"/>
        <v>9853</v>
      </c>
      <c r="K177" s="136"/>
      <c r="L177" s="136"/>
      <c r="M177" s="136"/>
      <c r="N177" s="5">
        <f t="shared" si="29"/>
        <v>0</v>
      </c>
      <c r="O177" s="226">
        <f t="shared" si="30"/>
        <v>0</v>
      </c>
      <c r="P177" s="5">
        <f t="shared" si="31"/>
        <v>0</v>
      </c>
      <c r="Q177" s="5">
        <f t="shared" si="32"/>
        <v>9853</v>
      </c>
      <c r="R177" s="136"/>
      <c r="S177" s="141"/>
    </row>
    <row r="178" spans="1:19" x14ac:dyDescent="0.2">
      <c r="A178" s="72"/>
      <c r="B178" s="173"/>
      <c r="C178" s="13"/>
      <c r="D178" s="13"/>
      <c r="E178" s="190"/>
      <c r="F178" s="205"/>
      <c r="G178" s="132">
        <f t="shared" si="27"/>
        <v>0</v>
      </c>
      <c r="I178" s="13"/>
      <c r="J178" s="132">
        <f t="shared" si="28"/>
        <v>0</v>
      </c>
      <c r="K178" s="136"/>
      <c r="L178" s="136"/>
      <c r="M178" s="136"/>
      <c r="N178" s="5">
        <f t="shared" si="29"/>
        <v>0</v>
      </c>
      <c r="O178" s="226">
        <f t="shared" si="30"/>
        <v>0</v>
      </c>
      <c r="P178" s="5">
        <f t="shared" si="31"/>
        <v>0</v>
      </c>
      <c r="Q178" s="5">
        <f t="shared" si="32"/>
        <v>0</v>
      </c>
      <c r="R178" s="136"/>
      <c r="S178" s="141"/>
    </row>
    <row r="179" spans="1:19" x14ac:dyDescent="0.2">
      <c r="A179" s="13"/>
      <c r="B179" s="129"/>
      <c r="C179" s="13"/>
      <c r="D179" s="13"/>
      <c r="E179" s="190"/>
      <c r="F179" s="205"/>
      <c r="G179" s="130"/>
      <c r="I179" s="13"/>
      <c r="J179" s="132">
        <f t="shared" si="28"/>
        <v>0</v>
      </c>
      <c r="K179" s="136"/>
      <c r="L179" s="136"/>
      <c r="M179" s="136"/>
      <c r="N179" s="5">
        <f t="shared" si="29"/>
        <v>0</v>
      </c>
      <c r="O179" s="226">
        <f t="shared" si="30"/>
        <v>0</v>
      </c>
      <c r="P179" s="5">
        <f t="shared" si="31"/>
        <v>0</v>
      </c>
      <c r="Q179" s="5">
        <f t="shared" si="32"/>
        <v>0</v>
      </c>
      <c r="R179" s="136"/>
    </row>
    <row r="180" spans="1:19" s="137" customFormat="1" x14ac:dyDescent="0.25">
      <c r="A180" s="13"/>
      <c r="B180" s="433"/>
      <c r="C180" s="433"/>
      <c r="D180" s="433"/>
      <c r="E180" s="433"/>
      <c r="F180" s="433"/>
      <c r="G180" s="433"/>
      <c r="H180" s="13"/>
      <c r="I180" s="13"/>
      <c r="J180" s="132"/>
      <c r="K180" s="136"/>
      <c r="L180" s="136"/>
      <c r="M180" s="136"/>
      <c r="N180" s="5">
        <f t="shared" si="29"/>
        <v>0</v>
      </c>
      <c r="O180" s="226">
        <f t="shared" si="30"/>
        <v>0</v>
      </c>
      <c r="P180" s="5">
        <f t="shared" si="31"/>
        <v>0</v>
      </c>
      <c r="Q180" s="5">
        <f t="shared" si="32"/>
        <v>0</v>
      </c>
      <c r="R180" s="136"/>
    </row>
    <row r="181" spans="1:19" s="128" customFormat="1" ht="12.75" thickBot="1" x14ac:dyDescent="0.3">
      <c r="A181" s="12"/>
      <c r="B181" s="142" t="s">
        <v>251</v>
      </c>
      <c r="E181" s="203"/>
      <c r="F181" s="219"/>
      <c r="G181" s="161"/>
      <c r="J181" s="167">
        <f>SUM(J136:J180)</f>
        <v>3267769.28</v>
      </c>
      <c r="N181" s="167">
        <f>SUM(N136:N180)</f>
        <v>0</v>
      </c>
      <c r="O181" s="229">
        <f>SUM(O136:O180)</f>
        <v>0</v>
      </c>
      <c r="P181" s="167">
        <f>SUM(P136:P180)</f>
        <v>3003263.64</v>
      </c>
      <c r="Q181" s="167">
        <f>SUM(Q136:Q180)</f>
        <v>264505.64</v>
      </c>
      <c r="R181" s="233">
        <f>SUM(N181:Q181)</f>
        <v>3267769.2800000003</v>
      </c>
      <c r="S181" s="128">
        <f>J181-R181</f>
        <v>0</v>
      </c>
    </row>
    <row r="182" spans="1:19" x14ac:dyDescent="0.2">
      <c r="N182" s="5"/>
      <c r="O182" s="226"/>
      <c r="P182" s="5"/>
      <c r="Q182" s="5"/>
      <c r="R182" s="220"/>
    </row>
    <row r="183" spans="1:19" x14ac:dyDescent="0.2">
      <c r="B183" s="79" t="s">
        <v>373</v>
      </c>
      <c r="J183" s="162">
        <f>J181+J133+J66+J9</f>
        <v>16631362.005999999</v>
      </c>
      <c r="M183" s="189">
        <f>N183+O183</f>
        <v>11234062.025999999</v>
      </c>
      <c r="N183" s="162">
        <f>N181+N133+N66+N9</f>
        <v>6204535.7359999996</v>
      </c>
      <c r="O183" s="228">
        <f>O181+O133+O66+O9</f>
        <v>5029526.2899999991</v>
      </c>
      <c r="P183" s="228">
        <f>P181+P133+P66+P9</f>
        <v>4867906.9400000004</v>
      </c>
      <c r="Q183" s="162">
        <f>Q181+Q133+Q66+Q9</f>
        <v>529393.04</v>
      </c>
      <c r="R183" s="233">
        <f>SUM(N183:Q183)</f>
        <v>16631362.005999997</v>
      </c>
      <c r="S183" s="128">
        <f>J183-R183</f>
        <v>0</v>
      </c>
    </row>
    <row r="184" spans="1:19" x14ac:dyDescent="0.2">
      <c r="N184" s="5"/>
      <c r="O184" s="226"/>
      <c r="P184" s="5"/>
      <c r="Q184" s="5"/>
      <c r="R184" s="220"/>
    </row>
    <row r="185" spans="1:19" x14ac:dyDescent="0.2">
      <c r="M185" s="8" t="s">
        <v>374</v>
      </c>
      <c r="N185" s="5">
        <v>6242885.7000000002</v>
      </c>
      <c r="O185" s="226">
        <v>5055040</v>
      </c>
      <c r="P185" s="5">
        <v>4933241</v>
      </c>
      <c r="Q185" s="5">
        <v>539758</v>
      </c>
      <c r="R185" s="233">
        <f>SUM(N185:Q185)</f>
        <v>16770924.699999999</v>
      </c>
    </row>
    <row r="186" spans="1:19" x14ac:dyDescent="0.2">
      <c r="N186" s="5"/>
      <c r="O186" s="226"/>
      <c r="P186" s="5"/>
      <c r="Q186" s="5"/>
      <c r="R186" s="220"/>
    </row>
    <row r="187" spans="1:19" x14ac:dyDescent="0.2">
      <c r="N187" s="5"/>
      <c r="O187" s="226"/>
      <c r="P187" s="5"/>
      <c r="Q187" s="5"/>
      <c r="R187" s="220"/>
    </row>
    <row r="188" spans="1:19" x14ac:dyDescent="0.2">
      <c r="N188" s="5"/>
      <c r="O188" s="226"/>
      <c r="P188" s="5"/>
      <c r="Q188" s="5"/>
      <c r="R188" s="220"/>
    </row>
    <row r="189" spans="1:19" ht="12.75" x14ac:dyDescent="0.2">
      <c r="I189" s="1"/>
      <c r="J189" s="1"/>
      <c r="N189" s="11">
        <f>N185-N183</f>
        <v>38349.964000000618</v>
      </c>
      <c r="O189" s="226">
        <f t="shared" ref="O189" si="34">O185-O183</f>
        <v>25513.710000000894</v>
      </c>
      <c r="P189" s="251">
        <f>P185-P183</f>
        <v>65334.05999999959</v>
      </c>
      <c r="Q189" s="11">
        <f>Q185-Q183</f>
        <v>10364.959999999963</v>
      </c>
      <c r="R189" s="233">
        <f>SUM(N189:Q189)</f>
        <v>139562.69400000107</v>
      </c>
    </row>
    <row r="190" spans="1:19" x14ac:dyDescent="0.2">
      <c r="N190" s="72" t="s">
        <v>237</v>
      </c>
      <c r="O190" s="224" t="s">
        <v>238</v>
      </c>
      <c r="P190" s="72" t="s">
        <v>157</v>
      </c>
      <c r="Q190" s="72" t="s">
        <v>158</v>
      </c>
      <c r="R190" s="220"/>
    </row>
    <row r="191" spans="1:19" x14ac:dyDescent="0.2">
      <c r="O191" s="230">
        <f>O189-O207</f>
        <v>-0.26999999910913175</v>
      </c>
      <c r="Q191" s="189">
        <f>Q189-Q219</f>
        <v>-0.64000000003579771</v>
      </c>
    </row>
    <row r="193" spans="1:18" ht="12.75" x14ac:dyDescent="0.2">
      <c r="I193" s="1" t="s">
        <v>362</v>
      </c>
      <c r="J193" s="84">
        <f>J9</f>
        <v>185832.6</v>
      </c>
    </row>
    <row r="194" spans="1:18" ht="12.75" x14ac:dyDescent="0.2">
      <c r="I194" s="1" t="s">
        <v>363</v>
      </c>
      <c r="J194" s="1">
        <f>J66</f>
        <v>9620244.3760000002</v>
      </c>
    </row>
    <row r="195" spans="1:18" ht="12.75" x14ac:dyDescent="0.2">
      <c r="I195" s="1" t="s">
        <v>364</v>
      </c>
      <c r="J195" s="84">
        <f>J133</f>
        <v>3557515.75</v>
      </c>
    </row>
    <row r="196" spans="1:18" ht="12.75" x14ac:dyDescent="0.2">
      <c r="I196" s="1" t="s">
        <v>365</v>
      </c>
      <c r="J196" s="84">
        <f>J181</f>
        <v>3267769.28</v>
      </c>
    </row>
    <row r="197" spans="1:18" ht="12.75" x14ac:dyDescent="0.2">
      <c r="I197" s="1" t="s">
        <v>366</v>
      </c>
      <c r="J197" s="84">
        <f>J66</f>
        <v>9620244.3760000002</v>
      </c>
    </row>
    <row r="198" spans="1:18" ht="12.75" x14ac:dyDescent="0.2">
      <c r="I198" s="1" t="s">
        <v>239</v>
      </c>
      <c r="J198" s="84">
        <f>SUM(J193:J197)</f>
        <v>26251606.381999999</v>
      </c>
    </row>
    <row r="201" spans="1:18" x14ac:dyDescent="0.2">
      <c r="B201" s="144" t="s">
        <v>238</v>
      </c>
    </row>
    <row r="202" spans="1:18" s="188" customFormat="1" ht="48" x14ac:dyDescent="0.2">
      <c r="A202" s="182">
        <f t="shared" ref="A202:A203" si="35">A201+1</f>
        <v>1</v>
      </c>
      <c r="B202" s="183" t="s">
        <v>341</v>
      </c>
      <c r="C202" s="184">
        <v>0</v>
      </c>
      <c r="D202" s="184">
        <v>30</v>
      </c>
      <c r="E202" s="190">
        <v>0</v>
      </c>
      <c r="F202" s="205">
        <v>0</v>
      </c>
      <c r="G202" s="185">
        <f t="shared" ref="G202:G203" si="36">C202+D202+E202+F202</f>
        <v>30</v>
      </c>
      <c r="H202" s="184" t="s">
        <v>45</v>
      </c>
      <c r="I202" s="186">
        <f>(410-380)</f>
        <v>30</v>
      </c>
      <c r="J202" s="185">
        <f t="shared" ref="J202:J203" si="37">G202*I202</f>
        <v>900</v>
      </c>
      <c r="K202" s="187"/>
      <c r="L202" s="187"/>
      <c r="M202" s="187"/>
      <c r="N202" s="5">
        <f t="shared" ref="N202" si="38">C202*I202</f>
        <v>0</v>
      </c>
      <c r="O202" s="226">
        <f t="shared" ref="O202" si="39">D202*I202</f>
        <v>900</v>
      </c>
      <c r="P202" s="5">
        <f t="shared" ref="P202" si="40">E202*I202</f>
        <v>0</v>
      </c>
      <c r="Q202" s="5">
        <f t="shared" ref="Q202" si="41">F202*I202</f>
        <v>0</v>
      </c>
      <c r="R202" s="187"/>
    </row>
    <row r="203" spans="1:18" s="144" customFormat="1" ht="120" x14ac:dyDescent="0.25">
      <c r="A203" s="5">
        <f t="shared" si="35"/>
        <v>2</v>
      </c>
      <c r="B203" s="6" t="s">
        <v>255</v>
      </c>
      <c r="C203" s="13">
        <v>0</v>
      </c>
      <c r="D203" s="13">
        <v>4</v>
      </c>
      <c r="E203" s="190"/>
      <c r="F203" s="205"/>
      <c r="G203" s="130">
        <f t="shared" si="36"/>
        <v>4</v>
      </c>
      <c r="H203" s="97" t="s">
        <v>5</v>
      </c>
      <c r="I203" s="106">
        <f>(89856-87840)</f>
        <v>2016</v>
      </c>
      <c r="J203" s="130">
        <f t="shared" si="37"/>
        <v>8064</v>
      </c>
      <c r="K203" s="136"/>
      <c r="L203" s="136"/>
      <c r="M203" s="136"/>
      <c r="N203" s="5">
        <f t="shared" ref="N203" si="42">C203*I203</f>
        <v>0</v>
      </c>
      <c r="O203" s="226">
        <f t="shared" ref="O203" si="43">D203*I203</f>
        <v>8064</v>
      </c>
      <c r="P203" s="5">
        <f t="shared" ref="P203" si="44">E203*I203</f>
        <v>0</v>
      </c>
      <c r="Q203" s="5">
        <f t="shared" ref="Q203" si="45">F203*I203</f>
        <v>0</v>
      </c>
      <c r="R203" s="136"/>
    </row>
    <row r="204" spans="1:18" s="144" customFormat="1" ht="72" x14ac:dyDescent="0.25">
      <c r="A204" s="5">
        <f>A209+1</f>
        <v>1</v>
      </c>
      <c r="B204" s="129" t="s">
        <v>259</v>
      </c>
      <c r="C204" s="13">
        <v>0</v>
      </c>
      <c r="D204" s="13">
        <v>1</v>
      </c>
      <c r="E204" s="190"/>
      <c r="F204" s="205"/>
      <c r="G204" s="130">
        <f t="shared" ref="G204:G206" si="46">C204+D204+E204+F204</f>
        <v>1</v>
      </c>
      <c r="H204" s="5" t="s">
        <v>5</v>
      </c>
      <c r="I204" s="106">
        <f>(47258.9-47251.92)</f>
        <v>6.9800000000032014</v>
      </c>
      <c r="J204" s="130">
        <f t="shared" ref="J204:J206" si="47">G204*I204</f>
        <v>6.9800000000032014</v>
      </c>
      <c r="K204" s="136"/>
      <c r="L204" s="136"/>
      <c r="M204" s="136"/>
      <c r="N204" s="5">
        <f t="shared" ref="N204:N206" si="48">C204*I204</f>
        <v>0</v>
      </c>
      <c r="O204" s="226">
        <f t="shared" ref="O204:O206" si="49">D204*I204</f>
        <v>6.9800000000032014</v>
      </c>
      <c r="P204" s="5">
        <f t="shared" ref="P204:P206" si="50">E204*I204</f>
        <v>0</v>
      </c>
      <c r="Q204" s="5">
        <f t="shared" ref="Q204:Q206" si="51">F204*I204</f>
        <v>0</v>
      </c>
      <c r="R204" s="136"/>
    </row>
    <row r="205" spans="1:18" s="29" customFormat="1" ht="48" x14ac:dyDescent="0.25">
      <c r="A205" s="23">
        <f t="shared" ref="A205" si="52">A204+1</f>
        <v>2</v>
      </c>
      <c r="B205" s="19" t="s">
        <v>270</v>
      </c>
      <c r="C205" s="20">
        <v>0</v>
      </c>
      <c r="D205" s="20">
        <v>10</v>
      </c>
      <c r="E205" s="20"/>
      <c r="F205" s="20"/>
      <c r="G205" s="32">
        <f t="shared" si="46"/>
        <v>10</v>
      </c>
      <c r="H205" s="23" t="s">
        <v>5</v>
      </c>
      <c r="I205" s="22">
        <f>(33187.5-33187)</f>
        <v>0.5</v>
      </c>
      <c r="J205" s="32">
        <f t="shared" si="47"/>
        <v>5</v>
      </c>
      <c r="K205" s="25"/>
      <c r="L205" s="25"/>
      <c r="M205" s="25"/>
      <c r="N205" s="23">
        <f t="shared" si="48"/>
        <v>0</v>
      </c>
      <c r="O205" s="22">
        <f t="shared" si="49"/>
        <v>5</v>
      </c>
      <c r="P205" s="23">
        <f t="shared" si="50"/>
        <v>0</v>
      </c>
      <c r="Q205" s="23">
        <f t="shared" si="51"/>
        <v>0</v>
      </c>
      <c r="R205" s="25"/>
    </row>
    <row r="206" spans="1:18" s="196" customFormat="1" ht="48" x14ac:dyDescent="0.2">
      <c r="A206" s="192">
        <v>53</v>
      </c>
      <c r="B206" s="191" t="s">
        <v>306</v>
      </c>
      <c r="C206" s="192">
        <v>0</v>
      </c>
      <c r="D206" s="192">
        <v>2</v>
      </c>
      <c r="E206" s="192"/>
      <c r="F206" s="192"/>
      <c r="G206" s="193">
        <f t="shared" si="46"/>
        <v>2</v>
      </c>
      <c r="H206" s="192" t="s">
        <v>2</v>
      </c>
      <c r="I206" s="260">
        <f>(23712-15443)</f>
        <v>8269</v>
      </c>
      <c r="J206" s="193">
        <f t="shared" si="47"/>
        <v>16538</v>
      </c>
      <c r="K206" s="194"/>
      <c r="L206" s="194"/>
      <c r="M206" s="194"/>
      <c r="N206" s="192">
        <f t="shared" si="48"/>
        <v>0</v>
      </c>
      <c r="O206" s="251">
        <f t="shared" si="49"/>
        <v>16538</v>
      </c>
      <c r="P206" s="192">
        <f t="shared" si="50"/>
        <v>0</v>
      </c>
      <c r="Q206" s="192">
        <f t="shared" si="51"/>
        <v>0</v>
      </c>
      <c r="R206" s="194"/>
    </row>
    <row r="207" spans="1:18" x14ac:dyDescent="0.2">
      <c r="O207" s="231">
        <f>SUM(O202:O206)</f>
        <v>25513.980000000003</v>
      </c>
    </row>
    <row r="209" spans="1:19" x14ac:dyDescent="0.2">
      <c r="B209" s="144" t="s">
        <v>375</v>
      </c>
    </row>
    <row r="211" spans="1:19" s="41" customFormat="1" ht="48" x14ac:dyDescent="0.2">
      <c r="A211" s="20">
        <v>18</v>
      </c>
      <c r="B211" s="19" t="s">
        <v>78</v>
      </c>
      <c r="C211" s="20"/>
      <c r="D211" s="20"/>
      <c r="E211" s="20">
        <v>30</v>
      </c>
      <c r="F211" s="20"/>
      <c r="G211" s="32">
        <f t="shared" ref="G211:G212" si="53">C211+D211+E211+F211</f>
        <v>30</v>
      </c>
      <c r="H211" s="23" t="s">
        <v>79</v>
      </c>
      <c r="I211" s="22">
        <f>5007-I6-(460*2.2)</f>
        <v>1909.79</v>
      </c>
      <c r="J211" s="32">
        <f t="shared" ref="J211" si="54">G211*I211</f>
        <v>57293.7</v>
      </c>
      <c r="K211" s="25"/>
      <c r="L211" s="25"/>
      <c r="M211" s="25"/>
      <c r="N211" s="23">
        <f t="shared" ref="N211" si="55">C211*I211</f>
        <v>0</v>
      </c>
      <c r="O211" s="22">
        <f t="shared" ref="O211" si="56">D211*I211</f>
        <v>0</v>
      </c>
      <c r="P211" s="23">
        <f t="shared" ref="P211" si="57">E211*I211</f>
        <v>57293.7</v>
      </c>
      <c r="Q211" s="23">
        <f t="shared" ref="Q211" si="58">F211*I211</f>
        <v>0</v>
      </c>
      <c r="R211" s="25"/>
      <c r="S211" s="28"/>
    </row>
    <row r="212" spans="1:19" s="188" customFormat="1" ht="24" x14ac:dyDescent="0.2">
      <c r="A212" s="184">
        <v>35</v>
      </c>
      <c r="B212" s="183" t="s">
        <v>371</v>
      </c>
      <c r="C212" s="184"/>
      <c r="D212" s="184"/>
      <c r="E212" s="184"/>
      <c r="F212" s="184">
        <v>60</v>
      </c>
      <c r="G212" s="32">
        <f t="shared" si="53"/>
        <v>60</v>
      </c>
      <c r="H212" s="184" t="s">
        <v>125</v>
      </c>
      <c r="I212" s="184">
        <f>(210-88.5)</f>
        <v>121.5</v>
      </c>
      <c r="J212" s="185">
        <f>G212*I212</f>
        <v>7290</v>
      </c>
      <c r="K212" s="187"/>
      <c r="L212" s="187"/>
      <c r="M212" s="187"/>
      <c r="N212" s="182">
        <f>C212*I212</f>
        <v>0</v>
      </c>
      <c r="O212" s="226">
        <f>D212*I212</f>
        <v>0</v>
      </c>
      <c r="P212" s="182">
        <f>E212*I212</f>
        <v>0</v>
      </c>
      <c r="Q212" s="182">
        <f>F212*I212</f>
        <v>7290</v>
      </c>
      <c r="R212" s="187"/>
      <c r="S212" s="248"/>
    </row>
    <row r="214" spans="1:19" x14ac:dyDescent="0.2">
      <c r="B214" s="18" t="s">
        <v>392</v>
      </c>
    </row>
    <row r="216" spans="1:19" s="196" customFormat="1" ht="24" x14ac:dyDescent="0.2">
      <c r="A216" s="190">
        <v>40</v>
      </c>
      <c r="B216" s="258" t="s">
        <v>189</v>
      </c>
      <c r="C216" s="190"/>
      <c r="D216" s="190"/>
      <c r="E216" s="190"/>
      <c r="F216" s="190">
        <v>2</v>
      </c>
      <c r="G216" s="193">
        <f t="shared" ref="G216:G218" si="59">C216+D216+E216+F216</f>
        <v>2</v>
      </c>
      <c r="H216" s="190" t="s">
        <v>5</v>
      </c>
      <c r="I216" s="259">
        <f>(20250-15443)</f>
        <v>4807</v>
      </c>
      <c r="J216" s="193">
        <f t="shared" ref="J216:J218" si="60">G216*I216</f>
        <v>9614</v>
      </c>
      <c r="K216" s="194"/>
      <c r="L216" s="194"/>
      <c r="M216" s="194"/>
      <c r="N216" s="192">
        <f t="shared" ref="N216:N218" si="61">C216*I216</f>
        <v>0</v>
      </c>
      <c r="O216" s="251">
        <f t="shared" ref="O216:O218" si="62">D216*I216</f>
        <v>0</v>
      </c>
      <c r="P216" s="192">
        <f t="shared" ref="P216:P218" si="63">E216*I216</f>
        <v>0</v>
      </c>
      <c r="Q216" s="192">
        <f t="shared" ref="Q216:Q218" si="64">F216*I216</f>
        <v>9614</v>
      </c>
      <c r="R216" s="194"/>
      <c r="S216" s="195"/>
    </row>
    <row r="217" spans="1:19" s="273" customFormat="1" ht="36" x14ac:dyDescent="0.2">
      <c r="A217" s="265">
        <v>39</v>
      </c>
      <c r="B217" s="274" t="s">
        <v>185</v>
      </c>
      <c r="C217" s="265"/>
      <c r="D217" s="265"/>
      <c r="E217" s="268"/>
      <c r="F217" s="265">
        <v>2</v>
      </c>
      <c r="G217" s="267">
        <f t="shared" si="59"/>
        <v>2</v>
      </c>
      <c r="H217" s="265" t="s">
        <v>178</v>
      </c>
      <c r="I217" s="275">
        <f>(21000-20874.2)</f>
        <v>125.79999999999927</v>
      </c>
      <c r="J217" s="267">
        <f t="shared" si="60"/>
        <v>251.59999999999854</v>
      </c>
      <c r="K217" s="271"/>
      <c r="L217" s="271"/>
      <c r="M217" s="271"/>
      <c r="N217" s="268">
        <f t="shared" si="61"/>
        <v>0</v>
      </c>
      <c r="O217" s="269">
        <f t="shared" si="62"/>
        <v>0</v>
      </c>
      <c r="P217" s="268">
        <f t="shared" si="63"/>
        <v>0</v>
      </c>
      <c r="Q217" s="268">
        <f t="shared" si="64"/>
        <v>251.59999999999854</v>
      </c>
      <c r="R217" s="271"/>
      <c r="S217" s="272"/>
    </row>
    <row r="218" spans="1:19" s="41" customFormat="1" ht="24" x14ac:dyDescent="0.2">
      <c r="A218" s="20">
        <v>41</v>
      </c>
      <c r="B218" s="38" t="s">
        <v>193</v>
      </c>
      <c r="C218" s="20"/>
      <c r="D218" s="20"/>
      <c r="E218" s="20"/>
      <c r="F218" s="20">
        <v>1</v>
      </c>
      <c r="G218" s="32">
        <f t="shared" si="59"/>
        <v>1</v>
      </c>
      <c r="H218" s="23" t="s">
        <v>5</v>
      </c>
      <c r="I218" s="23">
        <f>18500-18000</f>
        <v>500</v>
      </c>
      <c r="J218" s="32">
        <f t="shared" si="60"/>
        <v>500</v>
      </c>
      <c r="K218" s="25"/>
      <c r="L218" s="25"/>
      <c r="M218" s="25"/>
      <c r="N218" s="23">
        <f t="shared" si="61"/>
        <v>0</v>
      </c>
      <c r="O218" s="22">
        <f t="shared" si="62"/>
        <v>0</v>
      </c>
      <c r="P218" s="23">
        <f t="shared" si="63"/>
        <v>0</v>
      </c>
      <c r="Q218" s="23">
        <f t="shared" si="64"/>
        <v>500</v>
      </c>
      <c r="R218" s="25"/>
      <c r="S218" s="28"/>
    </row>
    <row r="219" spans="1:19" x14ac:dyDescent="0.2">
      <c r="Q219" s="8">
        <f>SUM(Q216:Q218)</f>
        <v>10365.599999999999</v>
      </c>
    </row>
    <row r="223" spans="1:19" x14ac:dyDescent="0.2">
      <c r="B223" s="144" t="s">
        <v>409</v>
      </c>
    </row>
    <row r="224" spans="1:19" s="194" customFormat="1" ht="48" x14ac:dyDescent="0.25">
      <c r="A224" s="192">
        <f>A246+1</f>
        <v>1</v>
      </c>
      <c r="B224" s="191" t="s">
        <v>349</v>
      </c>
      <c r="C224" s="190">
        <v>1</v>
      </c>
      <c r="D224" s="190">
        <v>0</v>
      </c>
      <c r="E224" s="190"/>
      <c r="F224" s="190"/>
      <c r="G224" s="193">
        <f>C224+D224+E224+F224</f>
        <v>1</v>
      </c>
      <c r="H224" s="192" t="s">
        <v>5</v>
      </c>
      <c r="I224" s="251">
        <v>38350</v>
      </c>
      <c r="J224" s="193">
        <f>G224*I224</f>
        <v>38350</v>
      </c>
      <c r="N224" s="192">
        <f>C224*I224</f>
        <v>38350</v>
      </c>
      <c r="O224" s="251">
        <f>D224*I224</f>
        <v>0</v>
      </c>
      <c r="P224" s="192">
        <f>E224*I224</f>
        <v>0</v>
      </c>
      <c r="Q224" s="192">
        <f>F224*I224</f>
        <v>0</v>
      </c>
    </row>
    <row r="226" spans="14:14" x14ac:dyDescent="0.2">
      <c r="N226" s="110">
        <f>SUM(N224:N225)</f>
        <v>38350</v>
      </c>
    </row>
  </sheetData>
  <mergeCells count="8">
    <mergeCell ref="B180:G180"/>
    <mergeCell ref="A1:J1"/>
    <mergeCell ref="A2:J2"/>
    <mergeCell ref="A3:A4"/>
    <mergeCell ref="B3:B4"/>
    <mergeCell ref="H3:H4"/>
    <mergeCell ref="I3:I4"/>
    <mergeCell ref="J3:J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IG208"/>
  <sheetViews>
    <sheetView tabSelected="1" view="pageBreakPreview" topLeftCell="A109" zoomScaleSheetLayoutView="100" workbookViewId="0">
      <selection activeCell="F5" sqref="F5"/>
    </sheetView>
  </sheetViews>
  <sheetFormatPr defaultRowHeight="12" x14ac:dyDescent="0.2"/>
  <cols>
    <col min="1" max="1" width="5.28515625" style="5" customWidth="1"/>
    <col min="2" max="2" width="34.28515625" style="144" customWidth="1"/>
    <col min="3" max="3" width="9.140625" style="5"/>
    <col min="4" max="4" width="6.140625" style="13" customWidth="1"/>
    <col min="5" max="5" width="9.140625" style="5" customWidth="1"/>
    <col min="6" max="6" width="10" style="5" customWidth="1"/>
    <col min="7" max="7" width="12.140625" style="5" customWidth="1"/>
    <col min="8" max="8" width="17.7109375" style="8" customWidth="1"/>
    <col min="9" max="9" width="9.140625" style="8"/>
    <col min="10" max="11" width="6.140625" style="5" customWidth="1"/>
    <col min="12" max="12" width="5.5703125" style="192" bestFit="1" customWidth="1"/>
    <col min="13" max="13" width="6.140625" style="208" customWidth="1"/>
    <col min="14" max="14" width="8.42578125" style="246" customWidth="1"/>
    <col min="15" max="16" width="9.140625" style="8"/>
    <col min="17" max="17" width="9.140625" style="5"/>
    <col min="18" max="19" width="6.140625" style="5" customWidth="1"/>
    <col min="20" max="20" width="5.5703125" style="5" bestFit="1" customWidth="1"/>
    <col min="21" max="21" width="6.140625" style="5" customWidth="1"/>
    <col min="22" max="22" width="9.140625" style="5"/>
    <col min="23" max="16384" width="9.140625" style="8"/>
  </cols>
  <sheetData>
    <row r="1" spans="1:22" s="81" customFormat="1" ht="12" customHeight="1" x14ac:dyDescent="0.2">
      <c r="A1" s="439" t="s">
        <v>155</v>
      </c>
      <c r="B1" s="439"/>
      <c r="C1" s="439"/>
      <c r="D1" s="439"/>
      <c r="E1" s="439"/>
      <c r="F1" s="439"/>
      <c r="G1" s="439"/>
      <c r="J1" s="6"/>
      <c r="K1" s="234"/>
      <c r="N1" s="242"/>
      <c r="Q1" s="13"/>
      <c r="V1" s="13"/>
    </row>
    <row r="2" spans="1:22" s="6" customFormat="1" ht="88.5" customHeight="1" x14ac:dyDescent="0.25">
      <c r="A2" s="436" t="s">
        <v>367</v>
      </c>
      <c r="B2" s="436"/>
      <c r="C2" s="436"/>
      <c r="D2" s="436"/>
      <c r="E2" s="436"/>
      <c r="F2" s="436"/>
      <c r="G2" s="436"/>
      <c r="K2" s="235"/>
      <c r="N2" s="242"/>
      <c r="Q2" s="13"/>
      <c r="V2" s="13"/>
    </row>
    <row r="3" spans="1:22" s="137" customFormat="1" x14ac:dyDescent="0.25">
      <c r="A3" s="436" t="s">
        <v>19</v>
      </c>
      <c r="B3" s="436" t="s">
        <v>20</v>
      </c>
      <c r="C3" s="13"/>
      <c r="D3" s="437" t="s">
        <v>0</v>
      </c>
      <c r="E3" s="437" t="s">
        <v>22</v>
      </c>
      <c r="F3" s="437" t="s">
        <v>23</v>
      </c>
      <c r="G3" s="13"/>
      <c r="J3" s="13"/>
      <c r="K3" s="13"/>
      <c r="L3" s="190"/>
      <c r="M3" s="205"/>
      <c r="N3" s="242"/>
      <c r="Q3" s="13"/>
      <c r="R3" s="13"/>
      <c r="S3" s="13"/>
      <c r="T3" s="13"/>
      <c r="U3" s="13"/>
      <c r="V3" s="13"/>
    </row>
    <row r="4" spans="1:22" s="137" customFormat="1" ht="24" x14ac:dyDescent="0.25">
      <c r="A4" s="436"/>
      <c r="B4" s="436"/>
      <c r="C4" s="13" t="s">
        <v>239</v>
      </c>
      <c r="D4" s="437"/>
      <c r="E4" s="437"/>
      <c r="F4" s="437"/>
      <c r="G4" s="13" t="s">
        <v>378</v>
      </c>
      <c r="J4" s="13" t="s">
        <v>237</v>
      </c>
      <c r="K4" s="13" t="s">
        <v>238</v>
      </c>
      <c r="L4" s="190" t="s">
        <v>157</v>
      </c>
      <c r="M4" s="205" t="s">
        <v>158</v>
      </c>
      <c r="N4" s="242" t="s">
        <v>239</v>
      </c>
      <c r="Q4" s="13" t="s">
        <v>239</v>
      </c>
      <c r="R4" s="13" t="s">
        <v>237</v>
      </c>
      <c r="S4" s="13" t="s">
        <v>238</v>
      </c>
      <c r="T4" s="13" t="s">
        <v>157</v>
      </c>
      <c r="U4" s="13" t="s">
        <v>158</v>
      </c>
      <c r="V4" s="13" t="s">
        <v>239</v>
      </c>
    </row>
    <row r="5" spans="1:22" s="80" customFormat="1" x14ac:dyDescent="0.25">
      <c r="A5" s="12" t="s">
        <v>240</v>
      </c>
      <c r="B5" s="131" t="s">
        <v>244</v>
      </c>
      <c r="C5" s="12"/>
      <c r="D5" s="12"/>
      <c r="E5" s="12"/>
      <c r="F5" s="12"/>
      <c r="G5" s="12"/>
      <c r="J5" s="12"/>
      <c r="K5" s="12"/>
      <c r="L5" s="197"/>
      <c r="M5" s="213"/>
      <c r="N5" s="243"/>
      <c r="Q5" s="12"/>
      <c r="R5" s="12"/>
      <c r="S5" s="12"/>
      <c r="T5" s="12"/>
      <c r="U5" s="12"/>
      <c r="V5" s="12"/>
    </row>
    <row r="6" spans="1:22" ht="72" x14ac:dyDescent="0.2">
      <c r="A6" s="5">
        <v>1</v>
      </c>
      <c r="B6" s="129" t="s">
        <v>245</v>
      </c>
      <c r="C6" s="5">
        <v>60</v>
      </c>
      <c r="D6" s="130" t="s">
        <v>246</v>
      </c>
      <c r="E6" s="130">
        <v>2085.21</v>
      </c>
      <c r="F6" s="130">
        <f>C6*E6</f>
        <v>125112.6</v>
      </c>
      <c r="G6" s="13"/>
      <c r="H6" s="136"/>
      <c r="I6" s="136"/>
      <c r="J6" s="13">
        <v>30</v>
      </c>
      <c r="K6" s="13">
        <v>0</v>
      </c>
      <c r="L6" s="190">
        <v>30</v>
      </c>
      <c r="M6" s="205"/>
      <c r="N6" s="244">
        <f>J6+K6+L6+M6</f>
        <v>60</v>
      </c>
      <c r="O6" s="136"/>
      <c r="Q6" s="5">
        <v>60</v>
      </c>
      <c r="R6" s="13">
        <v>30</v>
      </c>
      <c r="S6" s="13">
        <v>0</v>
      </c>
      <c r="T6" s="13">
        <v>30</v>
      </c>
      <c r="U6" s="13"/>
      <c r="V6" s="5">
        <f>R6+S6+T6+U6</f>
        <v>60</v>
      </c>
    </row>
    <row r="7" spans="1:22" ht="36" x14ac:dyDescent="0.2">
      <c r="A7" s="5">
        <v>2</v>
      </c>
      <c r="B7" s="129" t="s">
        <v>247</v>
      </c>
      <c r="C7" s="5">
        <v>132</v>
      </c>
      <c r="D7" s="130" t="s">
        <v>248</v>
      </c>
      <c r="E7" s="130">
        <v>460</v>
      </c>
      <c r="F7" s="130">
        <f>C7*E7</f>
        <v>60720</v>
      </c>
      <c r="G7" s="13"/>
      <c r="H7" s="136"/>
      <c r="I7" s="136"/>
      <c r="J7" s="13">
        <v>66</v>
      </c>
      <c r="K7" s="13">
        <v>0</v>
      </c>
      <c r="L7" s="190">
        <v>66</v>
      </c>
      <c r="M7" s="205"/>
      <c r="N7" s="244">
        <f>J7+K7+L7+M7</f>
        <v>132</v>
      </c>
      <c r="O7" s="128">
        <f>F7-N7</f>
        <v>60588</v>
      </c>
      <c r="Q7" s="5">
        <v>132</v>
      </c>
      <c r="R7" s="13">
        <v>66</v>
      </c>
      <c r="S7" s="13">
        <v>0</v>
      </c>
      <c r="T7" s="13">
        <v>66</v>
      </c>
      <c r="U7" s="13"/>
      <c r="V7" s="5">
        <f>R7+S7+T7+U7</f>
        <v>132</v>
      </c>
    </row>
    <row r="8" spans="1:22" s="170" customFormat="1" ht="12.75" thickBot="1" x14ac:dyDescent="0.25">
      <c r="A8" s="12"/>
      <c r="B8" s="9" t="s">
        <v>368</v>
      </c>
      <c r="C8" s="12"/>
      <c r="D8" s="134"/>
      <c r="E8" s="12"/>
      <c r="F8" s="164">
        <f>SUM(F6:F7)</f>
        <v>185832.6</v>
      </c>
      <c r="G8" s="12"/>
      <c r="H8" s="135"/>
      <c r="I8" s="135"/>
      <c r="J8" s="78"/>
      <c r="K8" s="78"/>
      <c r="L8" s="198"/>
      <c r="M8" s="214"/>
      <c r="N8" s="243"/>
      <c r="O8" s="81"/>
      <c r="Q8" s="12"/>
      <c r="R8" s="78"/>
      <c r="S8" s="78"/>
      <c r="T8" s="78"/>
      <c r="U8" s="78"/>
      <c r="V8" s="12"/>
    </row>
    <row r="9" spans="1:22" s="81" customFormat="1" x14ac:dyDescent="0.2">
      <c r="A9" s="13"/>
      <c r="C9" s="13"/>
      <c r="G9" s="13"/>
      <c r="J9" s="6"/>
      <c r="L9" s="199"/>
      <c r="M9" s="215"/>
      <c r="N9" s="242"/>
      <c r="O9" s="128"/>
      <c r="Q9" s="13"/>
      <c r="V9" s="13"/>
    </row>
    <row r="10" spans="1:22" s="128" customFormat="1" x14ac:dyDescent="0.25">
      <c r="A10" s="12" t="s">
        <v>241</v>
      </c>
      <c r="B10" s="131" t="s">
        <v>389</v>
      </c>
      <c r="C10" s="12"/>
      <c r="D10" s="12"/>
      <c r="E10" s="12"/>
      <c r="F10" s="12"/>
      <c r="G10" s="17"/>
      <c r="H10" s="82"/>
      <c r="I10" s="82"/>
      <c r="J10" s="12"/>
      <c r="K10" s="12"/>
      <c r="L10" s="197"/>
      <c r="M10" s="213"/>
      <c r="N10" s="243"/>
      <c r="O10" s="137"/>
      <c r="Q10" s="12"/>
      <c r="R10" s="12"/>
      <c r="S10" s="12"/>
      <c r="T10" s="12"/>
      <c r="U10" s="12"/>
      <c r="V10" s="12"/>
    </row>
    <row r="11" spans="1:22" s="137" customFormat="1" ht="36" x14ac:dyDescent="0.25">
      <c r="A11" s="5">
        <v>1</v>
      </c>
      <c r="B11" s="6" t="s">
        <v>253</v>
      </c>
      <c r="C11" s="13">
        <v>1</v>
      </c>
      <c r="D11" s="97" t="s">
        <v>5</v>
      </c>
      <c r="E11" s="13">
        <v>104800</v>
      </c>
      <c r="F11" s="130">
        <f t="shared" ref="F11:F42" si="0">C11*E11</f>
        <v>104800</v>
      </c>
      <c r="G11" s="13" t="s">
        <v>379</v>
      </c>
      <c r="H11" s="136"/>
      <c r="I11" s="136"/>
      <c r="J11" s="13">
        <v>1</v>
      </c>
      <c r="K11" s="13">
        <v>0</v>
      </c>
      <c r="L11" s="190"/>
      <c r="M11" s="205"/>
      <c r="N11" s="244">
        <f t="shared" ref="N11:N63" si="1">J11+K11+L11+M11</f>
        <v>1</v>
      </c>
      <c r="O11" s="144"/>
      <c r="Q11" s="13">
        <v>1</v>
      </c>
      <c r="R11" s="13">
        <v>1</v>
      </c>
      <c r="S11" s="13">
        <v>0</v>
      </c>
      <c r="T11" s="13"/>
      <c r="U11" s="13"/>
      <c r="V11" s="13">
        <f t="shared" ref="V11:V63" si="2">R11+S11+T11+U11</f>
        <v>1</v>
      </c>
    </row>
    <row r="12" spans="1:22" s="144" customFormat="1" ht="60" x14ac:dyDescent="0.25">
      <c r="A12" s="5">
        <f>A11+1</f>
        <v>2</v>
      </c>
      <c r="B12" s="6" t="s">
        <v>254</v>
      </c>
      <c r="C12" s="5">
        <v>2</v>
      </c>
      <c r="D12" s="97" t="s">
        <v>5</v>
      </c>
      <c r="E12" s="11">
        <v>125440</v>
      </c>
      <c r="F12" s="130">
        <f t="shared" si="0"/>
        <v>250880</v>
      </c>
      <c r="G12" s="13" t="s">
        <v>379</v>
      </c>
      <c r="H12" s="136"/>
      <c r="I12" s="136"/>
      <c r="J12" s="13">
        <v>2</v>
      </c>
      <c r="K12" s="13">
        <v>0</v>
      </c>
      <c r="L12" s="190"/>
      <c r="M12" s="205"/>
      <c r="N12" s="244">
        <f t="shared" si="1"/>
        <v>2</v>
      </c>
      <c r="Q12" s="5">
        <v>2</v>
      </c>
      <c r="R12" s="13">
        <v>2</v>
      </c>
      <c r="S12" s="13">
        <v>0</v>
      </c>
      <c r="T12" s="13"/>
      <c r="U12" s="13"/>
      <c r="V12" s="5">
        <f t="shared" si="2"/>
        <v>2</v>
      </c>
    </row>
    <row r="13" spans="1:22" s="144" customFormat="1" ht="72" x14ac:dyDescent="0.25">
      <c r="A13" s="5">
        <f t="shared" ref="A13:A31" si="3">A12+1</f>
        <v>3</v>
      </c>
      <c r="B13" s="247" t="s">
        <v>255</v>
      </c>
      <c r="C13" s="5">
        <v>6</v>
      </c>
      <c r="D13" s="97" t="s">
        <v>5</v>
      </c>
      <c r="E13" s="106">
        <v>87840</v>
      </c>
      <c r="F13" s="130">
        <f t="shared" si="0"/>
        <v>527040</v>
      </c>
      <c r="G13" s="13" t="s">
        <v>379</v>
      </c>
      <c r="H13" s="136"/>
      <c r="I13" s="136"/>
      <c r="J13" s="13">
        <v>2</v>
      </c>
      <c r="K13" s="13">
        <v>4</v>
      </c>
      <c r="L13" s="190"/>
      <c r="M13" s="205"/>
      <c r="N13" s="244">
        <f t="shared" si="1"/>
        <v>6</v>
      </c>
      <c r="Q13" s="5">
        <v>6</v>
      </c>
      <c r="R13" s="13">
        <v>2</v>
      </c>
      <c r="S13" s="13">
        <v>4</v>
      </c>
      <c r="T13" s="13"/>
      <c r="U13" s="13"/>
      <c r="V13" s="5">
        <f t="shared" si="2"/>
        <v>6</v>
      </c>
    </row>
    <row r="14" spans="1:22" s="144" customFormat="1" ht="24" x14ac:dyDescent="0.25">
      <c r="A14" s="5">
        <f t="shared" si="3"/>
        <v>4</v>
      </c>
      <c r="B14" s="6" t="s">
        <v>256</v>
      </c>
      <c r="C14" s="5">
        <v>1</v>
      </c>
      <c r="D14" s="97" t="s">
        <v>5</v>
      </c>
      <c r="E14" s="106">
        <v>11431.84</v>
      </c>
      <c r="F14" s="130">
        <f t="shared" si="0"/>
        <v>11431.84</v>
      </c>
      <c r="G14" s="13" t="s">
        <v>379</v>
      </c>
      <c r="H14" s="136"/>
      <c r="I14" s="136"/>
      <c r="J14" s="13">
        <v>1</v>
      </c>
      <c r="K14" s="13">
        <v>0</v>
      </c>
      <c r="L14" s="190"/>
      <c r="M14" s="205"/>
      <c r="N14" s="244">
        <f t="shared" si="1"/>
        <v>1</v>
      </c>
      <c r="Q14" s="5">
        <v>1</v>
      </c>
      <c r="R14" s="13">
        <v>1</v>
      </c>
      <c r="S14" s="13">
        <v>0</v>
      </c>
      <c r="T14" s="13"/>
      <c r="U14" s="13"/>
      <c r="V14" s="5">
        <f t="shared" si="2"/>
        <v>1</v>
      </c>
    </row>
    <row r="15" spans="1:22" s="144" customFormat="1" ht="36" x14ac:dyDescent="0.25">
      <c r="A15" s="5">
        <f t="shared" si="3"/>
        <v>5</v>
      </c>
      <c r="B15" s="129" t="s">
        <v>257</v>
      </c>
      <c r="C15" s="5">
        <v>13</v>
      </c>
      <c r="D15" s="5" t="s">
        <v>5</v>
      </c>
      <c r="E15" s="106">
        <v>32611.66</v>
      </c>
      <c r="F15" s="130">
        <f t="shared" si="0"/>
        <v>423951.58</v>
      </c>
      <c r="G15" s="13" t="s">
        <v>379</v>
      </c>
      <c r="H15" s="136"/>
      <c r="I15" s="136"/>
      <c r="J15" s="13">
        <v>13</v>
      </c>
      <c r="K15" s="13">
        <v>0</v>
      </c>
      <c r="L15" s="190"/>
      <c r="M15" s="205"/>
      <c r="N15" s="244">
        <f t="shared" si="1"/>
        <v>13</v>
      </c>
      <c r="Q15" s="5">
        <v>13</v>
      </c>
      <c r="R15" s="13">
        <v>13</v>
      </c>
      <c r="S15" s="13">
        <v>0</v>
      </c>
      <c r="T15" s="13"/>
      <c r="U15" s="13"/>
      <c r="V15" s="5">
        <f t="shared" si="2"/>
        <v>13</v>
      </c>
    </row>
    <row r="16" spans="1:22" s="144" customFormat="1" ht="24" x14ac:dyDescent="0.25">
      <c r="A16" s="5">
        <f t="shared" si="3"/>
        <v>6</v>
      </c>
      <c r="B16" s="129" t="s">
        <v>258</v>
      </c>
      <c r="C16" s="5">
        <v>13</v>
      </c>
      <c r="D16" s="5" t="s">
        <v>5</v>
      </c>
      <c r="E16" s="106">
        <v>1180</v>
      </c>
      <c r="F16" s="130">
        <f t="shared" si="0"/>
        <v>15340</v>
      </c>
      <c r="G16" s="13" t="s">
        <v>379</v>
      </c>
      <c r="H16" s="136"/>
      <c r="I16" s="136"/>
      <c r="J16" s="13">
        <v>13</v>
      </c>
      <c r="K16" s="13">
        <v>0</v>
      </c>
      <c r="L16" s="190"/>
      <c r="M16" s="205"/>
      <c r="N16" s="244">
        <f t="shared" si="1"/>
        <v>13</v>
      </c>
      <c r="Q16" s="5">
        <v>13</v>
      </c>
      <c r="R16" s="13">
        <v>13</v>
      </c>
      <c r="S16" s="13">
        <v>0</v>
      </c>
      <c r="T16" s="13"/>
      <c r="U16" s="13"/>
      <c r="V16" s="5">
        <f t="shared" si="2"/>
        <v>13</v>
      </c>
    </row>
    <row r="17" spans="1:22" s="144" customFormat="1" ht="48" x14ac:dyDescent="0.25">
      <c r="A17" s="5">
        <f t="shared" si="3"/>
        <v>7</v>
      </c>
      <c r="B17" s="183" t="s">
        <v>259</v>
      </c>
      <c r="C17" s="5">
        <v>3</v>
      </c>
      <c r="D17" s="5" t="s">
        <v>5</v>
      </c>
      <c r="E17" s="106">
        <v>47251.92</v>
      </c>
      <c r="F17" s="130">
        <f t="shared" si="0"/>
        <v>141755.76</v>
      </c>
      <c r="G17" s="13" t="s">
        <v>379</v>
      </c>
      <c r="H17" s="136"/>
      <c r="I17" s="136"/>
      <c r="J17" s="13">
        <v>2</v>
      </c>
      <c r="K17" s="13">
        <v>1</v>
      </c>
      <c r="L17" s="190"/>
      <c r="M17" s="205"/>
      <c r="N17" s="244">
        <f t="shared" si="1"/>
        <v>3</v>
      </c>
      <c r="Q17" s="5">
        <v>3</v>
      </c>
      <c r="R17" s="13">
        <v>2</v>
      </c>
      <c r="S17" s="13">
        <v>1</v>
      </c>
      <c r="T17" s="13"/>
      <c r="U17" s="13"/>
      <c r="V17" s="5">
        <f t="shared" si="2"/>
        <v>3</v>
      </c>
    </row>
    <row r="18" spans="1:22" s="144" customFormat="1" ht="48" x14ac:dyDescent="0.25">
      <c r="A18" s="5">
        <f t="shared" si="3"/>
        <v>8</v>
      </c>
      <c r="B18" s="183" t="s">
        <v>260</v>
      </c>
      <c r="C18" s="5">
        <v>1</v>
      </c>
      <c r="D18" s="5" t="s">
        <v>5</v>
      </c>
      <c r="E18" s="106">
        <v>54077.04</v>
      </c>
      <c r="F18" s="130">
        <f t="shared" si="0"/>
        <v>54077.04</v>
      </c>
      <c r="G18" s="13" t="s">
        <v>379</v>
      </c>
      <c r="H18" s="136"/>
      <c r="I18" s="136"/>
      <c r="J18" s="13">
        <v>1</v>
      </c>
      <c r="K18" s="13">
        <v>0</v>
      </c>
      <c r="L18" s="190"/>
      <c r="M18" s="205"/>
      <c r="N18" s="244">
        <f t="shared" si="1"/>
        <v>1</v>
      </c>
      <c r="O18" s="147"/>
      <c r="Q18" s="5">
        <v>1</v>
      </c>
      <c r="R18" s="13">
        <v>1</v>
      </c>
      <c r="S18" s="13">
        <v>0</v>
      </c>
      <c r="T18" s="13"/>
      <c r="U18" s="13"/>
      <c r="V18" s="5">
        <f t="shared" si="2"/>
        <v>1</v>
      </c>
    </row>
    <row r="19" spans="1:22" s="147" customFormat="1" ht="72" x14ac:dyDescent="0.25">
      <c r="A19" s="5">
        <f t="shared" si="3"/>
        <v>9</v>
      </c>
      <c r="B19" s="183" t="s">
        <v>261</v>
      </c>
      <c r="C19" s="13">
        <v>1</v>
      </c>
      <c r="D19" s="13" t="s">
        <v>5</v>
      </c>
      <c r="E19" s="97">
        <v>224937.5</v>
      </c>
      <c r="F19" s="130">
        <f t="shared" si="0"/>
        <v>224937.5</v>
      </c>
      <c r="G19" s="13" t="s">
        <v>379</v>
      </c>
      <c r="H19" s="136"/>
      <c r="I19" s="136"/>
      <c r="J19" s="13">
        <v>1</v>
      </c>
      <c r="K19" s="13">
        <v>0</v>
      </c>
      <c r="L19" s="190"/>
      <c r="M19" s="205"/>
      <c r="N19" s="244">
        <f t="shared" si="1"/>
        <v>1</v>
      </c>
      <c r="O19" s="144"/>
      <c r="Q19" s="13">
        <v>1</v>
      </c>
      <c r="R19" s="13">
        <v>1</v>
      </c>
      <c r="S19" s="13">
        <v>0</v>
      </c>
      <c r="T19" s="13"/>
      <c r="U19" s="13"/>
      <c r="V19" s="13">
        <f t="shared" si="2"/>
        <v>1</v>
      </c>
    </row>
    <row r="20" spans="1:22" s="144" customFormat="1" ht="60" x14ac:dyDescent="0.25">
      <c r="A20" s="5">
        <f t="shared" si="3"/>
        <v>10</v>
      </c>
      <c r="B20" s="129" t="s">
        <v>262</v>
      </c>
      <c r="C20" s="5">
        <v>14</v>
      </c>
      <c r="D20" s="13" t="s">
        <v>5</v>
      </c>
      <c r="E20" s="97">
        <v>46093.75</v>
      </c>
      <c r="F20" s="130">
        <f t="shared" si="0"/>
        <v>645312.5</v>
      </c>
      <c r="G20" s="13" t="s">
        <v>379</v>
      </c>
      <c r="H20" s="136"/>
      <c r="I20" s="136"/>
      <c r="J20" s="13">
        <v>14</v>
      </c>
      <c r="K20" s="13">
        <v>0</v>
      </c>
      <c r="L20" s="190"/>
      <c r="M20" s="205"/>
      <c r="N20" s="244">
        <f t="shared" si="1"/>
        <v>14</v>
      </c>
      <c r="Q20" s="5">
        <v>14</v>
      </c>
      <c r="R20" s="13">
        <v>14</v>
      </c>
      <c r="S20" s="13">
        <v>0</v>
      </c>
      <c r="T20" s="13"/>
      <c r="U20" s="13"/>
      <c r="V20" s="5">
        <f t="shared" si="2"/>
        <v>14</v>
      </c>
    </row>
    <row r="21" spans="1:22" s="144" customFormat="1" ht="60" x14ac:dyDescent="0.25">
      <c r="A21" s="5">
        <f t="shared" si="3"/>
        <v>11</v>
      </c>
      <c r="B21" s="129" t="s">
        <v>263</v>
      </c>
      <c r="C21" s="5">
        <v>1</v>
      </c>
      <c r="D21" s="13" t="s">
        <v>5</v>
      </c>
      <c r="E21" s="97">
        <v>46093.16</v>
      </c>
      <c r="F21" s="130">
        <f t="shared" si="0"/>
        <v>46093.16</v>
      </c>
      <c r="G21" s="13" t="s">
        <v>379</v>
      </c>
      <c r="H21" s="136"/>
      <c r="I21" s="136"/>
      <c r="J21" s="13">
        <v>1</v>
      </c>
      <c r="K21" s="13">
        <v>0</v>
      </c>
      <c r="L21" s="190"/>
      <c r="M21" s="205"/>
      <c r="N21" s="244">
        <f t="shared" si="1"/>
        <v>1</v>
      </c>
      <c r="O21" s="147"/>
      <c r="Q21" s="5">
        <v>1</v>
      </c>
      <c r="R21" s="13">
        <v>1</v>
      </c>
      <c r="S21" s="13">
        <v>0</v>
      </c>
      <c r="T21" s="13"/>
      <c r="U21" s="13"/>
      <c r="V21" s="5">
        <f t="shared" si="2"/>
        <v>1</v>
      </c>
    </row>
    <row r="22" spans="1:22" s="147" customFormat="1" ht="24" x14ac:dyDescent="0.25">
      <c r="A22" s="5">
        <f t="shared" si="3"/>
        <v>12</v>
      </c>
      <c r="B22" s="148" t="s">
        <v>264</v>
      </c>
      <c r="C22" s="13">
        <v>2</v>
      </c>
      <c r="D22" s="13" t="s">
        <v>5</v>
      </c>
      <c r="E22" s="97">
        <v>8260</v>
      </c>
      <c r="F22" s="130">
        <f t="shared" si="0"/>
        <v>16520</v>
      </c>
      <c r="G22" s="13" t="s">
        <v>379</v>
      </c>
      <c r="H22" s="136"/>
      <c r="I22" s="136"/>
      <c r="J22" s="13">
        <v>2</v>
      </c>
      <c r="K22" s="13">
        <v>0</v>
      </c>
      <c r="L22" s="190"/>
      <c r="M22" s="205"/>
      <c r="N22" s="244">
        <f t="shared" si="1"/>
        <v>2</v>
      </c>
      <c r="Q22" s="13">
        <v>2</v>
      </c>
      <c r="R22" s="13">
        <v>2</v>
      </c>
      <c r="S22" s="13">
        <v>0</v>
      </c>
      <c r="T22" s="13"/>
      <c r="U22" s="13"/>
      <c r="V22" s="13">
        <f t="shared" si="2"/>
        <v>2</v>
      </c>
    </row>
    <row r="23" spans="1:22" s="147" customFormat="1" ht="24" x14ac:dyDescent="0.25">
      <c r="A23" s="5">
        <f t="shared" si="3"/>
        <v>13</v>
      </c>
      <c r="B23" s="148" t="s">
        <v>265</v>
      </c>
      <c r="C23" s="13">
        <v>2</v>
      </c>
      <c r="D23" s="13" t="s">
        <v>5</v>
      </c>
      <c r="E23" s="97">
        <v>16520</v>
      </c>
      <c r="F23" s="130">
        <f t="shared" si="0"/>
        <v>33040</v>
      </c>
      <c r="G23" s="13" t="s">
        <v>379</v>
      </c>
      <c r="H23" s="136"/>
      <c r="I23" s="136"/>
      <c r="J23" s="13">
        <v>2</v>
      </c>
      <c r="K23" s="13">
        <v>0</v>
      </c>
      <c r="L23" s="190"/>
      <c r="M23" s="205"/>
      <c r="N23" s="244">
        <f t="shared" si="1"/>
        <v>2</v>
      </c>
      <c r="O23" s="144"/>
      <c r="Q23" s="13">
        <v>2</v>
      </c>
      <c r="R23" s="13">
        <v>2</v>
      </c>
      <c r="S23" s="13">
        <v>0</v>
      </c>
      <c r="T23" s="13"/>
      <c r="U23" s="13"/>
      <c r="V23" s="13">
        <f t="shared" si="2"/>
        <v>2</v>
      </c>
    </row>
    <row r="24" spans="1:22" s="144" customFormat="1" ht="84" x14ac:dyDescent="0.25">
      <c r="A24" s="5">
        <f t="shared" si="3"/>
        <v>14</v>
      </c>
      <c r="B24" s="129" t="s">
        <v>266</v>
      </c>
      <c r="C24" s="5">
        <v>1</v>
      </c>
      <c r="D24" s="13" t="s">
        <v>5</v>
      </c>
      <c r="E24" s="97">
        <v>88500</v>
      </c>
      <c r="F24" s="130">
        <f t="shared" si="0"/>
        <v>88500</v>
      </c>
      <c r="G24" s="13" t="s">
        <v>379</v>
      </c>
      <c r="H24" s="136"/>
      <c r="I24" s="136"/>
      <c r="J24" s="13">
        <v>1</v>
      </c>
      <c r="K24" s="13">
        <v>0</v>
      </c>
      <c r="L24" s="190"/>
      <c r="M24" s="205"/>
      <c r="N24" s="244">
        <f t="shared" si="1"/>
        <v>1</v>
      </c>
      <c r="Q24" s="5">
        <v>1</v>
      </c>
      <c r="R24" s="13">
        <v>1</v>
      </c>
      <c r="S24" s="13">
        <v>0</v>
      </c>
      <c r="T24" s="13"/>
      <c r="U24" s="13"/>
      <c r="V24" s="5">
        <f t="shared" si="2"/>
        <v>1</v>
      </c>
    </row>
    <row r="25" spans="1:22" s="144" customFormat="1" ht="48" x14ac:dyDescent="0.25">
      <c r="A25" s="5">
        <f t="shared" si="3"/>
        <v>15</v>
      </c>
      <c r="B25" s="148" t="s">
        <v>267</v>
      </c>
      <c r="C25" s="5">
        <v>3</v>
      </c>
      <c r="D25" s="5" t="s">
        <v>268</v>
      </c>
      <c r="E25" s="106">
        <v>24827.200000000001</v>
      </c>
      <c r="F25" s="130">
        <f t="shared" si="0"/>
        <v>74481.600000000006</v>
      </c>
      <c r="G25" s="13" t="s">
        <v>379</v>
      </c>
      <c r="H25" s="136"/>
      <c r="I25" s="136"/>
      <c r="J25" s="13">
        <v>3</v>
      </c>
      <c r="K25" s="13">
        <v>0</v>
      </c>
      <c r="L25" s="190"/>
      <c r="M25" s="205"/>
      <c r="N25" s="244">
        <f t="shared" si="1"/>
        <v>3</v>
      </c>
      <c r="Q25" s="5">
        <v>3</v>
      </c>
      <c r="R25" s="13">
        <v>3</v>
      </c>
      <c r="S25" s="13">
        <v>0</v>
      </c>
      <c r="T25" s="13"/>
      <c r="U25" s="13"/>
      <c r="V25" s="5">
        <f t="shared" si="2"/>
        <v>3</v>
      </c>
    </row>
    <row r="26" spans="1:22" s="144" customFormat="1" ht="36" x14ac:dyDescent="0.25">
      <c r="A26" s="5">
        <v>16</v>
      </c>
      <c r="B26" s="129" t="s">
        <v>269</v>
      </c>
      <c r="C26" s="5">
        <v>2</v>
      </c>
      <c r="D26" s="5" t="s">
        <v>5</v>
      </c>
      <c r="E26" s="106">
        <v>241900</v>
      </c>
      <c r="F26" s="130">
        <f t="shared" si="0"/>
        <v>483800</v>
      </c>
      <c r="G26" s="13" t="s">
        <v>379</v>
      </c>
      <c r="H26" s="136"/>
      <c r="I26" s="136"/>
      <c r="J26" s="13">
        <v>1</v>
      </c>
      <c r="K26" s="13">
        <v>1</v>
      </c>
      <c r="L26" s="190"/>
      <c r="M26" s="205"/>
      <c r="N26" s="244">
        <f t="shared" si="1"/>
        <v>2</v>
      </c>
      <c r="Q26" s="5">
        <v>2</v>
      </c>
      <c r="R26" s="13">
        <v>1</v>
      </c>
      <c r="S26" s="13">
        <v>1</v>
      </c>
      <c r="T26" s="13"/>
      <c r="U26" s="13"/>
      <c r="V26" s="5">
        <f t="shared" si="2"/>
        <v>2</v>
      </c>
    </row>
    <row r="27" spans="1:22" s="144" customFormat="1" ht="36" x14ac:dyDescent="0.25">
      <c r="A27" s="5">
        <f t="shared" si="3"/>
        <v>17</v>
      </c>
      <c r="B27" s="129" t="s">
        <v>270</v>
      </c>
      <c r="C27" s="5">
        <v>24</v>
      </c>
      <c r="D27" s="5" t="s">
        <v>5</v>
      </c>
      <c r="E27" s="106">
        <v>33187</v>
      </c>
      <c r="F27" s="130">
        <f t="shared" si="0"/>
        <v>796488</v>
      </c>
      <c r="G27" s="13" t="s">
        <v>379</v>
      </c>
      <c r="H27" s="136"/>
      <c r="I27" s="136"/>
      <c r="J27" s="205">
        <v>14</v>
      </c>
      <c r="K27" s="205">
        <v>10</v>
      </c>
      <c r="L27" s="205"/>
      <c r="M27" s="205"/>
      <c r="N27" s="244">
        <f t="shared" si="1"/>
        <v>24</v>
      </c>
      <c r="Q27" s="5">
        <v>24</v>
      </c>
      <c r="R27" s="13">
        <v>14</v>
      </c>
      <c r="S27" s="13">
        <v>10</v>
      </c>
      <c r="T27" s="13"/>
      <c r="U27" s="13"/>
      <c r="V27" s="5">
        <f t="shared" si="2"/>
        <v>24</v>
      </c>
    </row>
    <row r="28" spans="1:22" s="144" customFormat="1" ht="24" x14ac:dyDescent="0.25">
      <c r="A28" s="5">
        <f t="shared" si="3"/>
        <v>18</v>
      </c>
      <c r="B28" s="6" t="s">
        <v>271</v>
      </c>
      <c r="C28" s="5">
        <v>2</v>
      </c>
      <c r="D28" s="13" t="s">
        <v>5</v>
      </c>
      <c r="E28" s="97">
        <v>194238.62</v>
      </c>
      <c r="F28" s="130">
        <f t="shared" si="0"/>
        <v>388477.24</v>
      </c>
      <c r="G28" s="13" t="s">
        <v>379</v>
      </c>
      <c r="H28" s="136"/>
      <c r="I28" s="136"/>
      <c r="J28" s="13">
        <v>2</v>
      </c>
      <c r="K28" s="13">
        <v>0</v>
      </c>
      <c r="L28" s="190"/>
      <c r="M28" s="205"/>
      <c r="N28" s="244">
        <f t="shared" si="1"/>
        <v>2</v>
      </c>
      <c r="Q28" s="5">
        <v>2</v>
      </c>
      <c r="R28" s="13">
        <v>2</v>
      </c>
      <c r="S28" s="13">
        <v>0</v>
      </c>
      <c r="T28" s="13"/>
      <c r="U28" s="13"/>
      <c r="V28" s="5">
        <f t="shared" si="2"/>
        <v>2</v>
      </c>
    </row>
    <row r="29" spans="1:22" s="144" customFormat="1" ht="24" x14ac:dyDescent="0.25">
      <c r="A29" s="5">
        <f t="shared" si="3"/>
        <v>19</v>
      </c>
      <c r="B29" s="147" t="s">
        <v>272</v>
      </c>
      <c r="C29" s="5">
        <v>2</v>
      </c>
      <c r="D29" s="13" t="s">
        <v>5</v>
      </c>
      <c r="E29" s="97">
        <v>5712.4980000000005</v>
      </c>
      <c r="F29" s="130">
        <f t="shared" si="0"/>
        <v>11424.996000000001</v>
      </c>
      <c r="G29" s="13" t="s">
        <v>379</v>
      </c>
      <c r="H29" s="136"/>
      <c r="I29" s="136"/>
      <c r="J29" s="13">
        <v>2</v>
      </c>
      <c r="K29" s="13">
        <v>0</v>
      </c>
      <c r="L29" s="190"/>
      <c r="M29" s="205"/>
      <c r="N29" s="244">
        <f t="shared" si="1"/>
        <v>2</v>
      </c>
      <c r="O29" s="147"/>
      <c r="Q29" s="5">
        <v>2</v>
      </c>
      <c r="R29" s="13">
        <v>2</v>
      </c>
      <c r="S29" s="13">
        <v>0</v>
      </c>
      <c r="T29" s="13"/>
      <c r="U29" s="13"/>
      <c r="V29" s="5">
        <f t="shared" si="2"/>
        <v>2</v>
      </c>
    </row>
    <row r="30" spans="1:22" s="147" customFormat="1" ht="24" x14ac:dyDescent="0.25">
      <c r="A30" s="5">
        <f t="shared" si="3"/>
        <v>20</v>
      </c>
      <c r="B30" s="149" t="s">
        <v>273</v>
      </c>
      <c r="C30" s="13">
        <v>1</v>
      </c>
      <c r="D30" s="13" t="s">
        <v>5</v>
      </c>
      <c r="E30" s="150">
        <v>3540</v>
      </c>
      <c r="F30" s="130">
        <f t="shared" si="0"/>
        <v>3540</v>
      </c>
      <c r="G30" s="13" t="s">
        <v>379</v>
      </c>
      <c r="H30" s="136"/>
      <c r="I30" s="136"/>
      <c r="J30" s="13">
        <v>1</v>
      </c>
      <c r="K30" s="13">
        <v>0</v>
      </c>
      <c r="L30" s="190"/>
      <c r="M30" s="205"/>
      <c r="N30" s="244">
        <f t="shared" si="1"/>
        <v>1</v>
      </c>
      <c r="Q30" s="13">
        <v>1</v>
      </c>
      <c r="R30" s="13">
        <v>1</v>
      </c>
      <c r="S30" s="13">
        <v>0</v>
      </c>
      <c r="T30" s="13"/>
      <c r="U30" s="13"/>
      <c r="V30" s="13">
        <f t="shared" si="2"/>
        <v>1</v>
      </c>
    </row>
    <row r="31" spans="1:22" s="147" customFormat="1" ht="24" x14ac:dyDescent="0.25">
      <c r="A31" s="5">
        <f t="shared" si="3"/>
        <v>21</v>
      </c>
      <c r="B31" s="149" t="s">
        <v>377</v>
      </c>
      <c r="C31" s="13">
        <v>2</v>
      </c>
      <c r="D31" s="13" t="s">
        <v>5</v>
      </c>
      <c r="E31" s="150">
        <v>68948.58</v>
      </c>
      <c r="F31" s="130">
        <f t="shared" si="0"/>
        <v>137897.16</v>
      </c>
      <c r="G31" s="13" t="s">
        <v>379</v>
      </c>
      <c r="H31" s="136"/>
      <c r="I31" s="136"/>
      <c r="J31" s="13">
        <v>2</v>
      </c>
      <c r="K31" s="13">
        <v>0</v>
      </c>
      <c r="L31" s="190"/>
      <c r="M31" s="205"/>
      <c r="N31" s="244">
        <f t="shared" si="1"/>
        <v>2</v>
      </c>
      <c r="Q31" s="13">
        <v>2</v>
      </c>
      <c r="R31" s="13">
        <v>2</v>
      </c>
      <c r="S31" s="13">
        <v>0</v>
      </c>
      <c r="T31" s="13"/>
      <c r="U31" s="13"/>
      <c r="V31" s="13">
        <f t="shared" si="2"/>
        <v>2</v>
      </c>
    </row>
    <row r="32" spans="1:22" s="147" customFormat="1" ht="36" x14ac:dyDescent="0.25">
      <c r="A32" s="5">
        <v>22</v>
      </c>
      <c r="B32" s="6" t="s">
        <v>274</v>
      </c>
      <c r="C32" s="13">
        <v>300</v>
      </c>
      <c r="D32" s="13" t="s">
        <v>41</v>
      </c>
      <c r="E32" s="97">
        <v>138.65</v>
      </c>
      <c r="F32" s="130">
        <f t="shared" si="0"/>
        <v>41595</v>
      </c>
      <c r="G32" s="13" t="s">
        <v>379</v>
      </c>
      <c r="H32" s="136"/>
      <c r="I32" s="136"/>
      <c r="J32" s="13">
        <v>300</v>
      </c>
      <c r="K32" s="13">
        <v>0</v>
      </c>
      <c r="L32" s="190"/>
      <c r="M32" s="205"/>
      <c r="N32" s="244">
        <f t="shared" si="1"/>
        <v>300</v>
      </c>
      <c r="Q32" s="13">
        <v>300</v>
      </c>
      <c r="R32" s="13">
        <v>300</v>
      </c>
      <c r="S32" s="13">
        <v>0</v>
      </c>
      <c r="T32" s="13"/>
      <c r="U32" s="13"/>
      <c r="V32" s="13">
        <f t="shared" si="2"/>
        <v>300</v>
      </c>
    </row>
    <row r="33" spans="1:22" s="147" customFormat="1" ht="24" x14ac:dyDescent="0.25">
      <c r="A33" s="5">
        <f>A32+1</f>
        <v>23</v>
      </c>
      <c r="B33" s="147" t="s">
        <v>275</v>
      </c>
      <c r="C33" s="13">
        <v>120</v>
      </c>
      <c r="D33" s="13" t="s">
        <v>41</v>
      </c>
      <c r="E33" s="97">
        <v>172.87</v>
      </c>
      <c r="F33" s="130">
        <f t="shared" si="0"/>
        <v>20744.400000000001</v>
      </c>
      <c r="G33" s="13" t="s">
        <v>379</v>
      </c>
      <c r="H33" s="136"/>
      <c r="I33" s="136"/>
      <c r="J33" s="13">
        <v>120</v>
      </c>
      <c r="K33" s="13">
        <v>0</v>
      </c>
      <c r="L33" s="190"/>
      <c r="M33" s="205"/>
      <c r="N33" s="244">
        <f t="shared" si="1"/>
        <v>120</v>
      </c>
      <c r="Q33" s="13">
        <v>120</v>
      </c>
      <c r="R33" s="13">
        <v>120</v>
      </c>
      <c r="S33" s="13">
        <v>0</v>
      </c>
      <c r="T33" s="13"/>
      <c r="U33" s="13"/>
      <c r="V33" s="13">
        <f t="shared" si="2"/>
        <v>120</v>
      </c>
    </row>
    <row r="34" spans="1:22" s="147" customFormat="1" ht="24" x14ac:dyDescent="0.25">
      <c r="A34" s="5">
        <f>A33+1</f>
        <v>24</v>
      </c>
      <c r="B34" s="147" t="s">
        <v>276</v>
      </c>
      <c r="C34" s="13">
        <v>3</v>
      </c>
      <c r="D34" s="13" t="s">
        <v>5</v>
      </c>
      <c r="E34" s="97">
        <v>7237</v>
      </c>
      <c r="F34" s="130">
        <f t="shared" si="0"/>
        <v>21711</v>
      </c>
      <c r="G34" s="13" t="s">
        <v>379</v>
      </c>
      <c r="H34" s="136"/>
      <c r="I34" s="136"/>
      <c r="J34" s="13">
        <v>3</v>
      </c>
      <c r="K34" s="13">
        <v>0</v>
      </c>
      <c r="L34" s="190"/>
      <c r="M34" s="205"/>
      <c r="N34" s="244">
        <f t="shared" si="1"/>
        <v>3</v>
      </c>
      <c r="Q34" s="13">
        <v>3</v>
      </c>
      <c r="R34" s="13">
        <v>3</v>
      </c>
      <c r="S34" s="13">
        <v>0</v>
      </c>
      <c r="T34" s="13"/>
      <c r="U34" s="13"/>
      <c r="V34" s="13">
        <f t="shared" si="2"/>
        <v>3</v>
      </c>
    </row>
    <row r="35" spans="1:22" s="147" customFormat="1" ht="24" x14ac:dyDescent="0.25">
      <c r="A35" s="5">
        <f>A34+1</f>
        <v>25</v>
      </c>
      <c r="B35" s="147" t="s">
        <v>277</v>
      </c>
      <c r="C35" s="13">
        <v>3</v>
      </c>
      <c r="D35" s="13" t="s">
        <v>5</v>
      </c>
      <c r="E35" s="97">
        <v>9521</v>
      </c>
      <c r="F35" s="130">
        <f t="shared" si="0"/>
        <v>28563</v>
      </c>
      <c r="G35" s="13" t="s">
        <v>379</v>
      </c>
      <c r="H35" s="136"/>
      <c r="I35" s="136"/>
      <c r="J35" s="13">
        <v>3</v>
      </c>
      <c r="K35" s="13">
        <v>0</v>
      </c>
      <c r="L35" s="190"/>
      <c r="M35" s="205"/>
      <c r="N35" s="244">
        <f t="shared" si="1"/>
        <v>3</v>
      </c>
      <c r="Q35" s="13">
        <v>3</v>
      </c>
      <c r="R35" s="13">
        <v>3</v>
      </c>
      <c r="S35" s="13">
        <v>0</v>
      </c>
      <c r="T35" s="13"/>
      <c r="U35" s="13"/>
      <c r="V35" s="13">
        <f t="shared" si="2"/>
        <v>3</v>
      </c>
    </row>
    <row r="36" spans="1:22" s="147" customFormat="1" ht="36" x14ac:dyDescent="0.25">
      <c r="A36" s="5">
        <f>A35+1</f>
        <v>26</v>
      </c>
      <c r="B36" s="129" t="s">
        <v>278</v>
      </c>
      <c r="C36" s="13">
        <v>4</v>
      </c>
      <c r="D36" s="13" t="s">
        <v>5</v>
      </c>
      <c r="E36" s="97">
        <v>1180</v>
      </c>
      <c r="F36" s="130">
        <f t="shared" si="0"/>
        <v>4720</v>
      </c>
      <c r="G36" s="13" t="s">
        <v>379</v>
      </c>
      <c r="H36" s="136"/>
      <c r="I36" s="136"/>
      <c r="J36" s="13">
        <v>4</v>
      </c>
      <c r="K36" s="13">
        <v>0</v>
      </c>
      <c r="L36" s="190"/>
      <c r="M36" s="205"/>
      <c r="N36" s="244">
        <f t="shared" si="1"/>
        <v>4</v>
      </c>
      <c r="O36" s="144"/>
      <c r="Q36" s="13">
        <v>4</v>
      </c>
      <c r="R36" s="13">
        <v>4</v>
      </c>
      <c r="S36" s="13">
        <v>0</v>
      </c>
      <c r="T36" s="13"/>
      <c r="U36" s="13"/>
      <c r="V36" s="13">
        <f t="shared" si="2"/>
        <v>4</v>
      </c>
    </row>
    <row r="37" spans="1:22" s="144" customFormat="1" ht="24" x14ac:dyDescent="0.25">
      <c r="A37" s="5">
        <v>27</v>
      </c>
      <c r="B37" s="129" t="s">
        <v>279</v>
      </c>
      <c r="C37" s="5">
        <v>1</v>
      </c>
      <c r="D37" s="5" t="s">
        <v>5</v>
      </c>
      <c r="E37" s="106">
        <v>37760</v>
      </c>
      <c r="F37" s="130">
        <f t="shared" si="0"/>
        <v>37760</v>
      </c>
      <c r="G37" s="13" t="s">
        <v>379</v>
      </c>
      <c r="H37" s="136"/>
      <c r="I37" s="136"/>
      <c r="J37" s="13">
        <v>1</v>
      </c>
      <c r="K37" s="13">
        <v>0</v>
      </c>
      <c r="L37" s="190"/>
      <c r="M37" s="205"/>
      <c r="N37" s="244">
        <f t="shared" si="1"/>
        <v>1</v>
      </c>
      <c r="Q37" s="5">
        <v>1</v>
      </c>
      <c r="R37" s="13">
        <v>1</v>
      </c>
      <c r="S37" s="13">
        <v>0</v>
      </c>
      <c r="T37" s="13"/>
      <c r="U37" s="13"/>
      <c r="V37" s="5">
        <f t="shared" si="2"/>
        <v>1</v>
      </c>
    </row>
    <row r="38" spans="1:22" s="144" customFormat="1" ht="24" x14ac:dyDescent="0.25">
      <c r="A38" s="5">
        <f>A37+1</f>
        <v>28</v>
      </c>
      <c r="B38" s="129" t="s">
        <v>280</v>
      </c>
      <c r="C38" s="5">
        <v>1</v>
      </c>
      <c r="D38" s="5" t="s">
        <v>5</v>
      </c>
      <c r="E38" s="151">
        <v>144550</v>
      </c>
      <c r="F38" s="130">
        <f t="shared" si="0"/>
        <v>144550</v>
      </c>
      <c r="G38" s="13" t="s">
        <v>379</v>
      </c>
      <c r="H38" s="136"/>
      <c r="I38" s="136"/>
      <c r="J38" s="13">
        <v>1</v>
      </c>
      <c r="K38" s="13">
        <v>0</v>
      </c>
      <c r="L38" s="190"/>
      <c r="M38" s="205"/>
      <c r="N38" s="244">
        <f t="shared" si="1"/>
        <v>1</v>
      </c>
      <c r="Q38" s="5">
        <v>1</v>
      </c>
      <c r="R38" s="13">
        <v>1</v>
      </c>
      <c r="S38" s="13">
        <v>0</v>
      </c>
      <c r="T38" s="13"/>
      <c r="U38" s="13"/>
      <c r="V38" s="5">
        <f t="shared" si="2"/>
        <v>1</v>
      </c>
    </row>
    <row r="39" spans="1:22" s="144" customFormat="1" ht="72" x14ac:dyDescent="0.25">
      <c r="A39" s="5">
        <v>29</v>
      </c>
      <c r="B39" s="129" t="s">
        <v>281</v>
      </c>
      <c r="C39" s="5">
        <v>1</v>
      </c>
      <c r="D39" s="5" t="s">
        <v>282</v>
      </c>
      <c r="E39" s="7">
        <v>236000</v>
      </c>
      <c r="F39" s="130">
        <f t="shared" si="0"/>
        <v>236000</v>
      </c>
      <c r="G39" s="13" t="s">
        <v>379</v>
      </c>
      <c r="H39" s="136"/>
      <c r="I39" s="136"/>
      <c r="J39" s="13">
        <v>1</v>
      </c>
      <c r="K39" s="13">
        <v>0</v>
      </c>
      <c r="L39" s="190"/>
      <c r="M39" s="205"/>
      <c r="N39" s="244">
        <f t="shared" si="1"/>
        <v>1</v>
      </c>
      <c r="O39" s="14"/>
      <c r="Q39" s="5">
        <v>1</v>
      </c>
      <c r="R39" s="13">
        <v>1</v>
      </c>
      <c r="S39" s="13">
        <v>0</v>
      </c>
      <c r="T39" s="13"/>
      <c r="U39" s="13"/>
      <c r="V39" s="5">
        <f t="shared" si="2"/>
        <v>1</v>
      </c>
    </row>
    <row r="40" spans="1:22" s="14" customFormat="1" ht="48" x14ac:dyDescent="0.25">
      <c r="A40" s="5">
        <v>30</v>
      </c>
      <c r="B40" s="129" t="s">
        <v>67</v>
      </c>
      <c r="C40" s="5">
        <v>166</v>
      </c>
      <c r="D40" s="5" t="s">
        <v>178</v>
      </c>
      <c r="E40" s="13">
        <v>1480</v>
      </c>
      <c r="F40" s="130">
        <f t="shared" si="0"/>
        <v>245680</v>
      </c>
      <c r="G40" s="13" t="s">
        <v>379</v>
      </c>
      <c r="H40" s="136"/>
      <c r="I40" s="136"/>
      <c r="J40" s="72">
        <v>50</v>
      </c>
      <c r="K40" s="72">
        <v>0</v>
      </c>
      <c r="L40" s="190">
        <v>100</v>
      </c>
      <c r="M40" s="205">
        <v>16</v>
      </c>
      <c r="N40" s="244">
        <f t="shared" si="1"/>
        <v>166</v>
      </c>
      <c r="Q40" s="5">
        <v>166</v>
      </c>
      <c r="R40" s="13">
        <v>50</v>
      </c>
      <c r="S40" s="13">
        <v>0</v>
      </c>
      <c r="T40" s="13">
        <v>100</v>
      </c>
      <c r="U40" s="13">
        <v>16</v>
      </c>
      <c r="V40" s="5">
        <f t="shared" si="2"/>
        <v>166</v>
      </c>
    </row>
    <row r="41" spans="1:22" s="250" customFormat="1" ht="48" x14ac:dyDescent="0.2">
      <c r="A41" s="182">
        <v>31</v>
      </c>
      <c r="B41" s="249" t="s">
        <v>283</v>
      </c>
      <c r="C41" s="182">
        <v>10</v>
      </c>
      <c r="D41" s="182" t="s">
        <v>5</v>
      </c>
      <c r="E41" s="182">
        <v>69390</v>
      </c>
      <c r="F41" s="185">
        <f t="shared" si="0"/>
        <v>693900</v>
      </c>
      <c r="G41" s="184" t="s">
        <v>379</v>
      </c>
      <c r="H41" s="187"/>
      <c r="I41" s="187"/>
      <c r="J41" s="184">
        <v>4</v>
      </c>
      <c r="K41" s="184">
        <v>0</v>
      </c>
      <c r="L41" s="184"/>
      <c r="M41" s="184"/>
      <c r="N41" s="185">
        <f t="shared" si="1"/>
        <v>4</v>
      </c>
      <c r="O41" s="188"/>
      <c r="Q41" s="182">
        <v>4</v>
      </c>
      <c r="R41" s="184">
        <v>4</v>
      </c>
      <c r="S41" s="184">
        <v>0</v>
      </c>
      <c r="T41" s="184"/>
      <c r="U41" s="184"/>
      <c r="V41" s="182">
        <f t="shared" si="2"/>
        <v>4</v>
      </c>
    </row>
    <row r="42" spans="1:22" ht="36" x14ac:dyDescent="0.2">
      <c r="A42" s="5">
        <v>32</v>
      </c>
      <c r="B42" s="129" t="s">
        <v>284</v>
      </c>
      <c r="C42" s="5">
        <v>1</v>
      </c>
      <c r="D42" s="5" t="s">
        <v>5</v>
      </c>
      <c r="E42" s="153">
        <v>41300</v>
      </c>
      <c r="F42" s="130">
        <f t="shared" si="0"/>
        <v>41300</v>
      </c>
      <c r="G42" s="13" t="s">
        <v>379</v>
      </c>
      <c r="H42" s="136"/>
      <c r="I42" s="136"/>
      <c r="J42" s="5">
        <v>0</v>
      </c>
      <c r="K42" s="5">
        <v>1</v>
      </c>
      <c r="N42" s="244">
        <f t="shared" si="1"/>
        <v>1</v>
      </c>
      <c r="Q42" s="5">
        <v>1</v>
      </c>
      <c r="R42" s="5">
        <v>0</v>
      </c>
      <c r="S42" s="5">
        <v>1</v>
      </c>
      <c r="V42" s="5">
        <f t="shared" si="2"/>
        <v>1</v>
      </c>
    </row>
    <row r="43" spans="1:22" ht="24" x14ac:dyDescent="0.2">
      <c r="A43" s="5">
        <f t="shared" ref="A43:A57" si="4">A42+1</f>
        <v>33</v>
      </c>
      <c r="B43" s="129" t="s">
        <v>285</v>
      </c>
      <c r="C43" s="5">
        <v>1</v>
      </c>
      <c r="D43" s="5" t="s">
        <v>5</v>
      </c>
      <c r="E43" s="153">
        <v>6637.5</v>
      </c>
      <c r="F43" s="130">
        <f t="shared" ref="F43:F63" si="5">C43*E43</f>
        <v>6637.5</v>
      </c>
      <c r="G43" s="13" t="s">
        <v>379</v>
      </c>
      <c r="H43" s="136"/>
      <c r="I43" s="136"/>
      <c r="J43" s="5">
        <v>0</v>
      </c>
      <c r="K43" s="5">
        <v>1</v>
      </c>
      <c r="N43" s="244">
        <f t="shared" si="1"/>
        <v>1</v>
      </c>
      <c r="Q43" s="5">
        <v>1</v>
      </c>
      <c r="R43" s="5">
        <v>0</v>
      </c>
      <c r="S43" s="5">
        <v>1</v>
      </c>
      <c r="V43" s="5">
        <f t="shared" si="2"/>
        <v>1</v>
      </c>
    </row>
    <row r="44" spans="1:22" ht="24" x14ac:dyDescent="0.2">
      <c r="A44" s="5">
        <f t="shared" si="4"/>
        <v>34</v>
      </c>
      <c r="B44" s="129" t="s">
        <v>286</v>
      </c>
      <c r="C44" s="5">
        <v>1</v>
      </c>
      <c r="D44" s="5" t="s">
        <v>5</v>
      </c>
      <c r="E44" s="153">
        <v>27582.5</v>
      </c>
      <c r="F44" s="130">
        <f t="shared" si="5"/>
        <v>27582.5</v>
      </c>
      <c r="G44" s="13" t="s">
        <v>379</v>
      </c>
      <c r="H44" s="136"/>
      <c r="I44" s="136"/>
      <c r="J44" s="5">
        <v>0</v>
      </c>
      <c r="K44" s="5">
        <v>1</v>
      </c>
      <c r="N44" s="244">
        <f t="shared" si="1"/>
        <v>1</v>
      </c>
      <c r="Q44" s="5">
        <v>1</v>
      </c>
      <c r="R44" s="5">
        <v>0</v>
      </c>
      <c r="S44" s="5">
        <v>1</v>
      </c>
      <c r="V44" s="5">
        <f t="shared" si="2"/>
        <v>1</v>
      </c>
    </row>
    <row r="45" spans="1:22" ht="24" x14ac:dyDescent="0.2">
      <c r="A45" s="5">
        <f t="shared" si="4"/>
        <v>35</v>
      </c>
      <c r="B45" s="129" t="s">
        <v>287</v>
      </c>
      <c r="C45" s="5">
        <v>2</v>
      </c>
      <c r="D45" s="5" t="s">
        <v>5</v>
      </c>
      <c r="E45" s="154">
        <v>144550</v>
      </c>
      <c r="F45" s="130">
        <f t="shared" si="5"/>
        <v>289100</v>
      </c>
      <c r="G45" s="13" t="s">
        <v>379</v>
      </c>
      <c r="H45" s="136"/>
      <c r="I45" s="136"/>
      <c r="J45" s="5">
        <v>0</v>
      </c>
      <c r="K45" s="5">
        <v>2</v>
      </c>
      <c r="N45" s="244">
        <f t="shared" si="1"/>
        <v>2</v>
      </c>
      <c r="Q45" s="5">
        <v>2</v>
      </c>
      <c r="R45" s="5">
        <v>0</v>
      </c>
      <c r="S45" s="5">
        <v>2</v>
      </c>
      <c r="V45" s="5">
        <f t="shared" si="2"/>
        <v>2</v>
      </c>
    </row>
    <row r="46" spans="1:22" ht="36" x14ac:dyDescent="0.2">
      <c r="A46" s="5">
        <v>36</v>
      </c>
      <c r="B46" s="129" t="s">
        <v>288</v>
      </c>
      <c r="C46" s="5">
        <v>1</v>
      </c>
      <c r="D46" s="5" t="s">
        <v>5</v>
      </c>
      <c r="E46" s="154">
        <v>142662</v>
      </c>
      <c r="F46" s="130">
        <f t="shared" si="5"/>
        <v>142662</v>
      </c>
      <c r="G46" s="13" t="s">
        <v>379</v>
      </c>
      <c r="H46" s="136"/>
      <c r="I46" s="136"/>
      <c r="J46" s="5">
        <v>0</v>
      </c>
      <c r="K46" s="5">
        <v>1</v>
      </c>
      <c r="N46" s="244">
        <f t="shared" si="1"/>
        <v>1</v>
      </c>
      <c r="Q46" s="5">
        <v>1</v>
      </c>
      <c r="R46" s="5">
        <v>0</v>
      </c>
      <c r="S46" s="5">
        <v>1</v>
      </c>
      <c r="V46" s="5">
        <f t="shared" si="2"/>
        <v>1</v>
      </c>
    </row>
    <row r="47" spans="1:22" ht="48" x14ac:dyDescent="0.2">
      <c r="A47" s="5">
        <f t="shared" si="4"/>
        <v>37</v>
      </c>
      <c r="B47" s="129" t="s">
        <v>289</v>
      </c>
      <c r="C47" s="5">
        <v>1</v>
      </c>
      <c r="D47" s="5" t="s">
        <v>5</v>
      </c>
      <c r="E47" s="153">
        <v>28072.2</v>
      </c>
      <c r="F47" s="130">
        <f t="shared" si="5"/>
        <v>28072.2</v>
      </c>
      <c r="G47" s="13" t="s">
        <v>379</v>
      </c>
      <c r="H47" s="136"/>
      <c r="I47" s="136"/>
      <c r="J47" s="5">
        <v>0</v>
      </c>
      <c r="K47" s="5">
        <v>1</v>
      </c>
      <c r="N47" s="244">
        <f t="shared" si="1"/>
        <v>1</v>
      </c>
      <c r="Q47" s="5">
        <v>1</v>
      </c>
      <c r="R47" s="5">
        <v>0</v>
      </c>
      <c r="S47" s="5">
        <v>1</v>
      </c>
      <c r="V47" s="5">
        <f t="shared" si="2"/>
        <v>1</v>
      </c>
    </row>
    <row r="48" spans="1:22" ht="36" x14ac:dyDescent="0.2">
      <c r="A48" s="5">
        <f t="shared" si="4"/>
        <v>38</v>
      </c>
      <c r="B48" s="129" t="s">
        <v>290</v>
      </c>
      <c r="C48" s="5">
        <v>1</v>
      </c>
      <c r="D48" s="5" t="s">
        <v>291</v>
      </c>
      <c r="E48" s="153">
        <v>87025</v>
      </c>
      <c r="F48" s="130">
        <f t="shared" si="5"/>
        <v>87025</v>
      </c>
      <c r="G48" s="13" t="s">
        <v>379</v>
      </c>
      <c r="H48" s="136"/>
      <c r="I48" s="136"/>
      <c r="J48" s="5">
        <v>0</v>
      </c>
      <c r="K48" s="5">
        <v>1</v>
      </c>
      <c r="N48" s="244">
        <f t="shared" si="1"/>
        <v>1</v>
      </c>
      <c r="Q48" s="5">
        <v>1</v>
      </c>
      <c r="R48" s="5">
        <v>0</v>
      </c>
      <c r="S48" s="5">
        <v>1</v>
      </c>
      <c r="V48" s="5">
        <f t="shared" si="2"/>
        <v>1</v>
      </c>
    </row>
    <row r="49" spans="1:22" ht="36" x14ac:dyDescent="0.2">
      <c r="A49" s="5">
        <f t="shared" si="4"/>
        <v>39</v>
      </c>
      <c r="B49" s="129" t="s">
        <v>292</v>
      </c>
      <c r="C49" s="5">
        <v>4</v>
      </c>
      <c r="D49" s="5" t="s">
        <v>291</v>
      </c>
      <c r="E49" s="153">
        <v>27287.5</v>
      </c>
      <c r="F49" s="130">
        <f t="shared" si="5"/>
        <v>109150</v>
      </c>
      <c r="G49" s="13" t="s">
        <v>379</v>
      </c>
      <c r="H49" s="136"/>
      <c r="I49" s="136"/>
      <c r="J49" s="5">
        <v>0</v>
      </c>
      <c r="K49" s="5">
        <v>4</v>
      </c>
      <c r="N49" s="244">
        <f t="shared" si="1"/>
        <v>4</v>
      </c>
      <c r="Q49" s="5">
        <v>4</v>
      </c>
      <c r="R49" s="5">
        <v>0</v>
      </c>
      <c r="S49" s="5">
        <v>4</v>
      </c>
      <c r="V49" s="5">
        <f t="shared" si="2"/>
        <v>4</v>
      </c>
    </row>
    <row r="50" spans="1:22" ht="36" x14ac:dyDescent="0.2">
      <c r="A50" s="5">
        <f t="shared" si="4"/>
        <v>40</v>
      </c>
      <c r="B50" s="129" t="s">
        <v>293</v>
      </c>
      <c r="C50" s="5">
        <v>2</v>
      </c>
      <c r="D50" s="5" t="s">
        <v>5</v>
      </c>
      <c r="E50" s="153">
        <v>230100</v>
      </c>
      <c r="F50" s="130">
        <f t="shared" si="5"/>
        <v>460200</v>
      </c>
      <c r="G50" s="13" t="s">
        <v>379</v>
      </c>
      <c r="H50" s="136"/>
      <c r="I50" s="136"/>
      <c r="J50" s="5">
        <v>0</v>
      </c>
      <c r="K50" s="5">
        <v>2</v>
      </c>
      <c r="N50" s="244">
        <f t="shared" si="1"/>
        <v>2</v>
      </c>
      <c r="Q50" s="5">
        <v>2</v>
      </c>
      <c r="R50" s="5">
        <v>0</v>
      </c>
      <c r="S50" s="5">
        <v>2</v>
      </c>
      <c r="V50" s="5">
        <f t="shared" si="2"/>
        <v>2</v>
      </c>
    </row>
    <row r="51" spans="1:22" ht="60" x14ac:dyDescent="0.2">
      <c r="A51" s="5">
        <f t="shared" si="4"/>
        <v>41</v>
      </c>
      <c r="B51" s="129" t="s">
        <v>294</v>
      </c>
      <c r="C51" s="5">
        <v>14</v>
      </c>
      <c r="D51" s="129" t="s">
        <v>5</v>
      </c>
      <c r="E51" s="155">
        <v>29990</v>
      </c>
      <c r="F51" s="130">
        <f t="shared" si="5"/>
        <v>419860</v>
      </c>
      <c r="G51" s="13" t="s">
        <v>379</v>
      </c>
      <c r="H51" s="136"/>
      <c r="I51" s="136"/>
      <c r="J51" s="13">
        <v>0</v>
      </c>
      <c r="K51" s="13">
        <v>14</v>
      </c>
      <c r="L51" s="190"/>
      <c r="M51" s="205"/>
      <c r="N51" s="244">
        <f t="shared" si="1"/>
        <v>14</v>
      </c>
      <c r="Q51" s="5">
        <v>14</v>
      </c>
      <c r="R51" s="13">
        <v>0</v>
      </c>
      <c r="S51" s="13">
        <v>14</v>
      </c>
      <c r="T51" s="13"/>
      <c r="U51" s="13"/>
      <c r="V51" s="5">
        <f t="shared" si="2"/>
        <v>14</v>
      </c>
    </row>
    <row r="52" spans="1:22" ht="108" x14ac:dyDescent="0.2">
      <c r="A52" s="5">
        <f t="shared" si="4"/>
        <v>42</v>
      </c>
      <c r="B52" s="129" t="s">
        <v>295</v>
      </c>
      <c r="C52" s="5">
        <v>2</v>
      </c>
      <c r="D52" s="129" t="s">
        <v>5</v>
      </c>
      <c r="E52" s="155">
        <v>19666</v>
      </c>
      <c r="F52" s="130">
        <f t="shared" si="5"/>
        <v>39332</v>
      </c>
      <c r="G52" s="13" t="s">
        <v>379</v>
      </c>
      <c r="H52" s="136"/>
      <c r="I52" s="136"/>
      <c r="J52" s="13">
        <v>0</v>
      </c>
      <c r="K52" s="13">
        <v>2</v>
      </c>
      <c r="L52" s="190"/>
      <c r="M52" s="205"/>
      <c r="N52" s="244">
        <f t="shared" si="1"/>
        <v>2</v>
      </c>
      <c r="Q52" s="5">
        <v>2</v>
      </c>
      <c r="R52" s="13">
        <v>0</v>
      </c>
      <c r="S52" s="13">
        <v>2</v>
      </c>
      <c r="T52" s="13"/>
      <c r="U52" s="13"/>
      <c r="V52" s="5">
        <f t="shared" si="2"/>
        <v>2</v>
      </c>
    </row>
    <row r="53" spans="1:22" ht="48" x14ac:dyDescent="0.2">
      <c r="A53" s="5">
        <f t="shared" si="4"/>
        <v>43</v>
      </c>
      <c r="B53" s="129" t="s">
        <v>296</v>
      </c>
      <c r="C53" s="5">
        <v>3</v>
      </c>
      <c r="D53" s="5" t="s">
        <v>5</v>
      </c>
      <c r="E53" s="156">
        <v>86000</v>
      </c>
      <c r="F53" s="130">
        <f t="shared" si="5"/>
        <v>258000</v>
      </c>
      <c r="G53" s="13" t="s">
        <v>379</v>
      </c>
      <c r="H53" s="136"/>
      <c r="I53" s="136"/>
      <c r="J53" s="5">
        <v>0</v>
      </c>
      <c r="K53" s="5">
        <v>3</v>
      </c>
      <c r="N53" s="244">
        <f t="shared" si="1"/>
        <v>3</v>
      </c>
      <c r="Q53" s="5">
        <v>3</v>
      </c>
      <c r="R53" s="5">
        <v>0</v>
      </c>
      <c r="S53" s="5">
        <v>3</v>
      </c>
      <c r="V53" s="5">
        <f t="shared" si="2"/>
        <v>3</v>
      </c>
    </row>
    <row r="54" spans="1:22" ht="48" x14ac:dyDescent="0.2">
      <c r="A54" s="5">
        <f t="shared" si="4"/>
        <v>44</v>
      </c>
      <c r="B54" s="129" t="s">
        <v>297</v>
      </c>
      <c r="C54" s="5">
        <v>3</v>
      </c>
      <c r="D54" s="5" t="s">
        <v>5</v>
      </c>
      <c r="E54" s="153">
        <v>21387.5</v>
      </c>
      <c r="F54" s="130">
        <f t="shared" si="5"/>
        <v>64162.5</v>
      </c>
      <c r="G54" s="13" t="s">
        <v>379</v>
      </c>
      <c r="H54" s="136"/>
      <c r="I54" s="136"/>
      <c r="J54" s="5">
        <v>0</v>
      </c>
      <c r="K54" s="5">
        <v>3</v>
      </c>
      <c r="N54" s="244">
        <f t="shared" si="1"/>
        <v>3</v>
      </c>
      <c r="Q54" s="5">
        <v>3</v>
      </c>
      <c r="R54" s="5">
        <v>0</v>
      </c>
      <c r="S54" s="5">
        <v>3</v>
      </c>
      <c r="V54" s="5">
        <f t="shared" si="2"/>
        <v>3</v>
      </c>
    </row>
    <row r="55" spans="1:22" ht="48" x14ac:dyDescent="0.2">
      <c r="A55" s="5">
        <f t="shared" si="4"/>
        <v>45</v>
      </c>
      <c r="B55" s="129" t="s">
        <v>298</v>
      </c>
      <c r="C55" s="5">
        <v>3</v>
      </c>
      <c r="D55" s="5" t="s">
        <v>5</v>
      </c>
      <c r="E55" s="153">
        <v>27287.5</v>
      </c>
      <c r="F55" s="130">
        <f t="shared" si="5"/>
        <v>81862.5</v>
      </c>
      <c r="G55" s="13" t="s">
        <v>379</v>
      </c>
      <c r="H55" s="136"/>
      <c r="I55" s="136"/>
      <c r="J55" s="5">
        <v>0</v>
      </c>
      <c r="K55" s="5">
        <v>3</v>
      </c>
      <c r="N55" s="244">
        <f t="shared" si="1"/>
        <v>3</v>
      </c>
      <c r="Q55" s="5">
        <v>3</v>
      </c>
      <c r="R55" s="5">
        <v>0</v>
      </c>
      <c r="S55" s="5">
        <v>3</v>
      </c>
      <c r="V55" s="5">
        <f t="shared" si="2"/>
        <v>3</v>
      </c>
    </row>
    <row r="56" spans="1:22" ht="36" x14ac:dyDescent="0.2">
      <c r="A56" s="5">
        <f t="shared" si="4"/>
        <v>46</v>
      </c>
      <c r="B56" s="129" t="s">
        <v>299</v>
      </c>
      <c r="C56" s="5">
        <v>2</v>
      </c>
      <c r="D56" s="5" t="s">
        <v>5</v>
      </c>
      <c r="E56" s="153">
        <v>369576</v>
      </c>
      <c r="F56" s="130">
        <f t="shared" si="5"/>
        <v>739152</v>
      </c>
      <c r="G56" s="13" t="s">
        <v>379</v>
      </c>
      <c r="H56" s="136"/>
      <c r="I56" s="136"/>
      <c r="J56" s="5">
        <v>0</v>
      </c>
      <c r="K56" s="5">
        <v>2</v>
      </c>
      <c r="N56" s="244">
        <f t="shared" si="1"/>
        <v>2</v>
      </c>
      <c r="Q56" s="5">
        <v>2</v>
      </c>
      <c r="R56" s="5">
        <v>0</v>
      </c>
      <c r="S56" s="5">
        <v>2</v>
      </c>
      <c r="V56" s="5">
        <f t="shared" si="2"/>
        <v>2</v>
      </c>
    </row>
    <row r="57" spans="1:22" ht="36" x14ac:dyDescent="0.2">
      <c r="A57" s="5">
        <f t="shared" si="4"/>
        <v>47</v>
      </c>
      <c r="B57" s="129" t="s">
        <v>300</v>
      </c>
      <c r="C57" s="5">
        <v>1</v>
      </c>
      <c r="D57" s="5" t="s">
        <v>5</v>
      </c>
      <c r="E57" s="153">
        <v>204140</v>
      </c>
      <c r="F57" s="130">
        <f t="shared" si="5"/>
        <v>204140</v>
      </c>
      <c r="G57" s="13" t="s">
        <v>379</v>
      </c>
      <c r="H57" s="136"/>
      <c r="I57" s="136"/>
      <c r="J57" s="5">
        <v>0</v>
      </c>
      <c r="K57" s="5">
        <v>1</v>
      </c>
      <c r="N57" s="244">
        <f t="shared" si="1"/>
        <v>1</v>
      </c>
      <c r="Q57" s="5">
        <v>1</v>
      </c>
      <c r="R57" s="5">
        <v>0</v>
      </c>
      <c r="S57" s="5">
        <v>1</v>
      </c>
      <c r="V57" s="5">
        <f t="shared" si="2"/>
        <v>1</v>
      </c>
    </row>
    <row r="58" spans="1:22" ht="36" x14ac:dyDescent="0.2">
      <c r="A58" s="5">
        <v>48</v>
      </c>
      <c r="B58" s="129" t="s">
        <v>301</v>
      </c>
      <c r="C58" s="5">
        <v>1</v>
      </c>
      <c r="D58" s="5" t="s">
        <v>302</v>
      </c>
      <c r="E58" s="153">
        <v>54280</v>
      </c>
      <c r="F58" s="130">
        <f t="shared" si="5"/>
        <v>54280</v>
      </c>
      <c r="G58" s="13" t="s">
        <v>379</v>
      </c>
      <c r="H58" s="136"/>
      <c r="I58" s="136"/>
      <c r="J58" s="5">
        <v>0</v>
      </c>
      <c r="K58" s="5">
        <v>1</v>
      </c>
      <c r="N58" s="244">
        <f t="shared" si="1"/>
        <v>1</v>
      </c>
      <c r="Q58" s="5">
        <v>1</v>
      </c>
      <c r="R58" s="5">
        <v>0</v>
      </c>
      <c r="S58" s="5">
        <v>1</v>
      </c>
      <c r="V58" s="5">
        <f t="shared" si="2"/>
        <v>1</v>
      </c>
    </row>
    <row r="59" spans="1:22" ht="36" x14ac:dyDescent="0.2">
      <c r="A59" s="5">
        <f>A58+1</f>
        <v>49</v>
      </c>
      <c r="B59" s="129" t="s">
        <v>303</v>
      </c>
      <c r="C59" s="5">
        <v>4</v>
      </c>
      <c r="D59" s="5" t="s">
        <v>5</v>
      </c>
      <c r="E59" s="153">
        <v>16189.599999999999</v>
      </c>
      <c r="F59" s="130">
        <f t="shared" si="5"/>
        <v>64758.399999999994</v>
      </c>
      <c r="G59" s="13" t="s">
        <v>379</v>
      </c>
      <c r="H59" s="136"/>
      <c r="I59" s="136"/>
      <c r="J59" s="5">
        <v>0</v>
      </c>
      <c r="K59" s="5">
        <v>4</v>
      </c>
      <c r="N59" s="244">
        <f t="shared" si="1"/>
        <v>4</v>
      </c>
      <c r="Q59" s="5">
        <v>4</v>
      </c>
      <c r="R59" s="5">
        <v>0</v>
      </c>
      <c r="S59" s="5">
        <v>4</v>
      </c>
      <c r="V59" s="5">
        <f t="shared" si="2"/>
        <v>4</v>
      </c>
    </row>
    <row r="60" spans="1:22" x14ac:dyDescent="0.2">
      <c r="A60" s="5">
        <f>A59+1</f>
        <v>50</v>
      </c>
      <c r="B60" s="129" t="s">
        <v>304</v>
      </c>
      <c r="C60" s="5">
        <v>100</v>
      </c>
      <c r="D60" s="5" t="s">
        <v>4</v>
      </c>
      <c r="E60" s="153">
        <v>49.559999999999995</v>
      </c>
      <c r="F60" s="130">
        <f t="shared" si="5"/>
        <v>4955.9999999999991</v>
      </c>
      <c r="G60" s="13" t="s">
        <v>379</v>
      </c>
      <c r="H60" s="136"/>
      <c r="I60" s="136"/>
      <c r="J60" s="5">
        <v>0</v>
      </c>
      <c r="K60" s="5">
        <v>100</v>
      </c>
      <c r="N60" s="244">
        <f t="shared" si="1"/>
        <v>100</v>
      </c>
      <c r="O60" s="6"/>
      <c r="Q60" s="5">
        <v>100</v>
      </c>
      <c r="R60" s="5">
        <v>0</v>
      </c>
      <c r="S60" s="5">
        <v>100</v>
      </c>
      <c r="V60" s="5">
        <f t="shared" si="2"/>
        <v>100</v>
      </c>
    </row>
    <row r="61" spans="1:22" s="6" customFormat="1" ht="60" x14ac:dyDescent="0.2">
      <c r="A61" s="5">
        <v>51</v>
      </c>
      <c r="B61" s="129" t="s">
        <v>372</v>
      </c>
      <c r="C61" s="13">
        <v>1</v>
      </c>
      <c r="D61" s="97" t="s">
        <v>5</v>
      </c>
      <c r="E61" s="157">
        <v>140000</v>
      </c>
      <c r="F61" s="130">
        <f t="shared" si="5"/>
        <v>140000</v>
      </c>
      <c r="G61" s="13" t="s">
        <v>379</v>
      </c>
      <c r="H61" s="136"/>
      <c r="I61" s="136"/>
      <c r="J61" s="7">
        <v>0</v>
      </c>
      <c r="K61" s="7">
        <v>1</v>
      </c>
      <c r="L61" s="200"/>
      <c r="M61" s="216"/>
      <c r="N61" s="244">
        <f t="shared" si="1"/>
        <v>1</v>
      </c>
      <c r="O61" s="8"/>
      <c r="Q61" s="13">
        <v>1</v>
      </c>
      <c r="R61" s="7">
        <v>0</v>
      </c>
      <c r="S61" s="7">
        <v>1</v>
      </c>
      <c r="T61" s="7"/>
      <c r="U61" s="7"/>
      <c r="V61" s="13">
        <f t="shared" si="2"/>
        <v>1</v>
      </c>
    </row>
    <row r="62" spans="1:22" ht="36" x14ac:dyDescent="0.2">
      <c r="A62" s="5">
        <f>A61+1</f>
        <v>52</v>
      </c>
      <c r="B62" s="6" t="s">
        <v>305</v>
      </c>
      <c r="C62" s="5">
        <v>1</v>
      </c>
      <c r="D62" s="97" t="s">
        <v>302</v>
      </c>
      <c r="E62" s="157">
        <v>153400</v>
      </c>
      <c r="F62" s="130">
        <f t="shared" si="5"/>
        <v>153400</v>
      </c>
      <c r="G62" s="13" t="s">
        <v>379</v>
      </c>
      <c r="H62" s="136"/>
      <c r="I62" s="136"/>
      <c r="J62" s="97">
        <v>0</v>
      </c>
      <c r="K62" s="7">
        <v>1</v>
      </c>
      <c r="L62" s="200"/>
      <c r="M62" s="216"/>
      <c r="N62" s="244">
        <f t="shared" si="1"/>
        <v>1</v>
      </c>
      <c r="Q62" s="5">
        <v>1</v>
      </c>
      <c r="R62" s="97">
        <v>0</v>
      </c>
      <c r="S62" s="7">
        <v>1</v>
      </c>
      <c r="T62" s="7"/>
      <c r="U62" s="7"/>
      <c r="V62" s="5">
        <f t="shared" si="2"/>
        <v>1</v>
      </c>
    </row>
    <row r="63" spans="1:22" s="196" customFormat="1" ht="36" x14ac:dyDescent="0.2">
      <c r="A63" s="192">
        <v>53</v>
      </c>
      <c r="B63" s="191" t="s">
        <v>306</v>
      </c>
      <c r="C63" s="192">
        <v>0</v>
      </c>
      <c r="D63" s="192" t="s">
        <v>2</v>
      </c>
      <c r="E63" s="260">
        <v>23712</v>
      </c>
      <c r="F63" s="193">
        <f t="shared" si="5"/>
        <v>0</v>
      </c>
      <c r="G63" s="190" t="s">
        <v>379</v>
      </c>
      <c r="H63" s="194"/>
      <c r="I63" s="194"/>
      <c r="J63" s="192">
        <v>0</v>
      </c>
      <c r="K63" s="192">
        <v>2</v>
      </c>
      <c r="L63" s="192"/>
      <c r="M63" s="192"/>
      <c r="N63" s="193">
        <f t="shared" si="1"/>
        <v>2</v>
      </c>
      <c r="O63" s="203">
        <f>F63-N63</f>
        <v>-2</v>
      </c>
      <c r="Q63" s="192">
        <v>2</v>
      </c>
      <c r="R63" s="192">
        <v>0</v>
      </c>
      <c r="S63" s="192">
        <v>2</v>
      </c>
      <c r="T63" s="192"/>
      <c r="U63" s="192"/>
      <c r="V63" s="192">
        <f t="shared" si="2"/>
        <v>2</v>
      </c>
    </row>
    <row r="64" spans="1:22" s="196" customFormat="1" ht="140.25" x14ac:dyDescent="0.2">
      <c r="A64" s="190">
        <v>40</v>
      </c>
      <c r="B64" s="261" t="s">
        <v>391</v>
      </c>
      <c r="C64" s="192">
        <v>0</v>
      </c>
      <c r="D64" s="190" t="s">
        <v>5</v>
      </c>
      <c r="E64" s="259">
        <v>20250</v>
      </c>
      <c r="F64" s="193">
        <f>C64*E64</f>
        <v>0</v>
      </c>
      <c r="G64" s="190" t="s">
        <v>379</v>
      </c>
      <c r="H64" s="192"/>
      <c r="I64" s="194"/>
      <c r="J64" s="190"/>
      <c r="K64" s="190"/>
      <c r="L64" s="190"/>
      <c r="M64" s="190">
        <v>2</v>
      </c>
      <c r="N64" s="193">
        <f>J64+K64+L64+M64</f>
        <v>2</v>
      </c>
      <c r="O64" s="195"/>
      <c r="Q64" s="192">
        <v>2</v>
      </c>
      <c r="R64" s="190"/>
      <c r="S64" s="190"/>
      <c r="T64" s="190"/>
      <c r="U64" s="190">
        <v>2</v>
      </c>
      <c r="V64" s="192">
        <f>R64+S64+T64+U64</f>
        <v>2</v>
      </c>
    </row>
    <row r="65" spans="1:22" s="252" customFormat="1" ht="140.25" x14ac:dyDescent="0.2">
      <c r="A65" s="192">
        <f>A85+1</f>
        <v>15</v>
      </c>
      <c r="B65" s="261" t="s">
        <v>391</v>
      </c>
      <c r="C65" s="192">
        <v>6</v>
      </c>
      <c r="D65" s="190" t="s">
        <v>178</v>
      </c>
      <c r="E65" s="253">
        <v>15443</v>
      </c>
      <c r="F65" s="193">
        <f>C65*E65</f>
        <v>92658</v>
      </c>
      <c r="G65" s="190" t="s">
        <v>379</v>
      </c>
      <c r="H65" s="194"/>
      <c r="I65" s="194"/>
      <c r="J65" s="190">
        <v>2</v>
      </c>
      <c r="K65" s="190">
        <v>0</v>
      </c>
      <c r="L65" s="190"/>
      <c r="M65" s="190"/>
      <c r="N65" s="193">
        <f>J65+K65+L65+M65</f>
        <v>2</v>
      </c>
      <c r="O65" s="196"/>
      <c r="Q65" s="192">
        <v>2</v>
      </c>
      <c r="R65" s="190">
        <v>2</v>
      </c>
      <c r="S65" s="190">
        <v>0</v>
      </c>
      <c r="T65" s="190"/>
      <c r="U65" s="190"/>
      <c r="V65" s="192">
        <f>R65+S65+T65+U65</f>
        <v>2</v>
      </c>
    </row>
    <row r="66" spans="1:22" s="188" customFormat="1" ht="48" x14ac:dyDescent="0.2">
      <c r="A66" s="5">
        <f>A63+1</f>
        <v>54</v>
      </c>
      <c r="B66" s="71" t="s">
        <v>385</v>
      </c>
      <c r="C66" s="182">
        <v>3</v>
      </c>
      <c r="D66" s="182" t="s">
        <v>1</v>
      </c>
      <c r="E66" s="182">
        <v>83200</v>
      </c>
      <c r="F66" s="185">
        <f>C66*E66</f>
        <v>249600</v>
      </c>
      <c r="G66" s="184" t="s">
        <v>379</v>
      </c>
      <c r="H66" s="187"/>
      <c r="I66" s="187"/>
      <c r="J66" s="184"/>
      <c r="K66" s="184"/>
      <c r="L66" s="184">
        <v>3</v>
      </c>
      <c r="M66" s="184"/>
      <c r="N66" s="185">
        <f>J66+K66+L66+M66</f>
        <v>3</v>
      </c>
      <c r="O66" s="248"/>
      <c r="Q66" s="182">
        <v>3</v>
      </c>
      <c r="R66" s="184"/>
      <c r="S66" s="184"/>
      <c r="T66" s="184">
        <v>3</v>
      </c>
      <c r="U66" s="184"/>
      <c r="V66" s="182">
        <f>R66+S66+T66+U66</f>
        <v>3</v>
      </c>
    </row>
    <row r="67" spans="1:22" ht="60.75" customHeight="1" x14ac:dyDescent="0.2">
      <c r="A67" s="13">
        <v>11</v>
      </c>
      <c r="B67" s="129" t="s">
        <v>396</v>
      </c>
      <c r="C67" s="5">
        <v>6</v>
      </c>
      <c r="D67" s="13" t="s">
        <v>1</v>
      </c>
      <c r="E67" s="106">
        <v>80709.64</v>
      </c>
      <c r="F67" s="130">
        <f>C67*E67</f>
        <v>484257.83999999997</v>
      </c>
      <c r="G67" s="13" t="s">
        <v>379</v>
      </c>
      <c r="H67" s="13" t="s">
        <v>84</v>
      </c>
      <c r="I67" s="136"/>
      <c r="J67" s="72"/>
      <c r="K67" s="72"/>
      <c r="L67" s="190">
        <v>5</v>
      </c>
      <c r="M67" s="205">
        <v>1</v>
      </c>
      <c r="N67" s="244">
        <f>J67+K67+L67+M67</f>
        <v>6</v>
      </c>
      <c r="O67" s="141"/>
      <c r="Q67" s="5">
        <v>6</v>
      </c>
      <c r="R67" s="13"/>
      <c r="S67" s="13"/>
      <c r="T67" s="13">
        <v>5</v>
      </c>
      <c r="U67" s="13">
        <v>1</v>
      </c>
      <c r="V67" s="5">
        <f>R67+S67+T67+U67</f>
        <v>6</v>
      </c>
    </row>
    <row r="68" spans="1:22" s="145" customFormat="1" ht="12.75" thickBot="1" x14ac:dyDescent="0.25">
      <c r="A68" s="12"/>
      <c r="B68" s="9" t="s">
        <v>242</v>
      </c>
      <c r="C68" s="17"/>
      <c r="D68" s="12"/>
      <c r="E68" s="12"/>
      <c r="F68" s="165">
        <f>SUM(F11:F67)</f>
        <v>10197160.216</v>
      </c>
      <c r="G68" s="17"/>
      <c r="H68" s="82"/>
      <c r="I68" s="82"/>
      <c r="J68" s="12"/>
      <c r="K68" s="12"/>
      <c r="L68" s="197"/>
      <c r="M68" s="213"/>
      <c r="N68" s="243"/>
      <c r="O68" s="81"/>
      <c r="Q68" s="17"/>
      <c r="R68" s="12"/>
      <c r="S68" s="12"/>
      <c r="T68" s="12"/>
      <c r="U68" s="12"/>
      <c r="V68" s="17"/>
    </row>
    <row r="69" spans="1:22" s="81" customFormat="1" x14ac:dyDescent="0.2">
      <c r="A69" s="13"/>
      <c r="C69" s="13"/>
      <c r="G69" s="5"/>
      <c r="H69" s="136"/>
      <c r="I69" s="136"/>
      <c r="J69" s="6"/>
      <c r="L69" s="199"/>
      <c r="M69" s="215"/>
      <c r="N69" s="242"/>
      <c r="O69" s="128">
        <f>F69-N69</f>
        <v>0</v>
      </c>
      <c r="Q69" s="13"/>
      <c r="V69" s="13"/>
    </row>
    <row r="70" spans="1:22" s="128" customFormat="1" x14ac:dyDescent="0.25">
      <c r="A70" s="12" t="s">
        <v>243</v>
      </c>
      <c r="B70" s="131" t="s">
        <v>400</v>
      </c>
      <c r="C70" s="12"/>
      <c r="D70" s="12"/>
      <c r="E70" s="12"/>
      <c r="F70" s="12"/>
      <c r="G70" s="17"/>
      <c r="H70" s="82"/>
      <c r="I70" s="82"/>
      <c r="J70" s="12"/>
      <c r="K70" s="12"/>
      <c r="L70" s="197"/>
      <c r="M70" s="213"/>
      <c r="N70" s="243"/>
      <c r="O70" s="144"/>
      <c r="Q70" s="12"/>
      <c r="R70" s="12"/>
      <c r="S70" s="12"/>
      <c r="T70" s="12"/>
      <c r="U70" s="12"/>
      <c r="V70" s="12"/>
    </row>
    <row r="71" spans="1:22" s="252" customFormat="1" ht="60" x14ac:dyDescent="0.25">
      <c r="A71" s="192">
        <v>1</v>
      </c>
      <c r="B71" s="191" t="s">
        <v>308</v>
      </c>
      <c r="C71" s="192">
        <v>1</v>
      </c>
      <c r="D71" s="192" t="s">
        <v>309</v>
      </c>
      <c r="E71" s="251">
        <v>50995.43</v>
      </c>
      <c r="F71" s="193">
        <f t="shared" ref="F71:F119" si="6">C71*E71</f>
        <v>50995.43</v>
      </c>
      <c r="G71" s="190" t="s">
        <v>379</v>
      </c>
      <c r="H71" s="194"/>
      <c r="I71" s="194"/>
      <c r="J71" s="190">
        <v>1</v>
      </c>
      <c r="K71" s="190">
        <v>0</v>
      </c>
      <c r="L71" s="190"/>
      <c r="M71" s="190"/>
      <c r="N71" s="193">
        <f t="shared" ref="N71:N135" si="7">J71+K71+L71+M71</f>
        <v>1</v>
      </c>
      <c r="Q71" s="192">
        <v>1</v>
      </c>
      <c r="R71" s="190">
        <v>1</v>
      </c>
      <c r="S71" s="190">
        <v>0</v>
      </c>
      <c r="T71" s="190"/>
      <c r="U71" s="190"/>
      <c r="V71" s="192">
        <f t="shared" ref="V71:V135" si="8">R71+S71+T71+U71</f>
        <v>1</v>
      </c>
    </row>
    <row r="72" spans="1:22" s="252" customFormat="1" ht="48" x14ac:dyDescent="0.25">
      <c r="A72" s="192">
        <f>A71+1</f>
        <v>2</v>
      </c>
      <c r="B72" s="191" t="s">
        <v>310</v>
      </c>
      <c r="C72" s="192">
        <v>2</v>
      </c>
      <c r="D72" s="190" t="s">
        <v>178</v>
      </c>
      <c r="E72" s="253">
        <v>83294.11</v>
      </c>
      <c r="F72" s="193">
        <f t="shared" si="6"/>
        <v>166588.22</v>
      </c>
      <c r="G72" s="190" t="s">
        <v>379</v>
      </c>
      <c r="H72" s="194"/>
      <c r="I72" s="194"/>
      <c r="J72" s="190">
        <v>2</v>
      </c>
      <c r="K72" s="190">
        <v>0</v>
      </c>
      <c r="L72" s="190"/>
      <c r="M72" s="190"/>
      <c r="N72" s="193">
        <f t="shared" si="7"/>
        <v>2</v>
      </c>
      <c r="Q72" s="192">
        <v>2</v>
      </c>
      <c r="R72" s="190">
        <v>2</v>
      </c>
      <c r="S72" s="190">
        <v>0</v>
      </c>
      <c r="T72" s="190"/>
      <c r="U72" s="190"/>
      <c r="V72" s="192">
        <f t="shared" si="8"/>
        <v>2</v>
      </c>
    </row>
    <row r="73" spans="1:22" s="252" customFormat="1" ht="48" x14ac:dyDescent="0.25">
      <c r="A73" s="192">
        <v>3</v>
      </c>
      <c r="B73" s="191" t="s">
        <v>311</v>
      </c>
      <c r="C73" s="192">
        <v>1</v>
      </c>
      <c r="D73" s="192" t="s">
        <v>5</v>
      </c>
      <c r="E73" s="251">
        <v>26937.31</v>
      </c>
      <c r="F73" s="193">
        <f t="shared" si="6"/>
        <v>26937.31</v>
      </c>
      <c r="G73" s="190" t="s">
        <v>379</v>
      </c>
      <c r="H73" s="194"/>
      <c r="I73" s="194"/>
      <c r="J73" s="190">
        <v>1</v>
      </c>
      <c r="K73" s="190">
        <v>0</v>
      </c>
      <c r="L73" s="190"/>
      <c r="M73" s="190"/>
      <c r="N73" s="193">
        <f t="shared" si="7"/>
        <v>1</v>
      </c>
      <c r="Q73" s="192">
        <v>1</v>
      </c>
      <c r="R73" s="190">
        <v>1</v>
      </c>
      <c r="S73" s="190">
        <v>0</v>
      </c>
      <c r="T73" s="190"/>
      <c r="U73" s="190"/>
      <c r="V73" s="192">
        <f t="shared" si="8"/>
        <v>1</v>
      </c>
    </row>
    <row r="74" spans="1:22" s="252" customFormat="1" ht="48" x14ac:dyDescent="0.2">
      <c r="A74" s="192">
        <f t="shared" ref="A74:A132" si="9">A73+1</f>
        <v>4</v>
      </c>
      <c r="B74" s="254" t="s">
        <v>312</v>
      </c>
      <c r="C74" s="192">
        <v>1</v>
      </c>
      <c r="D74" s="192" t="s">
        <v>5</v>
      </c>
      <c r="E74" s="255">
        <v>120802.5</v>
      </c>
      <c r="F74" s="193">
        <f t="shared" si="6"/>
        <v>120802.5</v>
      </c>
      <c r="G74" s="190" t="s">
        <v>379</v>
      </c>
      <c r="H74" s="194"/>
      <c r="I74" s="194"/>
      <c r="J74" s="190">
        <v>1</v>
      </c>
      <c r="K74" s="190">
        <v>0</v>
      </c>
      <c r="L74" s="190"/>
      <c r="M74" s="190"/>
      <c r="N74" s="193">
        <f t="shared" si="7"/>
        <v>1</v>
      </c>
      <c r="O74" s="196"/>
      <c r="Q74" s="192">
        <v>1</v>
      </c>
      <c r="R74" s="190">
        <v>1</v>
      </c>
      <c r="S74" s="190">
        <v>0</v>
      </c>
      <c r="T74" s="190"/>
      <c r="U74" s="190"/>
      <c r="V74" s="192">
        <f t="shared" si="8"/>
        <v>1</v>
      </c>
    </row>
    <row r="75" spans="1:22" s="196" customFormat="1" ht="48" x14ac:dyDescent="0.2">
      <c r="A75" s="192">
        <f t="shared" si="9"/>
        <v>5</v>
      </c>
      <c r="B75" s="191" t="s">
        <v>313</v>
      </c>
      <c r="C75" s="192">
        <v>1</v>
      </c>
      <c r="D75" s="192" t="s">
        <v>5</v>
      </c>
      <c r="E75" s="192">
        <v>31270</v>
      </c>
      <c r="F75" s="193">
        <f t="shared" si="6"/>
        <v>31270</v>
      </c>
      <c r="G75" s="190" t="s">
        <v>379</v>
      </c>
      <c r="H75" s="194"/>
      <c r="I75" s="194"/>
      <c r="J75" s="190">
        <v>1</v>
      </c>
      <c r="K75" s="190">
        <v>0</v>
      </c>
      <c r="L75" s="190"/>
      <c r="M75" s="190"/>
      <c r="N75" s="193">
        <f t="shared" si="7"/>
        <v>1</v>
      </c>
      <c r="O75" s="252"/>
      <c r="Q75" s="192">
        <v>1</v>
      </c>
      <c r="R75" s="190">
        <v>1</v>
      </c>
      <c r="S75" s="190">
        <v>0</v>
      </c>
      <c r="T75" s="190"/>
      <c r="U75" s="190"/>
      <c r="V75" s="192">
        <f t="shared" si="8"/>
        <v>1</v>
      </c>
    </row>
    <row r="76" spans="1:22" s="252" customFormat="1" ht="36" x14ac:dyDescent="0.25">
      <c r="A76" s="192">
        <v>6</v>
      </c>
      <c r="B76" s="191" t="s">
        <v>314</v>
      </c>
      <c r="C76" s="192">
        <v>4</v>
      </c>
      <c r="D76" s="192" t="s">
        <v>5</v>
      </c>
      <c r="E76" s="251">
        <v>8179.7599999999993</v>
      </c>
      <c r="F76" s="193">
        <f t="shared" si="6"/>
        <v>32719.039999999997</v>
      </c>
      <c r="G76" s="190" t="s">
        <v>379</v>
      </c>
      <c r="H76" s="194"/>
      <c r="I76" s="194"/>
      <c r="J76" s="190">
        <v>4</v>
      </c>
      <c r="K76" s="190">
        <v>0</v>
      </c>
      <c r="L76" s="190"/>
      <c r="M76" s="190"/>
      <c r="N76" s="193">
        <f t="shared" si="7"/>
        <v>4</v>
      </c>
      <c r="Q76" s="192">
        <v>4</v>
      </c>
      <c r="R76" s="190">
        <v>4</v>
      </c>
      <c r="S76" s="190">
        <v>0</v>
      </c>
      <c r="T76" s="190"/>
      <c r="U76" s="190"/>
      <c r="V76" s="192">
        <f t="shared" si="8"/>
        <v>4</v>
      </c>
    </row>
    <row r="77" spans="1:22" s="252" customFormat="1" ht="36" x14ac:dyDescent="0.25">
      <c r="A77" s="192">
        <f>A76+1</f>
        <v>7</v>
      </c>
      <c r="B77" s="191" t="s">
        <v>315</v>
      </c>
      <c r="C77" s="192">
        <v>1</v>
      </c>
      <c r="D77" s="192" t="s">
        <v>5</v>
      </c>
      <c r="E77" s="251">
        <v>24988.23</v>
      </c>
      <c r="F77" s="193">
        <f t="shared" si="6"/>
        <v>24988.23</v>
      </c>
      <c r="G77" s="190" t="s">
        <v>379</v>
      </c>
      <c r="H77" s="194"/>
      <c r="I77" s="194"/>
      <c r="J77" s="190">
        <v>1</v>
      </c>
      <c r="K77" s="190">
        <v>0</v>
      </c>
      <c r="L77" s="190"/>
      <c r="M77" s="190"/>
      <c r="N77" s="193">
        <f t="shared" si="7"/>
        <v>1</v>
      </c>
      <c r="Q77" s="192">
        <v>1</v>
      </c>
      <c r="R77" s="190">
        <v>1</v>
      </c>
      <c r="S77" s="190">
        <v>0</v>
      </c>
      <c r="T77" s="190"/>
      <c r="U77" s="190"/>
      <c r="V77" s="192">
        <f t="shared" si="8"/>
        <v>1</v>
      </c>
    </row>
    <row r="78" spans="1:22" s="252" customFormat="1" ht="24" x14ac:dyDescent="0.25">
      <c r="A78" s="192">
        <f>A77+1</f>
        <v>8</v>
      </c>
      <c r="B78" s="191" t="s">
        <v>316</v>
      </c>
      <c r="C78" s="192">
        <v>18</v>
      </c>
      <c r="D78" s="192" t="s">
        <v>5</v>
      </c>
      <c r="E78" s="251">
        <v>2229.02</v>
      </c>
      <c r="F78" s="193">
        <f t="shared" si="6"/>
        <v>40122.36</v>
      </c>
      <c r="G78" s="190" t="s">
        <v>379</v>
      </c>
      <c r="H78" s="194"/>
      <c r="I78" s="194"/>
      <c r="J78" s="190">
        <v>18</v>
      </c>
      <c r="K78" s="190">
        <v>0</v>
      </c>
      <c r="L78" s="190"/>
      <c r="M78" s="190"/>
      <c r="N78" s="193">
        <f t="shared" si="7"/>
        <v>18</v>
      </c>
      <c r="Q78" s="192">
        <v>18</v>
      </c>
      <c r="R78" s="190">
        <v>18</v>
      </c>
      <c r="S78" s="190">
        <v>0</v>
      </c>
      <c r="T78" s="190"/>
      <c r="U78" s="190"/>
      <c r="V78" s="192">
        <f t="shared" si="8"/>
        <v>18</v>
      </c>
    </row>
    <row r="79" spans="1:22" s="252" customFormat="1" ht="36" x14ac:dyDescent="0.25">
      <c r="A79" s="192">
        <v>9</v>
      </c>
      <c r="B79" s="191" t="s">
        <v>317</v>
      </c>
      <c r="C79" s="192">
        <v>4</v>
      </c>
      <c r="D79" s="192" t="s">
        <v>5</v>
      </c>
      <c r="E79" s="251">
        <v>390.58</v>
      </c>
      <c r="F79" s="193">
        <f t="shared" si="6"/>
        <v>1562.32</v>
      </c>
      <c r="G79" s="190" t="s">
        <v>379</v>
      </c>
      <c r="H79" s="194"/>
      <c r="I79" s="194"/>
      <c r="J79" s="190">
        <v>4</v>
      </c>
      <c r="K79" s="190">
        <v>0</v>
      </c>
      <c r="L79" s="190"/>
      <c r="M79" s="190"/>
      <c r="N79" s="193">
        <f t="shared" si="7"/>
        <v>4</v>
      </c>
      <c r="Q79" s="192">
        <v>4</v>
      </c>
      <c r="R79" s="190">
        <v>4</v>
      </c>
      <c r="S79" s="190">
        <v>0</v>
      </c>
      <c r="T79" s="190"/>
      <c r="U79" s="190"/>
      <c r="V79" s="192">
        <f t="shared" si="8"/>
        <v>4</v>
      </c>
    </row>
    <row r="80" spans="1:22" s="252" customFormat="1" ht="24" x14ac:dyDescent="0.25">
      <c r="A80" s="192">
        <f t="shared" si="9"/>
        <v>10</v>
      </c>
      <c r="B80" s="191" t="s">
        <v>318</v>
      </c>
      <c r="C80" s="192">
        <v>4</v>
      </c>
      <c r="D80" s="192" t="s">
        <v>5</v>
      </c>
      <c r="E80" s="251">
        <v>9204</v>
      </c>
      <c r="F80" s="193">
        <f t="shared" si="6"/>
        <v>36816</v>
      </c>
      <c r="G80" s="190" t="s">
        <v>379</v>
      </c>
      <c r="H80" s="194"/>
      <c r="I80" s="194"/>
      <c r="J80" s="190">
        <v>2</v>
      </c>
      <c r="K80" s="190">
        <v>2</v>
      </c>
      <c r="L80" s="190"/>
      <c r="M80" s="190"/>
      <c r="N80" s="193">
        <f t="shared" si="7"/>
        <v>4</v>
      </c>
      <c r="Q80" s="192">
        <v>4</v>
      </c>
      <c r="R80" s="190">
        <v>2</v>
      </c>
      <c r="S80" s="190">
        <v>2</v>
      </c>
      <c r="T80" s="190"/>
      <c r="U80" s="190"/>
      <c r="V80" s="192">
        <f t="shared" si="8"/>
        <v>4</v>
      </c>
    </row>
    <row r="81" spans="1:241" s="252" customFormat="1" ht="48" x14ac:dyDescent="0.25">
      <c r="A81" s="192">
        <f t="shared" si="9"/>
        <v>11</v>
      </c>
      <c r="B81" s="191" t="s">
        <v>86</v>
      </c>
      <c r="C81" s="192">
        <f>2+15+7</f>
        <v>24</v>
      </c>
      <c r="D81" s="192" t="s">
        <v>5</v>
      </c>
      <c r="E81" s="251">
        <v>20874.2</v>
      </c>
      <c r="F81" s="193">
        <f t="shared" si="6"/>
        <v>500980.80000000005</v>
      </c>
      <c r="G81" s="190" t="s">
        <v>379</v>
      </c>
      <c r="H81" s="194"/>
      <c r="I81" s="194"/>
      <c r="J81" s="190">
        <v>7</v>
      </c>
      <c r="K81" s="190">
        <v>0</v>
      </c>
      <c r="L81" s="190"/>
      <c r="M81" s="190"/>
      <c r="N81" s="193">
        <f t="shared" si="7"/>
        <v>7</v>
      </c>
      <c r="Q81" s="192">
        <v>7</v>
      </c>
      <c r="R81" s="190">
        <v>7</v>
      </c>
      <c r="S81" s="190">
        <v>0</v>
      </c>
      <c r="T81" s="190"/>
      <c r="U81" s="190"/>
      <c r="V81" s="192">
        <f t="shared" si="8"/>
        <v>7</v>
      </c>
    </row>
    <row r="82" spans="1:241" s="196" customFormat="1" ht="36" x14ac:dyDescent="0.2">
      <c r="A82" s="190">
        <v>39</v>
      </c>
      <c r="B82" s="256" t="s">
        <v>185</v>
      </c>
      <c r="C82" s="192">
        <v>0</v>
      </c>
      <c r="D82" s="190" t="s">
        <v>178</v>
      </c>
      <c r="E82" s="284">
        <v>21000</v>
      </c>
      <c r="F82" s="193">
        <f>C82*E82</f>
        <v>0</v>
      </c>
      <c r="G82" s="190" t="s">
        <v>379</v>
      </c>
      <c r="H82" s="192"/>
      <c r="I82" s="194"/>
      <c r="J82" s="190"/>
      <c r="K82" s="190"/>
      <c r="L82" s="192"/>
      <c r="M82" s="190">
        <v>2</v>
      </c>
      <c r="N82" s="193">
        <f>J82+K82+L82+M82</f>
        <v>2</v>
      </c>
      <c r="O82" s="195"/>
      <c r="Q82" s="192">
        <v>2</v>
      </c>
      <c r="R82" s="190"/>
      <c r="S82" s="190"/>
      <c r="T82" s="192"/>
      <c r="U82" s="190">
        <v>2</v>
      </c>
      <c r="V82" s="192">
        <f>R82+S82+T82+U82</f>
        <v>2</v>
      </c>
    </row>
    <row r="83" spans="1:241" s="196" customFormat="1" ht="72" x14ac:dyDescent="0.2">
      <c r="A83" s="190">
        <v>9</v>
      </c>
      <c r="B83" s="191" t="s">
        <v>86</v>
      </c>
      <c r="C83" s="192">
        <v>0</v>
      </c>
      <c r="D83" s="192" t="s">
        <v>5</v>
      </c>
      <c r="E83" s="251">
        <v>20874.2</v>
      </c>
      <c r="F83" s="193">
        <f>C83*E83</f>
        <v>0</v>
      </c>
      <c r="G83" s="190" t="s">
        <v>379</v>
      </c>
      <c r="H83" s="285" t="s">
        <v>87</v>
      </c>
      <c r="I83" s="194"/>
      <c r="J83" s="190"/>
      <c r="K83" s="190"/>
      <c r="L83" s="190">
        <v>15</v>
      </c>
      <c r="M83" s="190"/>
      <c r="N83" s="193">
        <f>J83+K83+L83+M83</f>
        <v>15</v>
      </c>
      <c r="O83" s="195"/>
      <c r="Q83" s="192">
        <v>15</v>
      </c>
      <c r="R83" s="190"/>
      <c r="S83" s="190"/>
      <c r="T83" s="190">
        <v>15</v>
      </c>
      <c r="U83" s="190"/>
      <c r="V83" s="192">
        <f>R83+S83+T83+U83</f>
        <v>15</v>
      </c>
    </row>
    <row r="84" spans="1:241" s="252" customFormat="1" ht="24" x14ac:dyDescent="0.25">
      <c r="A84" s="192">
        <f>A81+1</f>
        <v>12</v>
      </c>
      <c r="B84" s="256" t="s">
        <v>319</v>
      </c>
      <c r="C84" s="192">
        <v>1</v>
      </c>
      <c r="D84" s="192" t="s">
        <v>1</v>
      </c>
      <c r="E84" s="251">
        <v>14160</v>
      </c>
      <c r="F84" s="193">
        <f t="shared" si="6"/>
        <v>14160</v>
      </c>
      <c r="G84" s="190" t="s">
        <v>379</v>
      </c>
      <c r="H84" s="194"/>
      <c r="I84" s="194"/>
      <c r="J84" s="190">
        <v>1</v>
      </c>
      <c r="K84" s="190">
        <v>0</v>
      </c>
      <c r="L84" s="190"/>
      <c r="M84" s="190"/>
      <c r="N84" s="193">
        <f t="shared" si="7"/>
        <v>1</v>
      </c>
      <c r="Q84" s="192">
        <v>1</v>
      </c>
      <c r="R84" s="190">
        <v>1</v>
      </c>
      <c r="S84" s="190">
        <v>0</v>
      </c>
      <c r="T84" s="190"/>
      <c r="U84" s="190"/>
      <c r="V84" s="192">
        <f t="shared" si="8"/>
        <v>1</v>
      </c>
    </row>
    <row r="85" spans="1:241" s="252" customFormat="1" ht="24" x14ac:dyDescent="0.25">
      <c r="A85" s="192">
        <f>A107+1</f>
        <v>14</v>
      </c>
      <c r="B85" s="256" t="s">
        <v>321</v>
      </c>
      <c r="C85" s="192">
        <v>10</v>
      </c>
      <c r="D85" s="192" t="s">
        <v>5</v>
      </c>
      <c r="E85" s="257">
        <v>600</v>
      </c>
      <c r="F85" s="193">
        <f t="shared" ref="F85:F101" si="10">C85*E85</f>
        <v>6000</v>
      </c>
      <c r="G85" s="190" t="s">
        <v>379</v>
      </c>
      <c r="H85" s="194"/>
      <c r="I85" s="194"/>
      <c r="J85" s="190">
        <v>10</v>
      </c>
      <c r="K85" s="190">
        <v>0</v>
      </c>
      <c r="L85" s="190"/>
      <c r="M85" s="190"/>
      <c r="N85" s="193">
        <f t="shared" ref="N85:N101" si="11">J85+K85+L85+M85</f>
        <v>10</v>
      </c>
      <c r="Q85" s="192">
        <v>10</v>
      </c>
      <c r="R85" s="190">
        <v>10</v>
      </c>
      <c r="S85" s="190">
        <v>0</v>
      </c>
      <c r="T85" s="190"/>
      <c r="U85" s="190"/>
      <c r="V85" s="192">
        <f t="shared" ref="V85:V101" si="12">R85+S85+T85+U85</f>
        <v>10</v>
      </c>
    </row>
    <row r="86" spans="1:241" s="196" customFormat="1" ht="36" x14ac:dyDescent="0.2">
      <c r="A86" s="192">
        <f>A110+1</f>
        <v>18</v>
      </c>
      <c r="B86" s="256" t="s">
        <v>325</v>
      </c>
      <c r="C86" s="192">
        <v>2</v>
      </c>
      <c r="D86" s="192" t="s">
        <v>5</v>
      </c>
      <c r="E86" s="253">
        <v>8000</v>
      </c>
      <c r="F86" s="193">
        <f t="shared" si="10"/>
        <v>16000</v>
      </c>
      <c r="G86" s="190" t="s">
        <v>379</v>
      </c>
      <c r="H86" s="194"/>
      <c r="I86" s="194"/>
      <c r="J86" s="190">
        <v>1</v>
      </c>
      <c r="K86" s="190">
        <v>1</v>
      </c>
      <c r="L86" s="190"/>
      <c r="M86" s="190"/>
      <c r="N86" s="193">
        <f t="shared" si="11"/>
        <v>2</v>
      </c>
      <c r="Q86" s="192">
        <v>2</v>
      </c>
      <c r="R86" s="190">
        <v>1</v>
      </c>
      <c r="S86" s="190">
        <v>1</v>
      </c>
      <c r="T86" s="190"/>
      <c r="U86" s="190"/>
      <c r="V86" s="192">
        <f t="shared" si="12"/>
        <v>2</v>
      </c>
    </row>
    <row r="87" spans="1:241" s="306" customFormat="1" ht="48" x14ac:dyDescent="0.2">
      <c r="A87" s="175">
        <f>A116+1</f>
        <v>23</v>
      </c>
      <c r="B87" s="262" t="s">
        <v>330</v>
      </c>
      <c r="C87" s="175">
        <v>12</v>
      </c>
      <c r="D87" s="177" t="s">
        <v>178</v>
      </c>
      <c r="E87" s="263">
        <v>38350</v>
      </c>
      <c r="F87" s="178">
        <f t="shared" si="10"/>
        <v>460200</v>
      </c>
      <c r="G87" s="177" t="s">
        <v>379</v>
      </c>
      <c r="H87" s="180"/>
      <c r="I87" s="180"/>
      <c r="J87" s="177">
        <v>1</v>
      </c>
      <c r="K87" s="177">
        <v>1</v>
      </c>
      <c r="L87" s="177"/>
      <c r="M87" s="177">
        <v>1</v>
      </c>
      <c r="N87" s="178">
        <f t="shared" si="11"/>
        <v>3</v>
      </c>
      <c r="O87" s="305"/>
      <c r="P87" s="181"/>
      <c r="Q87" s="175">
        <v>3</v>
      </c>
      <c r="R87" s="177">
        <v>1</v>
      </c>
      <c r="S87" s="177">
        <v>1</v>
      </c>
      <c r="T87" s="177"/>
      <c r="U87" s="177">
        <v>1</v>
      </c>
      <c r="V87" s="175">
        <f t="shared" si="12"/>
        <v>3</v>
      </c>
      <c r="W87" s="181"/>
      <c r="X87" s="181"/>
      <c r="Y87" s="181"/>
      <c r="Z87" s="181"/>
      <c r="AA87" s="181"/>
      <c r="AB87" s="181"/>
      <c r="AC87" s="181"/>
      <c r="AD87" s="181"/>
      <c r="AE87" s="181"/>
      <c r="AF87" s="181"/>
      <c r="AG87" s="181"/>
      <c r="AH87" s="181"/>
      <c r="AI87" s="181"/>
      <c r="AJ87" s="181"/>
      <c r="AK87" s="181"/>
      <c r="AL87" s="181"/>
      <c r="AM87" s="181"/>
      <c r="AN87" s="181"/>
      <c r="AO87" s="181"/>
      <c r="AP87" s="181"/>
      <c r="AQ87" s="181"/>
      <c r="AR87" s="181"/>
      <c r="AS87" s="181"/>
      <c r="AT87" s="181"/>
      <c r="AU87" s="181"/>
      <c r="AV87" s="181"/>
      <c r="AW87" s="181"/>
      <c r="AX87" s="181"/>
      <c r="AY87" s="181"/>
      <c r="AZ87" s="181"/>
      <c r="BA87" s="181"/>
      <c r="BB87" s="181"/>
      <c r="BC87" s="181"/>
      <c r="BD87" s="181"/>
      <c r="BE87" s="181"/>
      <c r="BF87" s="181"/>
      <c r="BG87" s="181"/>
      <c r="BH87" s="181"/>
      <c r="BI87" s="181"/>
      <c r="BJ87" s="181"/>
      <c r="BK87" s="181"/>
      <c r="BL87" s="181"/>
      <c r="BM87" s="181"/>
      <c r="BN87" s="181"/>
      <c r="BO87" s="181"/>
      <c r="BP87" s="181"/>
      <c r="BQ87" s="181"/>
      <c r="BR87" s="181"/>
      <c r="BS87" s="181"/>
      <c r="BT87" s="181"/>
      <c r="BU87" s="181"/>
      <c r="BV87" s="181"/>
      <c r="BW87" s="181"/>
      <c r="BX87" s="181"/>
      <c r="BY87" s="181"/>
      <c r="BZ87" s="181"/>
      <c r="CA87" s="181"/>
      <c r="CB87" s="181"/>
      <c r="CC87" s="181"/>
      <c r="CD87" s="181"/>
      <c r="CE87" s="181"/>
      <c r="CF87" s="181"/>
      <c r="CG87" s="181"/>
      <c r="CH87" s="181"/>
      <c r="CI87" s="181"/>
      <c r="CJ87" s="181"/>
      <c r="CK87" s="181"/>
      <c r="CL87" s="181"/>
      <c r="CM87" s="181"/>
      <c r="CN87" s="181"/>
      <c r="CO87" s="181"/>
      <c r="CP87" s="181"/>
      <c r="CQ87" s="181"/>
      <c r="CR87" s="181"/>
      <c r="CS87" s="181"/>
      <c r="CT87" s="181"/>
      <c r="CU87" s="181"/>
      <c r="CV87" s="181"/>
      <c r="CW87" s="181"/>
      <c r="CX87" s="181"/>
      <c r="CY87" s="181"/>
      <c r="CZ87" s="181"/>
      <c r="DA87" s="181"/>
      <c r="DB87" s="181"/>
      <c r="DC87" s="181"/>
      <c r="DD87" s="181"/>
      <c r="DE87" s="181"/>
      <c r="DF87" s="181"/>
      <c r="DG87" s="181"/>
      <c r="DH87" s="181"/>
      <c r="DI87" s="181"/>
      <c r="DJ87" s="181"/>
      <c r="DK87" s="181"/>
      <c r="DL87" s="181"/>
      <c r="DM87" s="181"/>
      <c r="DN87" s="181"/>
      <c r="DO87" s="181"/>
      <c r="DP87" s="181"/>
      <c r="DQ87" s="181"/>
      <c r="DR87" s="181"/>
      <c r="DS87" s="181"/>
      <c r="DT87" s="181"/>
      <c r="DU87" s="181"/>
      <c r="DV87" s="181"/>
      <c r="DW87" s="181"/>
      <c r="DX87" s="181"/>
      <c r="DY87" s="181"/>
      <c r="DZ87" s="181"/>
      <c r="EA87" s="181"/>
      <c r="EB87" s="181"/>
      <c r="EC87" s="181"/>
      <c r="ED87" s="181"/>
      <c r="EE87" s="181"/>
      <c r="EF87" s="181"/>
      <c r="EG87" s="181"/>
      <c r="EH87" s="181"/>
      <c r="EI87" s="181"/>
      <c r="EJ87" s="181"/>
      <c r="EK87" s="181"/>
      <c r="EL87" s="181"/>
      <c r="EM87" s="181"/>
      <c r="EN87" s="181"/>
      <c r="EO87" s="181"/>
      <c r="EP87" s="181"/>
      <c r="EQ87" s="181"/>
      <c r="ER87" s="181"/>
      <c r="ES87" s="181"/>
      <c r="ET87" s="181"/>
      <c r="EU87" s="181"/>
      <c r="EV87" s="181"/>
      <c r="EW87" s="181"/>
      <c r="EX87" s="181"/>
      <c r="EY87" s="181"/>
      <c r="EZ87" s="181"/>
      <c r="FA87" s="181"/>
      <c r="FB87" s="181"/>
      <c r="FC87" s="181"/>
      <c r="FD87" s="181"/>
      <c r="FE87" s="181"/>
      <c r="FF87" s="181"/>
      <c r="FG87" s="181"/>
      <c r="FH87" s="181"/>
      <c r="FI87" s="181"/>
      <c r="FJ87" s="181"/>
      <c r="FK87" s="181"/>
      <c r="FL87" s="181"/>
      <c r="FM87" s="181"/>
      <c r="FN87" s="181"/>
      <c r="FO87" s="181"/>
      <c r="FP87" s="181"/>
      <c r="FQ87" s="181"/>
      <c r="FR87" s="181"/>
      <c r="FS87" s="181"/>
      <c r="FT87" s="181"/>
      <c r="FU87" s="181"/>
      <c r="FV87" s="181"/>
      <c r="FW87" s="181"/>
      <c r="FX87" s="181"/>
      <c r="FY87" s="181"/>
      <c r="FZ87" s="181"/>
      <c r="GA87" s="181"/>
      <c r="GB87" s="181"/>
      <c r="GC87" s="181"/>
      <c r="GD87" s="181"/>
      <c r="GE87" s="181"/>
      <c r="GF87" s="181"/>
      <c r="GG87" s="181"/>
      <c r="GH87" s="181"/>
      <c r="GI87" s="181"/>
      <c r="GJ87" s="181"/>
      <c r="GK87" s="181"/>
      <c r="GL87" s="181"/>
      <c r="GM87" s="181"/>
      <c r="GN87" s="181"/>
      <c r="GO87" s="181"/>
      <c r="GP87" s="181"/>
      <c r="GQ87" s="181"/>
      <c r="GR87" s="181"/>
      <c r="GS87" s="181"/>
      <c r="GT87" s="181"/>
      <c r="GU87" s="181"/>
      <c r="GV87" s="181"/>
      <c r="GW87" s="181"/>
      <c r="GX87" s="181"/>
      <c r="GY87" s="181"/>
      <c r="GZ87" s="181"/>
      <c r="HA87" s="181"/>
      <c r="HB87" s="181"/>
      <c r="HC87" s="181"/>
      <c r="HD87" s="181"/>
      <c r="HE87" s="181"/>
      <c r="HF87" s="181"/>
      <c r="HG87" s="181"/>
      <c r="HH87" s="181"/>
      <c r="HI87" s="181"/>
      <c r="HJ87" s="181"/>
      <c r="HK87" s="181"/>
      <c r="HL87" s="181"/>
      <c r="HM87" s="181"/>
      <c r="HN87" s="181"/>
      <c r="HO87" s="181"/>
      <c r="HP87" s="181"/>
      <c r="HQ87" s="181"/>
      <c r="HR87" s="181"/>
      <c r="HS87" s="181"/>
      <c r="HT87" s="181"/>
      <c r="HU87" s="181"/>
      <c r="HV87" s="181"/>
      <c r="HW87" s="181"/>
      <c r="HX87" s="181"/>
      <c r="HY87" s="181"/>
      <c r="HZ87" s="181"/>
      <c r="IA87" s="181"/>
    </row>
    <row r="88" spans="1:241" s="180" customFormat="1" ht="36" x14ac:dyDescent="0.25">
      <c r="A88" s="175">
        <f>A97+1</f>
        <v>43</v>
      </c>
      <c r="B88" s="176" t="s">
        <v>349</v>
      </c>
      <c r="C88" s="175">
        <v>0</v>
      </c>
      <c r="D88" s="175" t="s">
        <v>5</v>
      </c>
      <c r="E88" s="307">
        <v>38350</v>
      </c>
      <c r="F88" s="178">
        <f t="shared" si="10"/>
        <v>0</v>
      </c>
      <c r="G88" s="177" t="s">
        <v>379</v>
      </c>
      <c r="J88" s="177">
        <v>5</v>
      </c>
      <c r="K88" s="177">
        <v>0</v>
      </c>
      <c r="L88" s="177"/>
      <c r="M88" s="177"/>
      <c r="N88" s="178">
        <f t="shared" si="11"/>
        <v>5</v>
      </c>
      <c r="Q88" s="175">
        <v>5</v>
      </c>
      <c r="R88" s="177">
        <v>5</v>
      </c>
      <c r="S88" s="177">
        <v>0</v>
      </c>
      <c r="T88" s="177"/>
      <c r="U88" s="177"/>
      <c r="V88" s="175">
        <f t="shared" si="12"/>
        <v>5</v>
      </c>
    </row>
    <row r="89" spans="1:241" s="277" customFormat="1" ht="48" x14ac:dyDescent="0.25">
      <c r="A89" s="192">
        <f>A87+1</f>
        <v>24</v>
      </c>
      <c r="B89" s="256" t="s">
        <v>331</v>
      </c>
      <c r="C89" s="192">
        <v>1</v>
      </c>
      <c r="D89" s="192" t="s">
        <v>5</v>
      </c>
      <c r="E89" s="253">
        <v>87910</v>
      </c>
      <c r="F89" s="193">
        <f t="shared" si="10"/>
        <v>87910</v>
      </c>
      <c r="G89" s="190" t="s">
        <v>379</v>
      </c>
      <c r="H89" s="194"/>
      <c r="I89" s="194"/>
      <c r="J89" s="190">
        <v>1</v>
      </c>
      <c r="K89" s="190">
        <v>0</v>
      </c>
      <c r="L89" s="190"/>
      <c r="M89" s="190"/>
      <c r="N89" s="193">
        <f t="shared" si="11"/>
        <v>1</v>
      </c>
      <c r="O89" s="278"/>
      <c r="Q89" s="192">
        <v>1</v>
      </c>
      <c r="R89" s="190">
        <v>1</v>
      </c>
      <c r="S89" s="190">
        <v>0</v>
      </c>
      <c r="T89" s="190"/>
      <c r="U89" s="190"/>
      <c r="V89" s="192">
        <f t="shared" si="12"/>
        <v>1</v>
      </c>
    </row>
    <row r="90" spans="1:241" s="278" customFormat="1" ht="84" x14ac:dyDescent="0.25">
      <c r="A90" s="194">
        <v>25</v>
      </c>
      <c r="B90" s="279" t="s">
        <v>332</v>
      </c>
      <c r="C90" s="192">
        <f>1000+700</f>
        <v>1700</v>
      </c>
      <c r="D90" s="190" t="s">
        <v>333</v>
      </c>
      <c r="E90" s="281">
        <v>41.3</v>
      </c>
      <c r="F90" s="193">
        <f t="shared" si="10"/>
        <v>70210</v>
      </c>
      <c r="G90" s="190" t="s">
        <v>379</v>
      </c>
      <c r="H90" s="194"/>
      <c r="I90" s="194"/>
      <c r="J90" s="190">
        <v>400</v>
      </c>
      <c r="K90" s="201">
        <v>300</v>
      </c>
      <c r="L90" s="201"/>
      <c r="M90" s="201"/>
      <c r="N90" s="193">
        <f t="shared" si="11"/>
        <v>700</v>
      </c>
      <c r="O90" s="252"/>
      <c r="Q90" s="192">
        <v>700</v>
      </c>
      <c r="R90" s="201">
        <v>400</v>
      </c>
      <c r="S90" s="201">
        <v>300</v>
      </c>
      <c r="T90" s="201"/>
      <c r="U90" s="201"/>
      <c r="V90" s="192">
        <f t="shared" si="12"/>
        <v>700</v>
      </c>
    </row>
    <row r="91" spans="1:241" s="196" customFormat="1" ht="24" x14ac:dyDescent="0.2">
      <c r="A91" s="190">
        <v>6</v>
      </c>
      <c r="B91" s="191" t="s">
        <v>44</v>
      </c>
      <c r="C91" s="192">
        <v>0</v>
      </c>
      <c r="D91" s="190" t="s">
        <v>45</v>
      </c>
      <c r="E91" s="280">
        <v>41.3</v>
      </c>
      <c r="F91" s="193">
        <f t="shared" si="10"/>
        <v>0</v>
      </c>
      <c r="G91" s="190" t="s">
        <v>379</v>
      </c>
      <c r="H91" s="194"/>
      <c r="I91" s="194"/>
      <c r="J91" s="190"/>
      <c r="K91" s="190"/>
      <c r="L91" s="190">
        <v>600</v>
      </c>
      <c r="M91" s="190">
        <v>400</v>
      </c>
      <c r="N91" s="193">
        <f t="shared" si="11"/>
        <v>1000</v>
      </c>
      <c r="O91" s="195"/>
      <c r="Q91" s="192">
        <v>1000</v>
      </c>
      <c r="R91" s="190"/>
      <c r="S91" s="190"/>
      <c r="T91" s="190">
        <v>600</v>
      </c>
      <c r="U91" s="190">
        <v>400</v>
      </c>
      <c r="V91" s="192">
        <f t="shared" si="12"/>
        <v>1000</v>
      </c>
    </row>
    <row r="92" spans="1:241" s="252" customFormat="1" ht="48" x14ac:dyDescent="0.25">
      <c r="A92" s="192">
        <f>A90+1</f>
        <v>26</v>
      </c>
      <c r="B92" s="191" t="s">
        <v>334</v>
      </c>
      <c r="C92" s="192">
        <v>6</v>
      </c>
      <c r="D92" s="192" t="s">
        <v>178</v>
      </c>
      <c r="E92" s="192">
        <v>1200</v>
      </c>
      <c r="F92" s="193">
        <f t="shared" si="10"/>
        <v>7200</v>
      </c>
      <c r="G92" s="190" t="s">
        <v>379</v>
      </c>
      <c r="H92" s="194"/>
      <c r="I92" s="194"/>
      <c r="J92" s="190">
        <v>6</v>
      </c>
      <c r="K92" s="190">
        <v>0</v>
      </c>
      <c r="L92" s="190"/>
      <c r="M92" s="190"/>
      <c r="N92" s="193">
        <f t="shared" si="11"/>
        <v>6</v>
      </c>
      <c r="O92" s="194"/>
      <c r="Q92" s="192">
        <v>6</v>
      </c>
      <c r="R92" s="190">
        <v>6</v>
      </c>
      <c r="S92" s="190">
        <v>0</v>
      </c>
      <c r="T92" s="190"/>
      <c r="U92" s="190"/>
      <c r="V92" s="192">
        <f t="shared" si="12"/>
        <v>6</v>
      </c>
    </row>
    <row r="93" spans="1:241" s="196" customFormat="1" ht="24" x14ac:dyDescent="0.2">
      <c r="A93" s="192">
        <f>A92+1</f>
        <v>27</v>
      </c>
      <c r="B93" s="191" t="s">
        <v>335</v>
      </c>
      <c r="C93" s="192">
        <v>988</v>
      </c>
      <c r="D93" s="192" t="s">
        <v>178</v>
      </c>
      <c r="E93" s="192">
        <v>10.75</v>
      </c>
      <c r="F93" s="193">
        <f t="shared" si="10"/>
        <v>10621</v>
      </c>
      <c r="G93" s="190" t="s">
        <v>379</v>
      </c>
      <c r="H93" s="194"/>
      <c r="I93" s="194"/>
      <c r="J93" s="190">
        <v>500</v>
      </c>
      <c r="K93" s="190">
        <v>0</v>
      </c>
      <c r="L93" s="190">
        <v>488</v>
      </c>
      <c r="M93" s="190"/>
      <c r="N93" s="193">
        <f t="shared" si="11"/>
        <v>988</v>
      </c>
      <c r="O93" s="194"/>
      <c r="P93" s="194"/>
      <c r="Q93" s="192">
        <v>988</v>
      </c>
      <c r="R93" s="190">
        <v>500</v>
      </c>
      <c r="S93" s="190">
        <v>0</v>
      </c>
      <c r="T93" s="190">
        <v>488</v>
      </c>
      <c r="U93" s="190"/>
      <c r="V93" s="192">
        <f t="shared" si="12"/>
        <v>988</v>
      </c>
      <c r="W93" s="194"/>
      <c r="X93" s="194"/>
      <c r="Y93" s="194"/>
      <c r="Z93" s="194"/>
      <c r="AA93" s="194"/>
      <c r="AB93" s="194"/>
      <c r="AC93" s="194"/>
      <c r="AD93" s="194"/>
      <c r="AE93" s="194"/>
      <c r="AF93" s="194"/>
      <c r="AG93" s="194"/>
      <c r="AH93" s="194"/>
      <c r="AI93" s="194"/>
      <c r="AJ93" s="194"/>
      <c r="AK93" s="194"/>
      <c r="AL93" s="194"/>
      <c r="AM93" s="194"/>
      <c r="AN93" s="194"/>
      <c r="AO93" s="194"/>
      <c r="AP93" s="194"/>
      <c r="AQ93" s="194"/>
      <c r="AR93" s="194"/>
      <c r="AS93" s="194"/>
      <c r="AT93" s="194"/>
      <c r="AU93" s="194"/>
      <c r="AV93" s="194"/>
      <c r="AW93" s="194"/>
      <c r="AX93" s="194"/>
      <c r="AY93" s="194"/>
      <c r="AZ93" s="194"/>
      <c r="BA93" s="194"/>
      <c r="BB93" s="194"/>
      <c r="BC93" s="194"/>
      <c r="BD93" s="194"/>
      <c r="BE93" s="194"/>
      <c r="BF93" s="194"/>
      <c r="BG93" s="194"/>
      <c r="BH93" s="194"/>
      <c r="BI93" s="194"/>
      <c r="BJ93" s="194"/>
      <c r="BK93" s="194"/>
      <c r="BL93" s="194"/>
      <c r="BM93" s="194"/>
      <c r="BN93" s="194"/>
      <c r="BO93" s="194"/>
      <c r="BP93" s="194"/>
      <c r="BQ93" s="194"/>
      <c r="BR93" s="194"/>
      <c r="BS93" s="194"/>
      <c r="BT93" s="194"/>
      <c r="BU93" s="194"/>
      <c r="BV93" s="194"/>
      <c r="BW93" s="194"/>
      <c r="BX93" s="194"/>
      <c r="BY93" s="194"/>
      <c r="BZ93" s="194"/>
      <c r="CA93" s="194"/>
      <c r="CB93" s="194"/>
      <c r="CC93" s="194"/>
      <c r="CD93" s="194"/>
      <c r="CE93" s="194"/>
      <c r="CF93" s="194"/>
      <c r="CG93" s="194"/>
      <c r="CH93" s="194"/>
      <c r="CI93" s="194"/>
      <c r="CJ93" s="194"/>
      <c r="CK93" s="194"/>
      <c r="CL93" s="194"/>
      <c r="CM93" s="194"/>
      <c r="CN93" s="194"/>
      <c r="CO93" s="194"/>
      <c r="CP93" s="194"/>
      <c r="CQ93" s="194"/>
      <c r="CR93" s="194"/>
      <c r="CS93" s="194"/>
      <c r="CT93" s="194"/>
      <c r="CU93" s="194"/>
      <c r="CV93" s="194"/>
      <c r="CW93" s="194"/>
      <c r="CX93" s="194"/>
      <c r="CY93" s="194"/>
      <c r="CZ93" s="194"/>
      <c r="DA93" s="194"/>
      <c r="DB93" s="194"/>
      <c r="DC93" s="194"/>
      <c r="DD93" s="194"/>
      <c r="DE93" s="194"/>
      <c r="DF93" s="194"/>
      <c r="DG93" s="194"/>
      <c r="DH93" s="194"/>
      <c r="DI93" s="194"/>
      <c r="DJ93" s="194"/>
      <c r="DK93" s="194"/>
      <c r="DL93" s="194"/>
      <c r="DM93" s="194"/>
      <c r="DN93" s="194"/>
      <c r="DO93" s="194"/>
      <c r="DP93" s="194"/>
      <c r="DQ93" s="194"/>
      <c r="DR93" s="194"/>
      <c r="DS93" s="194"/>
      <c r="DT93" s="194"/>
      <c r="DU93" s="194"/>
      <c r="DV93" s="194"/>
      <c r="DW93" s="194"/>
      <c r="DX93" s="194"/>
      <c r="DY93" s="194"/>
      <c r="DZ93" s="194"/>
      <c r="EA93" s="194"/>
      <c r="EB93" s="194"/>
      <c r="EC93" s="194"/>
      <c r="ED93" s="194"/>
      <c r="EE93" s="194"/>
      <c r="EF93" s="194"/>
      <c r="EG93" s="194"/>
      <c r="EH93" s="194"/>
      <c r="EI93" s="194"/>
      <c r="EJ93" s="194"/>
      <c r="EK93" s="194"/>
      <c r="EL93" s="194"/>
      <c r="EM93" s="194"/>
      <c r="EN93" s="194"/>
      <c r="EO93" s="194"/>
      <c r="EP93" s="194"/>
      <c r="EQ93" s="194"/>
      <c r="ER93" s="194"/>
      <c r="ES93" s="194"/>
      <c r="ET93" s="194"/>
      <c r="EU93" s="194"/>
      <c r="EV93" s="194"/>
      <c r="EW93" s="194"/>
      <c r="EX93" s="194"/>
      <c r="EY93" s="194"/>
      <c r="EZ93" s="194"/>
      <c r="FA93" s="194"/>
      <c r="FB93" s="194"/>
      <c r="FC93" s="194"/>
      <c r="FD93" s="194"/>
      <c r="FE93" s="194"/>
      <c r="FF93" s="194"/>
      <c r="FG93" s="194"/>
      <c r="FH93" s="194"/>
      <c r="FI93" s="194"/>
      <c r="FJ93" s="194"/>
      <c r="FK93" s="194"/>
      <c r="FL93" s="194"/>
      <c r="FM93" s="194"/>
      <c r="FN93" s="194"/>
      <c r="FO93" s="194"/>
      <c r="FP93" s="194"/>
      <c r="FQ93" s="194"/>
      <c r="FR93" s="194"/>
      <c r="FS93" s="194"/>
      <c r="FT93" s="194"/>
      <c r="FU93" s="194"/>
      <c r="FV93" s="194"/>
      <c r="FW93" s="194"/>
      <c r="FX93" s="194"/>
      <c r="FY93" s="194"/>
      <c r="FZ93" s="194"/>
      <c r="GA93" s="194"/>
      <c r="GB93" s="194"/>
      <c r="GC93" s="194"/>
      <c r="GD93" s="194"/>
      <c r="GE93" s="194"/>
      <c r="GF93" s="194"/>
      <c r="GG93" s="194"/>
      <c r="GH93" s="194"/>
      <c r="GI93" s="194"/>
      <c r="GJ93" s="194"/>
      <c r="GK93" s="194"/>
      <c r="GL93" s="194"/>
      <c r="GM93" s="194"/>
      <c r="GN93" s="194"/>
      <c r="GO93" s="194"/>
      <c r="GP93" s="194"/>
      <c r="GQ93" s="194"/>
      <c r="GR93" s="194"/>
      <c r="GS93" s="194"/>
      <c r="GT93" s="194"/>
      <c r="GU93" s="194"/>
      <c r="GV93" s="194"/>
      <c r="GW93" s="194"/>
      <c r="GX93" s="194"/>
      <c r="GY93" s="194"/>
      <c r="GZ93" s="194"/>
      <c r="HA93" s="194"/>
      <c r="HB93" s="194"/>
      <c r="HC93" s="194"/>
      <c r="HD93" s="194"/>
      <c r="HE93" s="194"/>
      <c r="HF93" s="194"/>
      <c r="HG93" s="194"/>
      <c r="HH93" s="194"/>
      <c r="HI93" s="194"/>
      <c r="HJ93" s="194"/>
      <c r="HK93" s="194"/>
      <c r="HL93" s="194"/>
      <c r="HM93" s="194"/>
      <c r="HN93" s="194"/>
      <c r="HO93" s="194"/>
      <c r="HP93" s="194"/>
      <c r="HQ93" s="194"/>
      <c r="HR93" s="194"/>
      <c r="HS93" s="194"/>
      <c r="HT93" s="194"/>
      <c r="HU93" s="194"/>
      <c r="HV93" s="194"/>
      <c r="HW93" s="194"/>
      <c r="HX93" s="194"/>
      <c r="HY93" s="194"/>
      <c r="HZ93" s="194"/>
      <c r="IA93" s="194"/>
      <c r="IB93" s="194"/>
      <c r="IC93" s="194"/>
      <c r="ID93" s="194"/>
      <c r="IE93" s="194"/>
      <c r="IF93" s="194"/>
      <c r="IG93" s="194"/>
    </row>
    <row r="94" spans="1:241" s="196" customFormat="1" ht="24" x14ac:dyDescent="0.2">
      <c r="A94" s="192">
        <f>A117+1</f>
        <v>29</v>
      </c>
      <c r="B94" s="191" t="s">
        <v>177</v>
      </c>
      <c r="C94" s="192">
        <v>7</v>
      </c>
      <c r="D94" s="192" t="s">
        <v>178</v>
      </c>
      <c r="E94" s="192">
        <v>545</v>
      </c>
      <c r="F94" s="193">
        <f t="shared" si="10"/>
        <v>3815</v>
      </c>
      <c r="G94" s="190" t="s">
        <v>379</v>
      </c>
      <c r="H94" s="194"/>
      <c r="I94" s="194"/>
      <c r="J94" s="190">
        <v>4</v>
      </c>
      <c r="K94" s="190">
        <v>0</v>
      </c>
      <c r="L94" s="190"/>
      <c r="M94" s="190">
        <v>3</v>
      </c>
      <c r="N94" s="193">
        <f t="shared" si="11"/>
        <v>7</v>
      </c>
      <c r="O94" s="194"/>
      <c r="P94" s="194"/>
      <c r="Q94" s="192">
        <v>7</v>
      </c>
      <c r="R94" s="190">
        <v>4</v>
      </c>
      <c r="S94" s="190">
        <v>0</v>
      </c>
      <c r="T94" s="190"/>
      <c r="U94" s="190">
        <v>3</v>
      </c>
      <c r="V94" s="192">
        <f t="shared" si="12"/>
        <v>7</v>
      </c>
      <c r="W94" s="194"/>
      <c r="X94" s="194"/>
      <c r="Y94" s="194"/>
      <c r="Z94" s="194"/>
      <c r="AA94" s="194"/>
      <c r="AB94" s="194"/>
      <c r="AC94" s="194"/>
      <c r="AD94" s="194"/>
      <c r="AE94" s="194"/>
      <c r="AF94" s="194"/>
      <c r="AG94" s="194"/>
      <c r="AH94" s="194"/>
      <c r="AI94" s="194"/>
      <c r="AJ94" s="194"/>
      <c r="AK94" s="194"/>
      <c r="AL94" s="194"/>
      <c r="AM94" s="194"/>
      <c r="AN94" s="194"/>
      <c r="AO94" s="194"/>
      <c r="AP94" s="194"/>
      <c r="AQ94" s="194"/>
      <c r="AR94" s="194"/>
      <c r="AS94" s="194"/>
      <c r="AT94" s="194"/>
      <c r="AU94" s="194"/>
      <c r="AV94" s="194"/>
      <c r="AW94" s="194"/>
      <c r="AX94" s="194"/>
      <c r="AY94" s="194"/>
      <c r="AZ94" s="194"/>
      <c r="BA94" s="194"/>
      <c r="BB94" s="194"/>
      <c r="BC94" s="194"/>
      <c r="BD94" s="194"/>
      <c r="BE94" s="194"/>
      <c r="BF94" s="194"/>
      <c r="BG94" s="194"/>
      <c r="BH94" s="194"/>
      <c r="BI94" s="194"/>
      <c r="BJ94" s="194"/>
      <c r="BK94" s="194"/>
      <c r="BL94" s="194"/>
      <c r="BM94" s="194"/>
      <c r="BN94" s="194"/>
      <c r="BO94" s="194"/>
      <c r="BP94" s="194"/>
      <c r="BQ94" s="194"/>
      <c r="BR94" s="194"/>
      <c r="BS94" s="194"/>
      <c r="BT94" s="194"/>
      <c r="BU94" s="194"/>
      <c r="BV94" s="194"/>
      <c r="BW94" s="194"/>
      <c r="BX94" s="194"/>
      <c r="BY94" s="194"/>
      <c r="BZ94" s="194"/>
      <c r="CA94" s="194"/>
      <c r="CB94" s="194"/>
      <c r="CC94" s="194"/>
      <c r="CD94" s="194"/>
      <c r="CE94" s="194"/>
      <c r="CF94" s="194"/>
      <c r="CG94" s="194"/>
      <c r="CH94" s="194"/>
      <c r="CI94" s="194"/>
      <c r="CJ94" s="194"/>
      <c r="CK94" s="194"/>
      <c r="CL94" s="194"/>
      <c r="CM94" s="194"/>
      <c r="CN94" s="194"/>
      <c r="CO94" s="194"/>
      <c r="CP94" s="194"/>
      <c r="CQ94" s="194"/>
      <c r="CR94" s="194"/>
      <c r="CS94" s="194"/>
      <c r="CT94" s="194"/>
      <c r="CU94" s="194"/>
      <c r="CV94" s="194"/>
      <c r="CW94" s="194"/>
      <c r="CX94" s="194"/>
      <c r="CY94" s="194"/>
      <c r="CZ94" s="194"/>
      <c r="DA94" s="194"/>
      <c r="DB94" s="194"/>
      <c r="DC94" s="194"/>
      <c r="DD94" s="194"/>
      <c r="DE94" s="194"/>
      <c r="DF94" s="194"/>
      <c r="DG94" s="194"/>
      <c r="DH94" s="194"/>
      <c r="DI94" s="194"/>
      <c r="DJ94" s="194"/>
      <c r="DK94" s="194"/>
      <c r="DL94" s="194"/>
      <c r="DM94" s="194"/>
      <c r="DN94" s="194"/>
      <c r="DO94" s="194"/>
      <c r="DP94" s="194"/>
      <c r="DQ94" s="194"/>
      <c r="DR94" s="194"/>
      <c r="DS94" s="194"/>
      <c r="DT94" s="194"/>
      <c r="DU94" s="194"/>
      <c r="DV94" s="194"/>
      <c r="DW94" s="194"/>
      <c r="DX94" s="194"/>
      <c r="DY94" s="194"/>
      <c r="DZ94" s="194"/>
      <c r="EA94" s="194"/>
      <c r="EB94" s="194"/>
      <c r="EC94" s="194"/>
      <c r="ED94" s="194"/>
      <c r="EE94" s="194"/>
      <c r="EF94" s="194"/>
      <c r="EG94" s="194"/>
      <c r="EH94" s="194"/>
      <c r="EI94" s="194"/>
      <c r="EJ94" s="194"/>
      <c r="EK94" s="194"/>
      <c r="EL94" s="194"/>
      <c r="EM94" s="194"/>
      <c r="EN94" s="194"/>
      <c r="EO94" s="194"/>
      <c r="EP94" s="194"/>
      <c r="EQ94" s="194"/>
      <c r="ER94" s="194"/>
      <c r="ES94" s="194"/>
      <c r="ET94" s="194"/>
      <c r="EU94" s="194"/>
      <c r="EV94" s="194"/>
      <c r="EW94" s="194"/>
      <c r="EX94" s="194"/>
      <c r="EY94" s="194"/>
      <c r="EZ94" s="194"/>
      <c r="FA94" s="194"/>
      <c r="FB94" s="194"/>
      <c r="FC94" s="194"/>
      <c r="FD94" s="194"/>
      <c r="FE94" s="194"/>
      <c r="FF94" s="194"/>
      <c r="FG94" s="194"/>
      <c r="FH94" s="194"/>
      <c r="FI94" s="194"/>
      <c r="FJ94" s="194"/>
      <c r="FK94" s="194"/>
      <c r="FL94" s="194"/>
      <c r="FM94" s="194"/>
      <c r="FN94" s="194"/>
      <c r="FO94" s="194"/>
      <c r="FP94" s="194"/>
      <c r="FQ94" s="194"/>
      <c r="FR94" s="194"/>
      <c r="FS94" s="194"/>
      <c r="FT94" s="194"/>
      <c r="FU94" s="194"/>
      <c r="FV94" s="194"/>
      <c r="FW94" s="194"/>
      <c r="FX94" s="194"/>
      <c r="FY94" s="194"/>
      <c r="FZ94" s="194"/>
      <c r="GA94" s="194"/>
      <c r="GB94" s="194"/>
      <c r="GC94" s="194"/>
      <c r="GD94" s="194"/>
      <c r="GE94" s="194"/>
      <c r="GF94" s="194"/>
      <c r="GG94" s="194"/>
      <c r="GH94" s="194"/>
      <c r="GI94" s="194"/>
      <c r="GJ94" s="194"/>
      <c r="GK94" s="194"/>
      <c r="GL94" s="194"/>
      <c r="GM94" s="194"/>
      <c r="GN94" s="194"/>
      <c r="GO94" s="194"/>
      <c r="GP94" s="194"/>
      <c r="GQ94" s="194"/>
      <c r="GR94" s="194"/>
      <c r="GS94" s="194"/>
      <c r="GT94" s="194"/>
      <c r="GU94" s="194"/>
      <c r="GV94" s="194"/>
      <c r="GW94" s="194"/>
      <c r="GX94" s="194"/>
      <c r="GY94" s="194"/>
      <c r="GZ94" s="194"/>
      <c r="HA94" s="194"/>
      <c r="HB94" s="194"/>
      <c r="HC94" s="194"/>
      <c r="HD94" s="194"/>
      <c r="HE94" s="194"/>
      <c r="HF94" s="194"/>
      <c r="HG94" s="194"/>
      <c r="HH94" s="194"/>
      <c r="HI94" s="194"/>
      <c r="HJ94" s="194"/>
      <c r="HK94" s="194"/>
      <c r="HL94" s="194"/>
      <c r="HM94" s="194"/>
      <c r="HN94" s="194"/>
      <c r="HO94" s="194"/>
      <c r="HP94" s="194"/>
      <c r="HQ94" s="194"/>
      <c r="HR94" s="194"/>
      <c r="HS94" s="194"/>
      <c r="HT94" s="194"/>
      <c r="HU94" s="194"/>
      <c r="HV94" s="194"/>
      <c r="HW94" s="194"/>
      <c r="HX94" s="194"/>
      <c r="HY94" s="194"/>
      <c r="HZ94" s="194"/>
      <c r="IA94" s="194"/>
      <c r="IB94" s="194"/>
      <c r="IC94" s="194"/>
      <c r="ID94" s="194"/>
      <c r="IE94" s="194"/>
      <c r="IF94" s="194"/>
      <c r="IG94" s="194"/>
    </row>
    <row r="95" spans="1:241" s="196" customFormat="1" ht="24" x14ac:dyDescent="0.2">
      <c r="A95" s="192">
        <f>A94+1</f>
        <v>30</v>
      </c>
      <c r="B95" s="191" t="s">
        <v>337</v>
      </c>
      <c r="C95" s="192">
        <v>4</v>
      </c>
      <c r="D95" s="192" t="s">
        <v>178</v>
      </c>
      <c r="E95" s="192">
        <v>728</v>
      </c>
      <c r="F95" s="193">
        <f t="shared" si="10"/>
        <v>2912</v>
      </c>
      <c r="G95" s="190" t="s">
        <v>379</v>
      </c>
      <c r="H95" s="194"/>
      <c r="I95" s="194"/>
      <c r="J95" s="190">
        <v>4</v>
      </c>
      <c r="K95" s="190">
        <v>0</v>
      </c>
      <c r="L95" s="190"/>
      <c r="M95" s="190"/>
      <c r="N95" s="193">
        <f t="shared" si="11"/>
        <v>4</v>
      </c>
      <c r="O95" s="190"/>
      <c r="P95" s="194"/>
      <c r="Q95" s="192">
        <v>4</v>
      </c>
      <c r="R95" s="190">
        <v>4</v>
      </c>
      <c r="S95" s="190">
        <v>0</v>
      </c>
      <c r="T95" s="190"/>
      <c r="U95" s="190"/>
      <c r="V95" s="192">
        <f t="shared" si="12"/>
        <v>4</v>
      </c>
      <c r="W95" s="194"/>
      <c r="X95" s="194"/>
      <c r="Y95" s="194"/>
      <c r="Z95" s="194"/>
      <c r="AA95" s="194"/>
      <c r="AB95" s="194"/>
      <c r="AC95" s="194"/>
      <c r="AD95" s="194"/>
      <c r="AE95" s="194"/>
      <c r="AF95" s="194"/>
      <c r="AG95" s="194"/>
      <c r="AH95" s="194"/>
      <c r="AI95" s="194"/>
      <c r="AJ95" s="194"/>
      <c r="AK95" s="194"/>
      <c r="AL95" s="194"/>
      <c r="AM95" s="194"/>
      <c r="AN95" s="194"/>
      <c r="AO95" s="194"/>
      <c r="AP95" s="194"/>
      <c r="AQ95" s="194"/>
      <c r="AR95" s="194"/>
      <c r="AS95" s="194"/>
      <c r="AT95" s="194"/>
      <c r="AU95" s="194"/>
      <c r="AV95" s="194"/>
      <c r="AW95" s="194"/>
      <c r="AX95" s="194"/>
      <c r="AY95" s="194"/>
      <c r="AZ95" s="194"/>
      <c r="BA95" s="194"/>
      <c r="BB95" s="194"/>
      <c r="BC95" s="194"/>
      <c r="BD95" s="194"/>
      <c r="BE95" s="194"/>
      <c r="BF95" s="194"/>
      <c r="BG95" s="194"/>
      <c r="BH95" s="194"/>
      <c r="BI95" s="194"/>
      <c r="BJ95" s="194"/>
      <c r="BK95" s="194"/>
      <c r="BL95" s="194"/>
      <c r="BM95" s="194"/>
      <c r="BN95" s="194"/>
      <c r="BO95" s="194"/>
      <c r="BP95" s="194"/>
      <c r="BQ95" s="194"/>
      <c r="BR95" s="194"/>
      <c r="BS95" s="194"/>
      <c r="BT95" s="194"/>
      <c r="BU95" s="194"/>
      <c r="BV95" s="194"/>
      <c r="BW95" s="194"/>
      <c r="BX95" s="194"/>
      <c r="BY95" s="194"/>
      <c r="BZ95" s="194"/>
      <c r="CA95" s="194"/>
      <c r="CB95" s="194"/>
      <c r="CC95" s="194"/>
      <c r="CD95" s="194"/>
      <c r="CE95" s="194"/>
      <c r="CF95" s="194"/>
      <c r="CG95" s="194"/>
      <c r="CH95" s="194"/>
      <c r="CI95" s="194"/>
      <c r="CJ95" s="194"/>
      <c r="CK95" s="194"/>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c r="FJ95" s="194"/>
      <c r="FK95" s="194"/>
      <c r="FL95" s="194"/>
      <c r="FM95" s="194"/>
      <c r="FN95" s="194"/>
      <c r="FO95" s="194"/>
      <c r="FP95" s="194"/>
      <c r="FQ95" s="194"/>
      <c r="FR95" s="194"/>
      <c r="FS95" s="194"/>
      <c r="FT95" s="194"/>
      <c r="FU95" s="194"/>
      <c r="FV95" s="194"/>
      <c r="FW95" s="194"/>
      <c r="FX95" s="194"/>
      <c r="FY95" s="194"/>
      <c r="FZ95" s="194"/>
      <c r="GA95" s="194"/>
      <c r="GB95" s="194"/>
      <c r="GC95" s="194"/>
      <c r="GD95" s="194"/>
      <c r="GE95" s="194"/>
      <c r="GF95" s="194"/>
      <c r="GG95" s="194"/>
      <c r="GH95" s="194"/>
      <c r="GI95" s="194"/>
      <c r="GJ95" s="194"/>
      <c r="GK95" s="194"/>
      <c r="GL95" s="194"/>
      <c r="GM95" s="194"/>
      <c r="GN95" s="194"/>
      <c r="GO95" s="194"/>
      <c r="GP95" s="194"/>
      <c r="GQ95" s="194"/>
      <c r="GR95" s="194"/>
      <c r="GS95" s="194"/>
      <c r="GT95" s="194"/>
      <c r="GU95" s="194"/>
      <c r="GV95" s="194"/>
      <c r="GW95" s="194"/>
      <c r="GX95" s="194"/>
      <c r="GY95" s="194"/>
      <c r="GZ95" s="194"/>
      <c r="HA95" s="194"/>
      <c r="HB95" s="194"/>
      <c r="HC95" s="194"/>
      <c r="HD95" s="194"/>
      <c r="HE95" s="194"/>
      <c r="HF95" s="194"/>
      <c r="HG95" s="194"/>
      <c r="HH95" s="194"/>
      <c r="HI95" s="194"/>
      <c r="HJ95" s="194"/>
      <c r="HK95" s="194"/>
      <c r="HL95" s="194"/>
      <c r="HM95" s="194"/>
      <c r="HN95" s="194"/>
      <c r="HO95" s="194"/>
      <c r="HP95" s="194"/>
      <c r="HQ95" s="194"/>
      <c r="HR95" s="194"/>
      <c r="HS95" s="194"/>
      <c r="HT95" s="194"/>
      <c r="HU95" s="194"/>
      <c r="HV95" s="194"/>
      <c r="HW95" s="194"/>
      <c r="HX95" s="194"/>
      <c r="HY95" s="194"/>
      <c r="HZ95" s="194"/>
      <c r="IA95" s="194"/>
      <c r="IB95" s="194"/>
      <c r="IC95" s="194"/>
      <c r="ID95" s="194"/>
      <c r="IE95" s="194"/>
      <c r="IF95" s="194"/>
      <c r="IG95" s="194"/>
    </row>
    <row r="96" spans="1:241" s="190" customFormat="1" ht="48" x14ac:dyDescent="0.2">
      <c r="A96" s="192">
        <f>A95+1</f>
        <v>31</v>
      </c>
      <c r="B96" s="191" t="s">
        <v>338</v>
      </c>
      <c r="C96" s="190">
        <v>1400</v>
      </c>
      <c r="D96" s="190" t="s">
        <v>45</v>
      </c>
      <c r="E96" s="190">
        <v>42</v>
      </c>
      <c r="F96" s="193">
        <f t="shared" si="10"/>
        <v>58800</v>
      </c>
      <c r="G96" s="190" t="s">
        <v>379</v>
      </c>
      <c r="H96" s="194"/>
      <c r="I96" s="194"/>
      <c r="J96" s="190">
        <v>400</v>
      </c>
      <c r="K96" s="190">
        <v>0</v>
      </c>
      <c r="L96" s="190">
        <v>800</v>
      </c>
      <c r="M96" s="190">
        <v>200</v>
      </c>
      <c r="N96" s="193">
        <f t="shared" si="11"/>
        <v>1400</v>
      </c>
      <c r="O96" s="196"/>
      <c r="Q96" s="190">
        <v>1400</v>
      </c>
      <c r="R96" s="190">
        <v>400</v>
      </c>
      <c r="S96" s="190">
        <v>0</v>
      </c>
      <c r="T96" s="190">
        <v>800</v>
      </c>
      <c r="U96" s="190">
        <v>200</v>
      </c>
      <c r="V96" s="190">
        <f t="shared" si="12"/>
        <v>1400</v>
      </c>
    </row>
    <row r="97" spans="1:241" s="194" customFormat="1" ht="24" x14ac:dyDescent="0.25">
      <c r="A97" s="192">
        <f>A127+1</f>
        <v>42</v>
      </c>
      <c r="B97" s="191" t="s">
        <v>348</v>
      </c>
      <c r="C97" s="192">
        <v>3</v>
      </c>
      <c r="D97" s="192" t="s">
        <v>2</v>
      </c>
      <c r="E97" s="251">
        <v>2301</v>
      </c>
      <c r="F97" s="193">
        <f t="shared" si="10"/>
        <v>6903</v>
      </c>
      <c r="G97" s="190" t="s">
        <v>379</v>
      </c>
      <c r="J97" s="190">
        <v>3</v>
      </c>
      <c r="K97" s="190">
        <v>0</v>
      </c>
      <c r="L97" s="190"/>
      <c r="M97" s="190"/>
      <c r="N97" s="193">
        <f t="shared" si="11"/>
        <v>3</v>
      </c>
      <c r="Q97" s="192">
        <v>3</v>
      </c>
      <c r="R97" s="190">
        <v>3</v>
      </c>
      <c r="S97" s="190">
        <v>0</v>
      </c>
      <c r="T97" s="190"/>
      <c r="U97" s="190"/>
      <c r="V97" s="192">
        <f t="shared" si="12"/>
        <v>3</v>
      </c>
    </row>
    <row r="98" spans="1:241" s="194" customFormat="1" ht="24" x14ac:dyDescent="0.25">
      <c r="A98" s="192">
        <f>A88+1</f>
        <v>44</v>
      </c>
      <c r="B98" s="279" t="s">
        <v>350</v>
      </c>
      <c r="C98" s="192">
        <v>6</v>
      </c>
      <c r="D98" s="192" t="s">
        <v>5</v>
      </c>
      <c r="E98" s="251">
        <v>811</v>
      </c>
      <c r="F98" s="193">
        <f t="shared" si="10"/>
        <v>4866</v>
      </c>
      <c r="G98" s="190" t="s">
        <v>379</v>
      </c>
      <c r="J98" s="190">
        <v>6</v>
      </c>
      <c r="K98" s="190">
        <v>0</v>
      </c>
      <c r="L98" s="190"/>
      <c r="M98" s="190"/>
      <c r="N98" s="193">
        <f t="shared" si="11"/>
        <v>6</v>
      </c>
      <c r="Q98" s="192">
        <v>6</v>
      </c>
      <c r="R98" s="190">
        <v>6</v>
      </c>
      <c r="S98" s="190">
        <v>0</v>
      </c>
      <c r="T98" s="190"/>
      <c r="U98" s="190"/>
      <c r="V98" s="192">
        <f t="shared" si="12"/>
        <v>6</v>
      </c>
    </row>
    <row r="99" spans="1:241" s="194" customFormat="1" ht="24" x14ac:dyDescent="0.25">
      <c r="A99" s="192">
        <f>A98+1</f>
        <v>45</v>
      </c>
      <c r="B99" s="279" t="s">
        <v>351</v>
      </c>
      <c r="C99" s="192">
        <v>7</v>
      </c>
      <c r="D99" s="192" t="s">
        <v>5</v>
      </c>
      <c r="E99" s="251">
        <v>650</v>
      </c>
      <c r="F99" s="193">
        <f t="shared" si="10"/>
        <v>4550</v>
      </c>
      <c r="G99" s="190" t="s">
        <v>379</v>
      </c>
      <c r="J99" s="190">
        <v>7</v>
      </c>
      <c r="K99" s="190">
        <v>0</v>
      </c>
      <c r="L99" s="190"/>
      <c r="M99" s="190"/>
      <c r="N99" s="193">
        <f t="shared" si="11"/>
        <v>7</v>
      </c>
      <c r="O99" s="195"/>
      <c r="Q99" s="192">
        <v>7</v>
      </c>
      <c r="R99" s="190">
        <v>7</v>
      </c>
      <c r="S99" s="190">
        <v>0</v>
      </c>
      <c r="T99" s="190"/>
      <c r="U99" s="190"/>
      <c r="V99" s="192">
        <f t="shared" si="12"/>
        <v>7</v>
      </c>
    </row>
    <row r="100" spans="1:241" s="195" customFormat="1" ht="24" x14ac:dyDescent="0.25">
      <c r="A100" s="192">
        <f>A99+1</f>
        <v>46</v>
      </c>
      <c r="B100" s="191" t="s">
        <v>352</v>
      </c>
      <c r="C100" s="192">
        <v>1</v>
      </c>
      <c r="D100" s="192" t="s">
        <v>5</v>
      </c>
      <c r="E100" s="251">
        <v>6100</v>
      </c>
      <c r="F100" s="193">
        <f t="shared" si="10"/>
        <v>6100</v>
      </c>
      <c r="G100" s="190" t="s">
        <v>379</v>
      </c>
      <c r="H100" s="194"/>
      <c r="I100" s="194"/>
      <c r="J100" s="190">
        <v>1</v>
      </c>
      <c r="K100" s="190">
        <v>0</v>
      </c>
      <c r="L100" s="190"/>
      <c r="M100" s="190"/>
      <c r="N100" s="193">
        <f t="shared" si="11"/>
        <v>1</v>
      </c>
      <c r="Q100" s="192">
        <v>1</v>
      </c>
      <c r="R100" s="190">
        <v>1</v>
      </c>
      <c r="S100" s="190">
        <v>0</v>
      </c>
      <c r="T100" s="190"/>
      <c r="U100" s="190"/>
      <c r="V100" s="192">
        <f t="shared" si="12"/>
        <v>1</v>
      </c>
    </row>
    <row r="101" spans="1:241" s="196" customFormat="1" ht="36" x14ac:dyDescent="0.2">
      <c r="A101" s="192">
        <f>A119+1</f>
        <v>33</v>
      </c>
      <c r="B101" s="191" t="s">
        <v>341</v>
      </c>
      <c r="C101" s="192">
        <v>260</v>
      </c>
      <c r="D101" s="190" t="s">
        <v>45</v>
      </c>
      <c r="E101" s="200">
        <v>380</v>
      </c>
      <c r="F101" s="193">
        <f t="shared" si="10"/>
        <v>98800</v>
      </c>
      <c r="G101" s="190" t="s">
        <v>379</v>
      </c>
      <c r="H101" s="194"/>
      <c r="I101" s="194"/>
      <c r="J101" s="190">
        <v>50</v>
      </c>
      <c r="K101" s="190">
        <v>30</v>
      </c>
      <c r="L101" s="190">
        <v>150</v>
      </c>
      <c r="M101" s="190">
        <v>30</v>
      </c>
      <c r="N101" s="193">
        <f t="shared" si="11"/>
        <v>260</v>
      </c>
      <c r="Q101" s="192">
        <v>260</v>
      </c>
      <c r="R101" s="190">
        <v>50</v>
      </c>
      <c r="S101" s="190">
        <v>30</v>
      </c>
      <c r="T101" s="190">
        <v>150</v>
      </c>
      <c r="U101" s="190">
        <v>30</v>
      </c>
      <c r="V101" s="192">
        <f t="shared" si="12"/>
        <v>260</v>
      </c>
    </row>
    <row r="102" spans="1:241" s="196" customFormat="1" x14ac:dyDescent="0.2">
      <c r="A102" s="192"/>
      <c r="B102" s="191"/>
      <c r="C102" s="192"/>
      <c r="D102" s="192"/>
      <c r="E102" s="192"/>
      <c r="F102" s="193"/>
      <c r="G102" s="190"/>
      <c r="H102" s="194"/>
      <c r="I102" s="194"/>
      <c r="J102" s="190"/>
      <c r="K102" s="190"/>
      <c r="L102" s="190"/>
      <c r="M102" s="190"/>
      <c r="N102" s="193"/>
      <c r="O102" s="194"/>
      <c r="P102" s="194"/>
      <c r="Q102" s="192"/>
      <c r="R102" s="190"/>
      <c r="S102" s="190"/>
      <c r="T102" s="190"/>
      <c r="U102" s="190"/>
      <c r="V102" s="192"/>
      <c r="W102" s="194"/>
      <c r="X102" s="194"/>
      <c r="Y102" s="194"/>
      <c r="Z102" s="194"/>
      <c r="AA102" s="194"/>
      <c r="AB102" s="194"/>
      <c r="AC102" s="194"/>
      <c r="AD102" s="194"/>
      <c r="AE102" s="194"/>
      <c r="AF102" s="194"/>
      <c r="AG102" s="194"/>
      <c r="AH102" s="194"/>
      <c r="AI102" s="194"/>
      <c r="AJ102" s="194"/>
      <c r="AK102" s="194"/>
      <c r="AL102" s="194"/>
      <c r="AM102" s="194"/>
      <c r="AN102" s="194"/>
      <c r="AO102" s="194"/>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c r="BJ102" s="194"/>
      <c r="BK102" s="194"/>
      <c r="BL102" s="194"/>
      <c r="BM102" s="194"/>
      <c r="BN102" s="194"/>
      <c r="BO102" s="194"/>
      <c r="BP102" s="194"/>
      <c r="BQ102" s="194"/>
      <c r="BR102" s="194"/>
      <c r="BS102" s="194"/>
      <c r="BT102" s="194"/>
      <c r="BU102" s="194"/>
      <c r="BV102" s="194"/>
      <c r="BW102" s="194"/>
      <c r="BX102" s="194"/>
      <c r="BY102" s="194"/>
      <c r="BZ102" s="194"/>
      <c r="CA102" s="194"/>
      <c r="CB102" s="194"/>
      <c r="CC102" s="194"/>
      <c r="CD102" s="194"/>
      <c r="CE102" s="194"/>
      <c r="CF102" s="194"/>
      <c r="CG102" s="194"/>
      <c r="CH102" s="194"/>
      <c r="CI102" s="194"/>
      <c r="CJ102" s="194"/>
      <c r="CK102" s="194"/>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c r="FJ102" s="194"/>
      <c r="FK102" s="194"/>
      <c r="FL102" s="194"/>
      <c r="FM102" s="194"/>
      <c r="FN102" s="194"/>
      <c r="FO102" s="194"/>
      <c r="FP102" s="194"/>
      <c r="FQ102" s="194"/>
      <c r="FR102" s="194"/>
      <c r="FS102" s="194"/>
      <c r="FT102" s="194"/>
      <c r="FU102" s="194"/>
      <c r="FV102" s="194"/>
      <c r="FW102" s="194"/>
      <c r="FX102" s="194"/>
      <c r="FY102" s="194"/>
      <c r="FZ102" s="194"/>
      <c r="GA102" s="194"/>
      <c r="GB102" s="194"/>
      <c r="GC102" s="194"/>
      <c r="GD102" s="194"/>
      <c r="GE102" s="194"/>
      <c r="GF102" s="194"/>
      <c r="GG102" s="194"/>
      <c r="GH102" s="194"/>
      <c r="GI102" s="194"/>
      <c r="GJ102" s="194"/>
      <c r="GK102" s="194"/>
      <c r="GL102" s="194"/>
      <c r="GM102" s="194"/>
      <c r="GN102" s="194"/>
      <c r="GO102" s="194"/>
      <c r="GP102" s="194"/>
      <c r="GQ102" s="194"/>
      <c r="GR102" s="194"/>
      <c r="GS102" s="194"/>
      <c r="GT102" s="194"/>
      <c r="GU102" s="194"/>
      <c r="GV102" s="194"/>
      <c r="GW102" s="194"/>
      <c r="GX102" s="194"/>
      <c r="GY102" s="194"/>
      <c r="GZ102" s="194"/>
      <c r="HA102" s="194"/>
      <c r="HB102" s="194"/>
      <c r="HC102" s="194"/>
      <c r="HD102" s="194"/>
      <c r="HE102" s="194"/>
      <c r="HF102" s="194"/>
      <c r="HG102" s="194"/>
      <c r="HH102" s="194"/>
      <c r="HI102" s="194"/>
      <c r="HJ102" s="194"/>
      <c r="HK102" s="194"/>
      <c r="HL102" s="194"/>
      <c r="HM102" s="194"/>
      <c r="HN102" s="194"/>
      <c r="HO102" s="194"/>
      <c r="HP102" s="194"/>
      <c r="HQ102" s="194"/>
      <c r="HR102" s="194"/>
      <c r="HS102" s="194"/>
      <c r="HT102" s="194"/>
      <c r="HU102" s="194"/>
      <c r="HV102" s="194"/>
      <c r="HW102" s="194"/>
      <c r="HX102" s="194"/>
      <c r="HY102" s="194"/>
      <c r="HZ102" s="194"/>
      <c r="IA102" s="194"/>
      <c r="IB102" s="194"/>
      <c r="IC102" s="194"/>
      <c r="ID102" s="194"/>
      <c r="IE102" s="194"/>
      <c r="IF102" s="194"/>
      <c r="IG102" s="194"/>
    </row>
    <row r="103" spans="1:241" s="145" customFormat="1" ht="12.75" thickBot="1" x14ac:dyDescent="0.25">
      <c r="A103" s="12"/>
      <c r="B103" s="9" t="s">
        <v>242</v>
      </c>
      <c r="C103" s="17"/>
      <c r="D103" s="12"/>
      <c r="E103" s="12"/>
      <c r="F103" s="165">
        <f>SUM(F71:F102)</f>
        <v>1892829.21</v>
      </c>
      <c r="G103" s="17"/>
      <c r="H103" s="82"/>
      <c r="I103" s="82"/>
      <c r="J103" s="12"/>
      <c r="K103" s="12"/>
      <c r="L103" s="197"/>
      <c r="M103" s="213"/>
      <c r="N103" s="243"/>
      <c r="O103" s="81"/>
      <c r="Q103" s="17"/>
      <c r="R103" s="12"/>
      <c r="S103" s="12"/>
      <c r="T103" s="12"/>
      <c r="U103" s="12"/>
      <c r="V103" s="17"/>
    </row>
    <row r="104" spans="1:241" s="81" customFormat="1" x14ac:dyDescent="0.2">
      <c r="A104" s="13"/>
      <c r="C104" s="13"/>
      <c r="G104" s="5"/>
      <c r="H104" s="136"/>
      <c r="I104" s="136"/>
      <c r="J104" s="6"/>
      <c r="L104" s="199"/>
      <c r="M104" s="215"/>
      <c r="N104" s="242"/>
      <c r="O104" s="128">
        <f>F104-N104</f>
        <v>0</v>
      </c>
      <c r="Q104" s="13"/>
      <c r="V104" s="13"/>
    </row>
    <row r="105" spans="1:241" s="128" customFormat="1" x14ac:dyDescent="0.25">
      <c r="A105" s="12" t="s">
        <v>250</v>
      </c>
      <c r="B105" s="131" t="s">
        <v>404</v>
      </c>
      <c r="C105" s="12"/>
      <c r="D105" s="12"/>
      <c r="E105" s="12"/>
      <c r="F105" s="12"/>
      <c r="G105" s="17"/>
      <c r="H105" s="82"/>
      <c r="I105" s="82"/>
      <c r="J105" s="12"/>
      <c r="K105" s="12"/>
      <c r="L105" s="197"/>
      <c r="M105" s="213"/>
      <c r="N105" s="243"/>
      <c r="O105" s="144"/>
      <c r="Q105" s="12"/>
      <c r="R105" s="12"/>
      <c r="S105" s="12"/>
      <c r="T105" s="12"/>
      <c r="U105" s="12"/>
      <c r="V105" s="12"/>
    </row>
    <row r="106" spans="1:241" s="196" customFormat="1" x14ac:dyDescent="0.2">
      <c r="A106" s="192"/>
      <c r="B106" s="191"/>
      <c r="C106" s="192"/>
      <c r="D106" s="192"/>
      <c r="E106" s="192"/>
      <c r="F106" s="193"/>
      <c r="G106" s="190"/>
      <c r="H106" s="194"/>
      <c r="I106" s="194"/>
      <c r="J106" s="190"/>
      <c r="K106" s="190"/>
      <c r="L106" s="190"/>
      <c r="M106" s="190"/>
      <c r="N106" s="193"/>
      <c r="O106" s="194"/>
      <c r="P106" s="194"/>
      <c r="Q106" s="192"/>
      <c r="R106" s="190"/>
      <c r="S106" s="190"/>
      <c r="T106" s="190"/>
      <c r="U106" s="190"/>
      <c r="V106" s="192"/>
      <c r="W106" s="194"/>
      <c r="X106" s="194"/>
      <c r="Y106" s="194"/>
      <c r="Z106" s="194"/>
      <c r="AA106" s="194"/>
      <c r="AB106" s="194"/>
      <c r="AC106" s="194"/>
      <c r="AD106" s="194"/>
      <c r="AE106" s="194"/>
      <c r="AF106" s="194"/>
      <c r="AG106" s="194"/>
      <c r="AH106" s="194"/>
      <c r="AI106" s="194"/>
      <c r="AJ106" s="194"/>
      <c r="AK106" s="194"/>
      <c r="AL106" s="194"/>
      <c r="AM106" s="194"/>
      <c r="AN106" s="194"/>
      <c r="AO106" s="194"/>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c r="BJ106" s="194"/>
      <c r="BK106" s="194"/>
      <c r="BL106" s="194"/>
      <c r="BM106" s="194"/>
      <c r="BN106" s="194"/>
      <c r="BO106" s="194"/>
      <c r="BP106" s="194"/>
      <c r="BQ106" s="194"/>
      <c r="BR106" s="194"/>
      <c r="BS106" s="194"/>
      <c r="BT106" s="194"/>
      <c r="BU106" s="194"/>
      <c r="BV106" s="194"/>
      <c r="BW106" s="194"/>
      <c r="BX106" s="194"/>
      <c r="BY106" s="194"/>
      <c r="BZ106" s="194"/>
      <c r="CA106" s="194"/>
      <c r="CB106" s="194"/>
      <c r="CC106" s="194"/>
      <c r="CD106" s="194"/>
      <c r="CE106" s="194"/>
      <c r="CF106" s="194"/>
      <c r="CG106" s="194"/>
      <c r="CH106" s="194"/>
      <c r="CI106" s="194"/>
      <c r="CJ106" s="194"/>
      <c r="CK106" s="194"/>
      <c r="CL106" s="194"/>
      <c r="CM106" s="194"/>
      <c r="CN106" s="194"/>
      <c r="CO106" s="194"/>
      <c r="CP106" s="194"/>
      <c r="CQ106" s="194"/>
      <c r="CR106" s="194"/>
      <c r="CS106" s="194"/>
      <c r="CT106" s="194"/>
      <c r="CU106" s="194"/>
      <c r="CV106" s="194"/>
      <c r="CW106" s="194"/>
      <c r="CX106" s="194"/>
      <c r="CY106" s="194"/>
      <c r="CZ106" s="194"/>
      <c r="DA106" s="194"/>
      <c r="DB106" s="194"/>
      <c r="DC106" s="194"/>
      <c r="DD106" s="194"/>
      <c r="DE106" s="194"/>
      <c r="DF106" s="194"/>
      <c r="DG106" s="194"/>
      <c r="DH106" s="194"/>
      <c r="DI106" s="194"/>
      <c r="DJ106" s="194"/>
      <c r="DK106" s="194"/>
      <c r="DL106" s="194"/>
      <c r="DM106" s="194"/>
      <c r="DN106" s="194"/>
      <c r="DO106" s="194"/>
      <c r="DP106" s="194"/>
      <c r="DQ106" s="194"/>
      <c r="DR106" s="194"/>
      <c r="DS106" s="194"/>
      <c r="DT106" s="194"/>
      <c r="DU106" s="194"/>
      <c r="DV106" s="194"/>
      <c r="DW106" s="194"/>
      <c r="DX106" s="194"/>
      <c r="DY106" s="194"/>
      <c r="DZ106" s="194"/>
      <c r="EA106" s="194"/>
      <c r="EB106" s="194"/>
      <c r="EC106" s="194"/>
      <c r="ED106" s="194"/>
      <c r="EE106" s="194"/>
      <c r="EF106" s="194"/>
      <c r="EG106" s="194"/>
      <c r="EH106" s="194"/>
      <c r="EI106" s="194"/>
      <c r="EJ106" s="194"/>
      <c r="EK106" s="194"/>
      <c r="EL106" s="194"/>
      <c r="EM106" s="194"/>
      <c r="EN106" s="194"/>
      <c r="EO106" s="194"/>
      <c r="EP106" s="194"/>
      <c r="EQ106" s="194"/>
      <c r="ER106" s="194"/>
      <c r="ES106" s="194"/>
      <c r="ET106" s="194"/>
      <c r="EU106" s="194"/>
      <c r="EV106" s="194"/>
      <c r="EW106" s="194"/>
      <c r="EX106" s="194"/>
      <c r="EY106" s="194"/>
      <c r="EZ106" s="194"/>
      <c r="FA106" s="194"/>
      <c r="FB106" s="194"/>
      <c r="FC106" s="194"/>
      <c r="FD106" s="194"/>
      <c r="FE106" s="194"/>
      <c r="FF106" s="194"/>
      <c r="FG106" s="194"/>
      <c r="FH106" s="194"/>
      <c r="FI106" s="194"/>
      <c r="FJ106" s="194"/>
      <c r="FK106" s="194"/>
      <c r="FL106" s="194"/>
      <c r="FM106" s="194"/>
      <c r="FN106" s="194"/>
      <c r="FO106" s="194"/>
      <c r="FP106" s="194"/>
      <c r="FQ106" s="194"/>
      <c r="FR106" s="194"/>
      <c r="FS106" s="194"/>
      <c r="FT106" s="194"/>
      <c r="FU106" s="194"/>
      <c r="FV106" s="194"/>
      <c r="FW106" s="194"/>
      <c r="FX106" s="194"/>
      <c r="FY106" s="194"/>
      <c r="FZ106" s="194"/>
      <c r="GA106" s="194"/>
      <c r="GB106" s="194"/>
      <c r="GC106" s="194"/>
      <c r="GD106" s="194"/>
      <c r="GE106" s="194"/>
      <c r="GF106" s="194"/>
      <c r="GG106" s="194"/>
      <c r="GH106" s="194"/>
      <c r="GI106" s="194"/>
      <c r="GJ106" s="194"/>
      <c r="GK106" s="194"/>
      <c r="GL106" s="194"/>
      <c r="GM106" s="194"/>
      <c r="GN106" s="194"/>
      <c r="GO106" s="194"/>
      <c r="GP106" s="194"/>
      <c r="GQ106" s="194"/>
      <c r="GR106" s="194"/>
      <c r="GS106" s="194"/>
      <c r="GT106" s="194"/>
      <c r="GU106" s="194"/>
      <c r="GV106" s="194"/>
      <c r="GW106" s="194"/>
      <c r="GX106" s="194"/>
      <c r="GY106" s="194"/>
      <c r="GZ106" s="194"/>
      <c r="HA106" s="194"/>
      <c r="HB106" s="194"/>
      <c r="HC106" s="194"/>
      <c r="HD106" s="194"/>
      <c r="HE106" s="194"/>
      <c r="HF106" s="194"/>
      <c r="HG106" s="194"/>
      <c r="HH106" s="194"/>
      <c r="HI106" s="194"/>
      <c r="HJ106" s="194"/>
      <c r="HK106" s="194"/>
      <c r="HL106" s="194"/>
      <c r="HM106" s="194"/>
      <c r="HN106" s="194"/>
      <c r="HO106" s="194"/>
      <c r="HP106" s="194"/>
      <c r="HQ106" s="194"/>
      <c r="HR106" s="194"/>
      <c r="HS106" s="194"/>
      <c r="HT106" s="194"/>
      <c r="HU106" s="194"/>
      <c r="HV106" s="194"/>
      <c r="HW106" s="194"/>
      <c r="HX106" s="194"/>
      <c r="HY106" s="194"/>
      <c r="HZ106" s="194"/>
      <c r="IA106" s="194"/>
      <c r="IB106" s="194"/>
      <c r="IC106" s="194"/>
      <c r="ID106" s="194"/>
      <c r="IE106" s="194"/>
      <c r="IF106" s="194"/>
      <c r="IG106" s="194"/>
    </row>
    <row r="107" spans="1:241" s="144" customFormat="1" ht="51" x14ac:dyDescent="0.25">
      <c r="A107" s="5">
        <f>A84+1</f>
        <v>13</v>
      </c>
      <c r="B107" s="159" t="s">
        <v>320</v>
      </c>
      <c r="C107" s="5">
        <f>60+108</f>
        <v>168</v>
      </c>
      <c r="D107" s="13" t="s">
        <v>291</v>
      </c>
      <c r="E107" s="97">
        <v>88.5</v>
      </c>
      <c r="F107" s="130">
        <f t="shared" si="6"/>
        <v>14868</v>
      </c>
      <c r="G107" s="13" t="s">
        <v>379</v>
      </c>
      <c r="H107" s="136"/>
      <c r="I107" s="136"/>
      <c r="J107" s="13">
        <v>108</v>
      </c>
      <c r="K107" s="13">
        <v>0</v>
      </c>
      <c r="L107" s="190"/>
      <c r="M107" s="205"/>
      <c r="N107" s="244">
        <f t="shared" si="7"/>
        <v>108</v>
      </c>
      <c r="Q107" s="5">
        <v>108</v>
      </c>
      <c r="R107" s="13">
        <v>108</v>
      </c>
      <c r="S107" s="13">
        <v>0</v>
      </c>
      <c r="T107" s="13"/>
      <c r="U107" s="13"/>
      <c r="V107" s="5">
        <f t="shared" si="8"/>
        <v>108</v>
      </c>
    </row>
    <row r="108" spans="1:241" s="133" customFormat="1" x14ac:dyDescent="0.2">
      <c r="A108" s="72">
        <v>35</v>
      </c>
      <c r="B108" s="71" t="s">
        <v>371</v>
      </c>
      <c r="C108" s="70">
        <v>0</v>
      </c>
      <c r="D108" s="72" t="s">
        <v>125</v>
      </c>
      <c r="E108" s="72">
        <v>210</v>
      </c>
      <c r="F108" s="132">
        <f>C108*E108</f>
        <v>0</v>
      </c>
      <c r="G108" s="72" t="s">
        <v>379</v>
      </c>
      <c r="H108" s="70"/>
      <c r="I108" s="121"/>
      <c r="J108" s="72"/>
      <c r="K108" s="72"/>
      <c r="L108" s="72">
        <v>60</v>
      </c>
      <c r="M108" s="72"/>
      <c r="N108" s="132">
        <f>J108+K108+L108+M108</f>
        <v>60</v>
      </c>
      <c r="O108" s="120"/>
      <c r="Q108" s="70">
        <v>60</v>
      </c>
      <c r="R108" s="72"/>
      <c r="S108" s="72"/>
      <c r="T108" s="72">
        <v>60</v>
      </c>
      <c r="U108" s="72"/>
      <c r="V108" s="70">
        <f>R108+S108+T108+U108</f>
        <v>60</v>
      </c>
    </row>
    <row r="109" spans="1:241" ht="60" x14ac:dyDescent="0.2">
      <c r="A109" s="5">
        <f>A65+1</f>
        <v>16</v>
      </c>
      <c r="B109" s="6" t="s">
        <v>323</v>
      </c>
      <c r="C109" s="5">
        <v>68</v>
      </c>
      <c r="D109" s="13" t="s">
        <v>125</v>
      </c>
      <c r="E109" s="97">
        <v>250</v>
      </c>
      <c r="F109" s="130">
        <f t="shared" si="6"/>
        <v>17000</v>
      </c>
      <c r="G109" s="13" t="s">
        <v>379</v>
      </c>
      <c r="H109" s="136"/>
      <c r="I109" s="136"/>
      <c r="J109" s="72">
        <v>36</v>
      </c>
      <c r="K109" s="72">
        <v>4</v>
      </c>
      <c r="L109" s="190">
        <v>18</v>
      </c>
      <c r="M109" s="205">
        <v>10</v>
      </c>
      <c r="N109" s="244">
        <f t="shared" si="7"/>
        <v>68</v>
      </c>
      <c r="Q109" s="5">
        <v>68</v>
      </c>
      <c r="R109" s="13">
        <v>36</v>
      </c>
      <c r="S109" s="13">
        <v>4</v>
      </c>
      <c r="T109" s="13">
        <v>18</v>
      </c>
      <c r="U109" s="13">
        <v>10</v>
      </c>
      <c r="V109" s="5">
        <f t="shared" si="8"/>
        <v>68</v>
      </c>
    </row>
    <row r="110" spans="1:241" ht="24" x14ac:dyDescent="0.2">
      <c r="A110" s="5">
        <f t="shared" si="9"/>
        <v>17</v>
      </c>
      <c r="B110" s="129" t="s">
        <v>324</v>
      </c>
      <c r="C110" s="5">
        <v>1</v>
      </c>
      <c r="D110" s="13" t="s">
        <v>5</v>
      </c>
      <c r="E110" s="106">
        <v>2400</v>
      </c>
      <c r="F110" s="130">
        <f t="shared" si="6"/>
        <v>2400</v>
      </c>
      <c r="G110" s="13" t="s">
        <v>379</v>
      </c>
      <c r="H110" s="136"/>
      <c r="I110" s="136"/>
      <c r="J110" s="13">
        <v>1</v>
      </c>
      <c r="K110" s="13">
        <v>0</v>
      </c>
      <c r="L110" s="190"/>
      <c r="M110" s="205"/>
      <c r="N110" s="244">
        <f t="shared" si="7"/>
        <v>1</v>
      </c>
      <c r="Q110" s="5">
        <v>1</v>
      </c>
      <c r="R110" s="13">
        <v>1</v>
      </c>
      <c r="S110" s="13">
        <v>0</v>
      </c>
      <c r="T110" s="13"/>
      <c r="U110" s="13"/>
      <c r="V110" s="5">
        <f t="shared" si="8"/>
        <v>1</v>
      </c>
    </row>
    <row r="111" spans="1:241" ht="60" x14ac:dyDescent="0.2">
      <c r="A111" s="5">
        <f>A86+1</f>
        <v>19</v>
      </c>
      <c r="B111" s="6" t="s">
        <v>393</v>
      </c>
      <c r="C111" s="5">
        <v>2</v>
      </c>
      <c r="D111" s="13" t="s">
        <v>5</v>
      </c>
      <c r="E111" s="106">
        <v>39325.769999999997</v>
      </c>
      <c r="F111" s="130">
        <f t="shared" si="6"/>
        <v>78651.539999999994</v>
      </c>
      <c r="G111" s="13" t="s">
        <v>379</v>
      </c>
      <c r="H111" s="136"/>
      <c r="I111" s="136"/>
      <c r="J111" s="13">
        <v>1</v>
      </c>
      <c r="K111" s="13">
        <v>0</v>
      </c>
      <c r="L111" s="190"/>
      <c r="M111" s="205"/>
      <c r="N111" s="244">
        <f t="shared" si="7"/>
        <v>1</v>
      </c>
      <c r="Q111" s="5">
        <v>1</v>
      </c>
      <c r="R111" s="13">
        <v>1</v>
      </c>
      <c r="S111" s="13">
        <v>0</v>
      </c>
      <c r="T111" s="13"/>
      <c r="U111" s="13"/>
      <c r="V111" s="5">
        <f t="shared" si="8"/>
        <v>1</v>
      </c>
    </row>
    <row r="112" spans="1:241" ht="24" x14ac:dyDescent="0.2">
      <c r="A112" s="5">
        <v>53</v>
      </c>
      <c r="B112" s="6" t="s">
        <v>394</v>
      </c>
      <c r="C112" s="5">
        <v>0</v>
      </c>
      <c r="D112" s="13" t="s">
        <v>5</v>
      </c>
      <c r="E112" s="106">
        <v>39325.769999999997</v>
      </c>
      <c r="F112" s="130">
        <f>C112*E112</f>
        <v>0</v>
      </c>
      <c r="G112" s="13" t="s">
        <v>379</v>
      </c>
      <c r="H112" s="136"/>
      <c r="I112" s="136"/>
      <c r="J112" s="13">
        <v>0</v>
      </c>
      <c r="K112" s="13">
        <v>1</v>
      </c>
      <c r="L112" s="190"/>
      <c r="M112" s="205"/>
      <c r="N112" s="244">
        <f>J112+K112+L112+M112</f>
        <v>1</v>
      </c>
      <c r="Q112" s="5">
        <v>1</v>
      </c>
      <c r="R112" s="13">
        <v>0</v>
      </c>
      <c r="S112" s="13">
        <v>1</v>
      </c>
      <c r="T112" s="13"/>
      <c r="U112" s="13"/>
      <c r="V112" s="5">
        <f>R112+S112+T112+U112</f>
        <v>1</v>
      </c>
    </row>
    <row r="113" spans="1:241" ht="24" x14ac:dyDescent="0.2">
      <c r="A113" s="5">
        <f>A111+1</f>
        <v>20</v>
      </c>
      <c r="B113" s="6" t="s">
        <v>327</v>
      </c>
      <c r="C113" s="5">
        <v>2</v>
      </c>
      <c r="D113" s="13" t="s">
        <v>5</v>
      </c>
      <c r="E113" s="106">
        <v>7080</v>
      </c>
      <c r="F113" s="130">
        <f t="shared" si="6"/>
        <v>14160</v>
      </c>
      <c r="G113" s="13" t="s">
        <v>379</v>
      </c>
      <c r="H113" s="136"/>
      <c r="I113" s="136"/>
      <c r="J113" s="13">
        <v>1</v>
      </c>
      <c r="K113" s="13">
        <v>0</v>
      </c>
      <c r="L113" s="190"/>
      <c r="M113" s="205"/>
      <c r="N113" s="244">
        <f t="shared" si="7"/>
        <v>1</v>
      </c>
      <c r="O113" s="141"/>
      <c r="Q113" s="5">
        <v>1</v>
      </c>
      <c r="R113" s="13">
        <v>1</v>
      </c>
      <c r="S113" s="13">
        <v>0</v>
      </c>
      <c r="T113" s="13"/>
      <c r="U113" s="13"/>
      <c r="V113" s="5">
        <f t="shared" si="8"/>
        <v>1</v>
      </c>
    </row>
    <row r="114" spans="1:241" ht="24" x14ac:dyDescent="0.2">
      <c r="A114" s="5">
        <v>54</v>
      </c>
      <c r="B114" s="6" t="s">
        <v>229</v>
      </c>
      <c r="C114" s="5">
        <v>0</v>
      </c>
      <c r="D114" s="13" t="s">
        <v>5</v>
      </c>
      <c r="E114" s="106">
        <v>7080</v>
      </c>
      <c r="F114" s="130">
        <f>C114*E114</f>
        <v>0</v>
      </c>
      <c r="G114" s="13" t="s">
        <v>379</v>
      </c>
      <c r="H114" s="136"/>
      <c r="I114" s="136"/>
      <c r="J114" s="13">
        <v>0</v>
      </c>
      <c r="K114" s="13">
        <v>1</v>
      </c>
      <c r="L114" s="190"/>
      <c r="M114" s="205"/>
      <c r="N114" s="244">
        <f>J114+K114+L114+M114</f>
        <v>1</v>
      </c>
      <c r="Q114" s="5">
        <v>1</v>
      </c>
      <c r="R114" s="13">
        <v>0</v>
      </c>
      <c r="S114" s="13">
        <v>1</v>
      </c>
      <c r="T114" s="13"/>
      <c r="U114" s="13"/>
      <c r="V114" s="5">
        <f>R114+S114+T114+U114</f>
        <v>1</v>
      </c>
    </row>
    <row r="115" spans="1:241" s="141" customFormat="1" ht="48" x14ac:dyDescent="0.25">
      <c r="A115" s="5">
        <f>A113+1</f>
        <v>21</v>
      </c>
      <c r="B115" s="129" t="s">
        <v>328</v>
      </c>
      <c r="C115" s="5">
        <v>5</v>
      </c>
      <c r="D115" s="13" t="s">
        <v>5</v>
      </c>
      <c r="E115" s="13">
        <v>13800</v>
      </c>
      <c r="F115" s="130">
        <f t="shared" si="6"/>
        <v>69000</v>
      </c>
      <c r="G115" s="13" t="s">
        <v>379</v>
      </c>
      <c r="H115" s="136"/>
      <c r="I115" s="136"/>
      <c r="J115" s="13">
        <v>5</v>
      </c>
      <c r="K115" s="13">
        <v>0</v>
      </c>
      <c r="L115" s="190"/>
      <c r="M115" s="205"/>
      <c r="N115" s="244">
        <f t="shared" si="7"/>
        <v>5</v>
      </c>
      <c r="Q115" s="5">
        <v>5</v>
      </c>
      <c r="R115" s="13">
        <v>5</v>
      </c>
      <c r="S115" s="13">
        <v>0</v>
      </c>
      <c r="T115" s="13"/>
      <c r="U115" s="13"/>
      <c r="V115" s="5">
        <f t="shared" si="8"/>
        <v>5</v>
      </c>
    </row>
    <row r="116" spans="1:241" s="141" customFormat="1" ht="48" x14ac:dyDescent="0.2">
      <c r="A116" s="5">
        <f t="shared" si="9"/>
        <v>22</v>
      </c>
      <c r="B116" s="129" t="s">
        <v>329</v>
      </c>
      <c r="C116" s="5">
        <v>4</v>
      </c>
      <c r="D116" s="13" t="s">
        <v>5</v>
      </c>
      <c r="E116" s="13">
        <v>17500</v>
      </c>
      <c r="F116" s="130">
        <f t="shared" si="6"/>
        <v>70000</v>
      </c>
      <c r="G116" s="13" t="s">
        <v>379</v>
      </c>
      <c r="H116" s="136"/>
      <c r="I116" s="136"/>
      <c r="J116" s="13">
        <v>4</v>
      </c>
      <c r="K116" s="13">
        <v>0</v>
      </c>
      <c r="L116" s="190"/>
      <c r="M116" s="205"/>
      <c r="N116" s="244">
        <f t="shared" si="7"/>
        <v>4</v>
      </c>
      <c r="O116" s="8"/>
      <c r="Q116" s="5">
        <v>4</v>
      </c>
      <c r="R116" s="13">
        <v>4</v>
      </c>
      <c r="S116" s="13">
        <v>0</v>
      </c>
      <c r="T116" s="13"/>
      <c r="U116" s="13"/>
      <c r="V116" s="5">
        <f t="shared" si="8"/>
        <v>4</v>
      </c>
    </row>
    <row r="117" spans="1:241" ht="114.75" x14ac:dyDescent="0.2">
      <c r="A117" s="5">
        <f>A93+1</f>
        <v>28</v>
      </c>
      <c r="B117" s="105" t="s">
        <v>336</v>
      </c>
      <c r="C117" s="5">
        <f>1+2</f>
        <v>3</v>
      </c>
      <c r="D117" s="5" t="s">
        <v>5</v>
      </c>
      <c r="E117" s="5">
        <v>18000</v>
      </c>
      <c r="F117" s="130">
        <f t="shared" si="6"/>
        <v>54000</v>
      </c>
      <c r="G117" s="13" t="s">
        <v>379</v>
      </c>
      <c r="H117" s="136"/>
      <c r="I117" s="136"/>
      <c r="J117" s="72">
        <v>1</v>
      </c>
      <c r="K117" s="72">
        <v>0</v>
      </c>
      <c r="L117" s="190">
        <v>1</v>
      </c>
      <c r="M117" s="205"/>
      <c r="N117" s="244">
        <f t="shared" si="7"/>
        <v>2</v>
      </c>
      <c r="O117" s="136"/>
      <c r="P117" s="136"/>
      <c r="Q117" s="5">
        <v>2</v>
      </c>
      <c r="R117" s="13">
        <v>1</v>
      </c>
      <c r="S117" s="13">
        <v>0</v>
      </c>
      <c r="T117" s="13">
        <v>1</v>
      </c>
      <c r="U117" s="13"/>
      <c r="V117" s="5">
        <f t="shared" si="8"/>
        <v>2</v>
      </c>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c r="BQ117" s="136"/>
      <c r="BR117" s="136"/>
      <c r="BS117" s="136"/>
      <c r="BT117" s="136"/>
      <c r="BU117" s="136"/>
      <c r="BV117" s="136"/>
      <c r="BW117" s="136"/>
      <c r="BX117" s="136"/>
      <c r="BY117" s="136"/>
      <c r="BZ117" s="136"/>
      <c r="CA117" s="136"/>
      <c r="CB117" s="136"/>
      <c r="CC117" s="136"/>
      <c r="CD117" s="136"/>
      <c r="CE117" s="136"/>
      <c r="CF117" s="136"/>
      <c r="CG117" s="136"/>
      <c r="CH117" s="136"/>
      <c r="CI117" s="136"/>
      <c r="CJ117" s="136"/>
      <c r="CK117" s="136"/>
      <c r="CL117" s="136"/>
      <c r="CM117" s="136"/>
      <c r="CN117" s="136"/>
      <c r="CO117" s="136"/>
      <c r="CP117" s="136"/>
      <c r="CQ117" s="136"/>
      <c r="CR117" s="136"/>
      <c r="CS117" s="136"/>
      <c r="CT117" s="136"/>
      <c r="CU117" s="136"/>
      <c r="CV117" s="136"/>
      <c r="CW117" s="136"/>
      <c r="CX117" s="136"/>
      <c r="CY117" s="136"/>
      <c r="CZ117" s="136"/>
      <c r="DA117" s="136"/>
      <c r="DB117" s="136"/>
      <c r="DC117" s="136"/>
      <c r="DD117" s="136"/>
      <c r="DE117" s="136"/>
      <c r="DF117" s="136"/>
      <c r="DG117" s="136"/>
      <c r="DH117" s="136"/>
      <c r="DI117" s="136"/>
      <c r="DJ117" s="136"/>
      <c r="DK117" s="136"/>
      <c r="DL117" s="136"/>
      <c r="DM117" s="136"/>
      <c r="DN117" s="136"/>
      <c r="DO117" s="136"/>
      <c r="DP117" s="136"/>
      <c r="DQ117" s="136"/>
      <c r="DR117" s="136"/>
      <c r="DS117" s="136"/>
      <c r="DT117" s="136"/>
      <c r="DU117" s="136"/>
      <c r="DV117" s="136"/>
      <c r="DW117" s="136"/>
      <c r="DX117" s="136"/>
      <c r="DY117" s="136"/>
      <c r="DZ117" s="136"/>
      <c r="EA117" s="136"/>
      <c r="EB117" s="136"/>
      <c r="EC117" s="136"/>
      <c r="ED117" s="136"/>
      <c r="EE117" s="136"/>
      <c r="EF117" s="136"/>
      <c r="EG117" s="136"/>
      <c r="EH117" s="136"/>
      <c r="EI117" s="136"/>
      <c r="EJ117" s="136"/>
      <c r="EK117" s="136"/>
      <c r="EL117" s="136"/>
      <c r="EM117" s="136"/>
      <c r="EN117" s="136"/>
      <c r="EO117" s="136"/>
      <c r="EP117" s="136"/>
      <c r="EQ117" s="136"/>
      <c r="ER117" s="136"/>
      <c r="ES117" s="136"/>
      <c r="ET117" s="136"/>
      <c r="EU117" s="136"/>
      <c r="EV117" s="136"/>
      <c r="EW117" s="136"/>
      <c r="EX117" s="136"/>
      <c r="EY117" s="136"/>
      <c r="EZ117" s="136"/>
      <c r="FA117" s="136"/>
      <c r="FB117" s="136"/>
      <c r="FC117" s="136"/>
      <c r="FD117" s="136"/>
      <c r="FE117" s="136"/>
      <c r="FF117" s="136"/>
      <c r="FG117" s="136"/>
      <c r="FH117" s="136"/>
      <c r="FI117" s="136"/>
      <c r="FJ117" s="136"/>
      <c r="FK117" s="136"/>
      <c r="FL117" s="136"/>
      <c r="FM117" s="136"/>
      <c r="FN117" s="136"/>
      <c r="FO117" s="136"/>
      <c r="FP117" s="136"/>
      <c r="FQ117" s="136"/>
      <c r="FR117" s="136"/>
      <c r="FS117" s="136"/>
      <c r="FT117" s="136"/>
      <c r="FU117" s="136"/>
      <c r="FV117" s="136"/>
      <c r="FW117" s="136"/>
      <c r="FX117" s="136"/>
      <c r="FY117" s="136"/>
      <c r="FZ117" s="136"/>
      <c r="GA117" s="136"/>
      <c r="GB117" s="136"/>
      <c r="GC117" s="136"/>
      <c r="GD117" s="136"/>
      <c r="GE117" s="136"/>
      <c r="GF117" s="136"/>
      <c r="GG117" s="136"/>
      <c r="GH117" s="136"/>
      <c r="GI117" s="136"/>
      <c r="GJ117" s="136"/>
      <c r="GK117" s="136"/>
      <c r="GL117" s="136"/>
      <c r="GM117" s="136"/>
      <c r="GN117" s="136"/>
      <c r="GO117" s="136"/>
      <c r="GP117" s="136"/>
      <c r="GQ117" s="136"/>
      <c r="GR117" s="136"/>
      <c r="GS117" s="136"/>
      <c r="GT117" s="136"/>
      <c r="GU117" s="136"/>
      <c r="GV117" s="136"/>
      <c r="GW117" s="136"/>
      <c r="GX117" s="136"/>
      <c r="GY117" s="136"/>
      <c r="GZ117" s="136"/>
      <c r="HA117" s="136"/>
      <c r="HB117" s="136"/>
      <c r="HC117" s="136"/>
      <c r="HD117" s="136"/>
      <c r="HE117" s="136"/>
      <c r="HF117" s="136"/>
      <c r="HG117" s="136"/>
      <c r="HH117" s="136"/>
      <c r="HI117" s="136"/>
      <c r="HJ117" s="136"/>
      <c r="HK117" s="136"/>
      <c r="HL117" s="136"/>
      <c r="HM117" s="136"/>
      <c r="HN117" s="136"/>
      <c r="HO117" s="136"/>
      <c r="HP117" s="136"/>
      <c r="HQ117" s="136"/>
      <c r="HR117" s="136"/>
      <c r="HS117" s="136"/>
      <c r="HT117" s="136"/>
      <c r="HU117" s="136"/>
      <c r="HV117" s="136"/>
      <c r="HW117" s="136"/>
      <c r="HX117" s="136"/>
      <c r="HY117" s="136"/>
      <c r="HZ117" s="136"/>
      <c r="IA117" s="136"/>
      <c r="IB117" s="136"/>
      <c r="IC117" s="136"/>
      <c r="ID117" s="136"/>
      <c r="IE117" s="136"/>
      <c r="IF117" s="136"/>
      <c r="IG117" s="136"/>
    </row>
    <row r="118" spans="1:241" ht="24" x14ac:dyDescent="0.2">
      <c r="A118" s="13">
        <v>41</v>
      </c>
      <c r="B118" s="6" t="s">
        <v>193</v>
      </c>
      <c r="C118" s="5">
        <v>0</v>
      </c>
      <c r="D118" s="5" t="s">
        <v>5</v>
      </c>
      <c r="E118" s="5">
        <v>18500</v>
      </c>
      <c r="F118" s="130">
        <f>C118*E118</f>
        <v>0</v>
      </c>
      <c r="G118" s="13" t="s">
        <v>379</v>
      </c>
      <c r="H118" s="5"/>
      <c r="I118" s="136"/>
      <c r="J118" s="13"/>
      <c r="K118" s="13"/>
      <c r="L118" s="190"/>
      <c r="M118" s="205">
        <v>1</v>
      </c>
      <c r="N118" s="244">
        <f>J118+K118+L118+M118</f>
        <v>1</v>
      </c>
      <c r="O118" s="141"/>
      <c r="Q118" s="5">
        <v>1</v>
      </c>
      <c r="R118" s="13"/>
      <c r="S118" s="13"/>
      <c r="T118" s="13"/>
      <c r="U118" s="13">
        <v>1</v>
      </c>
      <c r="V118" s="5">
        <f>R118+S118+T118+U118</f>
        <v>1</v>
      </c>
    </row>
    <row r="119" spans="1:241" ht="84" x14ac:dyDescent="0.2">
      <c r="A119" s="5">
        <v>32</v>
      </c>
      <c r="B119" s="129" t="s">
        <v>339</v>
      </c>
      <c r="C119" s="5">
        <v>8</v>
      </c>
      <c r="D119" s="13" t="s">
        <v>340</v>
      </c>
      <c r="E119" s="13">
        <v>9266</v>
      </c>
      <c r="F119" s="130">
        <f t="shared" si="6"/>
        <v>74128</v>
      </c>
      <c r="G119" s="13" t="s">
        <v>379</v>
      </c>
      <c r="H119" s="136"/>
      <c r="I119" s="136"/>
      <c r="J119" s="72">
        <v>4</v>
      </c>
      <c r="K119" s="72">
        <v>0</v>
      </c>
      <c r="L119" s="190">
        <v>4</v>
      </c>
      <c r="M119" s="205"/>
      <c r="N119" s="244">
        <f t="shared" si="7"/>
        <v>8</v>
      </c>
      <c r="Q119" s="5">
        <v>8</v>
      </c>
      <c r="R119" s="13">
        <v>4</v>
      </c>
      <c r="S119" s="13">
        <v>0</v>
      </c>
      <c r="T119" s="13">
        <v>4</v>
      </c>
      <c r="U119" s="13"/>
      <c r="V119" s="5">
        <f t="shared" si="8"/>
        <v>8</v>
      </c>
    </row>
    <row r="120" spans="1:241" s="41" customFormat="1" ht="36" x14ac:dyDescent="0.2">
      <c r="A120" s="23">
        <f>A101+1</f>
        <v>34</v>
      </c>
      <c r="B120" s="19" t="s">
        <v>203</v>
      </c>
      <c r="C120" s="23">
        <v>260</v>
      </c>
      <c r="D120" s="20" t="s">
        <v>64</v>
      </c>
      <c r="E120" s="39">
        <v>85</v>
      </c>
      <c r="F120" s="32">
        <f t="shared" ref="F120:F135" si="13">C120*E120</f>
        <v>22100</v>
      </c>
      <c r="G120" s="20" t="s">
        <v>379</v>
      </c>
      <c r="H120" s="25"/>
      <c r="I120" s="25"/>
      <c r="J120" s="20">
        <v>50</v>
      </c>
      <c r="K120" s="20">
        <v>30</v>
      </c>
      <c r="L120" s="20">
        <v>150</v>
      </c>
      <c r="M120" s="20">
        <v>30</v>
      </c>
      <c r="N120" s="32">
        <f t="shared" si="7"/>
        <v>260</v>
      </c>
      <c r="Q120" s="23">
        <v>260</v>
      </c>
      <c r="R120" s="20">
        <v>50</v>
      </c>
      <c r="S120" s="20">
        <v>30</v>
      </c>
      <c r="T120" s="20">
        <v>150</v>
      </c>
      <c r="U120" s="20">
        <v>30</v>
      </c>
      <c r="V120" s="23">
        <f t="shared" si="8"/>
        <v>260</v>
      </c>
    </row>
    <row r="121" spans="1:241" s="41" customFormat="1" ht="60" x14ac:dyDescent="0.2">
      <c r="A121" s="23">
        <f t="shared" si="9"/>
        <v>35</v>
      </c>
      <c r="B121" s="19" t="s">
        <v>58</v>
      </c>
      <c r="C121" s="23">
        <v>48</v>
      </c>
      <c r="D121" s="23" t="s">
        <v>178</v>
      </c>
      <c r="E121" s="39">
        <v>300</v>
      </c>
      <c r="F121" s="32">
        <f t="shared" si="13"/>
        <v>14400</v>
      </c>
      <c r="G121" s="20" t="s">
        <v>379</v>
      </c>
      <c r="H121" s="25"/>
      <c r="I121" s="25"/>
      <c r="J121" s="20">
        <v>10</v>
      </c>
      <c r="K121" s="20">
        <v>10</v>
      </c>
      <c r="L121" s="20">
        <v>25</v>
      </c>
      <c r="M121" s="20">
        <v>3</v>
      </c>
      <c r="N121" s="32">
        <f t="shared" si="7"/>
        <v>48</v>
      </c>
      <c r="Q121" s="23">
        <v>48</v>
      </c>
      <c r="R121" s="20">
        <v>10</v>
      </c>
      <c r="S121" s="20">
        <v>10</v>
      </c>
      <c r="T121" s="20">
        <v>25</v>
      </c>
      <c r="U121" s="20">
        <v>3</v>
      </c>
      <c r="V121" s="23">
        <f t="shared" si="8"/>
        <v>48</v>
      </c>
    </row>
    <row r="122" spans="1:241" s="41" customFormat="1" ht="36" x14ac:dyDescent="0.2">
      <c r="A122" s="23">
        <f t="shared" si="9"/>
        <v>36</v>
      </c>
      <c r="B122" s="19" t="s">
        <v>342</v>
      </c>
      <c r="C122" s="23">
        <v>26</v>
      </c>
      <c r="D122" s="23" t="s">
        <v>343</v>
      </c>
      <c r="E122" s="23">
        <v>7080</v>
      </c>
      <c r="F122" s="32">
        <f t="shared" si="13"/>
        <v>184080</v>
      </c>
      <c r="G122" s="20" t="s">
        <v>379</v>
      </c>
      <c r="H122" s="25"/>
      <c r="I122" s="25"/>
      <c r="J122" s="20">
        <v>22</v>
      </c>
      <c r="K122" s="20">
        <v>0</v>
      </c>
      <c r="L122" s="20">
        <v>0</v>
      </c>
      <c r="M122" s="20">
        <v>4</v>
      </c>
      <c r="N122" s="32">
        <f t="shared" si="7"/>
        <v>26</v>
      </c>
      <c r="O122" s="28"/>
      <c r="Q122" s="23">
        <v>26</v>
      </c>
      <c r="R122" s="20">
        <v>22</v>
      </c>
      <c r="S122" s="20">
        <v>0</v>
      </c>
      <c r="T122" s="20">
        <v>0</v>
      </c>
      <c r="U122" s="20">
        <v>4</v>
      </c>
      <c r="V122" s="23">
        <f t="shared" si="8"/>
        <v>26</v>
      </c>
    </row>
    <row r="123" spans="1:241" s="141" customFormat="1" ht="96" x14ac:dyDescent="0.25">
      <c r="A123" s="5">
        <f t="shared" si="9"/>
        <v>37</v>
      </c>
      <c r="B123" s="129" t="s">
        <v>344</v>
      </c>
      <c r="C123" s="5">
        <v>400</v>
      </c>
      <c r="D123" s="5" t="s">
        <v>45</v>
      </c>
      <c r="E123" s="11">
        <v>163</v>
      </c>
      <c r="F123" s="130">
        <f t="shared" si="13"/>
        <v>65200</v>
      </c>
      <c r="G123" s="13" t="s">
        <v>379</v>
      </c>
      <c r="H123" s="136"/>
      <c r="I123" s="136"/>
      <c r="J123" s="72">
        <v>200</v>
      </c>
      <c r="K123" s="72">
        <v>0</v>
      </c>
      <c r="L123" s="190">
        <v>150</v>
      </c>
      <c r="M123" s="205">
        <v>50</v>
      </c>
      <c r="N123" s="244">
        <f t="shared" si="7"/>
        <v>400</v>
      </c>
      <c r="Q123" s="5">
        <v>400</v>
      </c>
      <c r="R123" s="13">
        <v>200</v>
      </c>
      <c r="S123" s="13">
        <v>0</v>
      </c>
      <c r="T123" s="13">
        <v>150</v>
      </c>
      <c r="U123" s="13">
        <v>50</v>
      </c>
      <c r="V123" s="5">
        <f t="shared" si="8"/>
        <v>400</v>
      </c>
    </row>
    <row r="124" spans="1:241" s="141" customFormat="1" ht="96" x14ac:dyDescent="0.25">
      <c r="A124" s="5">
        <f t="shared" si="9"/>
        <v>38</v>
      </c>
      <c r="B124" s="129" t="s">
        <v>345</v>
      </c>
      <c r="C124" s="5">
        <v>700</v>
      </c>
      <c r="D124" s="5" t="s">
        <v>45</v>
      </c>
      <c r="E124" s="11">
        <v>78</v>
      </c>
      <c r="F124" s="130">
        <f t="shared" si="13"/>
        <v>54600</v>
      </c>
      <c r="G124" s="13" t="s">
        <v>379</v>
      </c>
      <c r="H124" s="136"/>
      <c r="I124" s="136"/>
      <c r="J124" s="72">
        <v>200</v>
      </c>
      <c r="K124" s="72">
        <v>0</v>
      </c>
      <c r="L124" s="190">
        <v>400</v>
      </c>
      <c r="M124" s="205">
        <v>100</v>
      </c>
      <c r="N124" s="244">
        <f t="shared" si="7"/>
        <v>700</v>
      </c>
      <c r="O124" s="136"/>
      <c r="Q124" s="5">
        <v>700</v>
      </c>
      <c r="R124" s="13">
        <v>200</v>
      </c>
      <c r="S124" s="13">
        <v>0</v>
      </c>
      <c r="T124" s="13">
        <v>400</v>
      </c>
      <c r="U124" s="13">
        <v>100</v>
      </c>
      <c r="V124" s="5">
        <f t="shared" si="8"/>
        <v>700</v>
      </c>
    </row>
    <row r="125" spans="1:241" s="136" customFormat="1" ht="24" x14ac:dyDescent="0.25">
      <c r="A125" s="5">
        <f t="shared" si="9"/>
        <v>39</v>
      </c>
      <c r="B125" s="129" t="s">
        <v>75</v>
      </c>
      <c r="C125" s="5">
        <v>350</v>
      </c>
      <c r="D125" s="5" t="s">
        <v>45</v>
      </c>
      <c r="E125" s="11">
        <v>60</v>
      </c>
      <c r="F125" s="130">
        <f t="shared" si="13"/>
        <v>21000</v>
      </c>
      <c r="G125" s="13" t="s">
        <v>379</v>
      </c>
      <c r="J125" s="72">
        <v>100</v>
      </c>
      <c r="K125" s="72">
        <v>0</v>
      </c>
      <c r="L125" s="190">
        <v>250</v>
      </c>
      <c r="M125" s="205"/>
      <c r="N125" s="244">
        <f t="shared" si="7"/>
        <v>350</v>
      </c>
      <c r="O125" s="141"/>
      <c r="Q125" s="5">
        <v>350</v>
      </c>
      <c r="R125" s="13">
        <v>100</v>
      </c>
      <c r="S125" s="13">
        <v>0</v>
      </c>
      <c r="T125" s="13">
        <v>250</v>
      </c>
      <c r="U125" s="13"/>
      <c r="V125" s="5">
        <f t="shared" si="8"/>
        <v>350</v>
      </c>
    </row>
    <row r="126" spans="1:241" s="141" customFormat="1" ht="84" x14ac:dyDescent="0.2">
      <c r="A126" s="5">
        <f t="shared" si="9"/>
        <v>40</v>
      </c>
      <c r="B126" s="129" t="s">
        <v>346</v>
      </c>
      <c r="C126" s="5">
        <v>230</v>
      </c>
      <c r="D126" s="5" t="s">
        <v>64</v>
      </c>
      <c r="E126" s="11">
        <v>100</v>
      </c>
      <c r="F126" s="130">
        <f t="shared" si="13"/>
        <v>23000</v>
      </c>
      <c r="G126" s="13" t="s">
        <v>379</v>
      </c>
      <c r="H126" s="136"/>
      <c r="I126" s="136"/>
      <c r="J126" s="72">
        <v>50</v>
      </c>
      <c r="K126" s="72">
        <v>30</v>
      </c>
      <c r="L126" s="190">
        <v>150</v>
      </c>
      <c r="M126" s="205"/>
      <c r="N126" s="244">
        <f t="shared" si="7"/>
        <v>230</v>
      </c>
      <c r="O126" s="8"/>
      <c r="Q126" s="5">
        <v>230</v>
      </c>
      <c r="R126" s="13">
        <v>50</v>
      </c>
      <c r="S126" s="13">
        <v>30</v>
      </c>
      <c r="T126" s="13">
        <v>150</v>
      </c>
      <c r="U126" s="13"/>
      <c r="V126" s="5">
        <f t="shared" si="8"/>
        <v>230</v>
      </c>
    </row>
    <row r="127" spans="1:241" ht="51" x14ac:dyDescent="0.2">
      <c r="A127" s="5">
        <f t="shared" si="9"/>
        <v>41</v>
      </c>
      <c r="B127" s="105" t="s">
        <v>347</v>
      </c>
      <c r="C127" s="5">
        <v>6010</v>
      </c>
      <c r="D127" s="5" t="s">
        <v>64</v>
      </c>
      <c r="E127" s="11">
        <v>5</v>
      </c>
      <c r="F127" s="130">
        <f t="shared" si="13"/>
        <v>30050</v>
      </c>
      <c r="G127" s="13" t="s">
        <v>379</v>
      </c>
      <c r="H127" s="136"/>
      <c r="I127" s="136"/>
      <c r="J127" s="13">
        <v>6010</v>
      </c>
      <c r="K127" s="13">
        <v>0</v>
      </c>
      <c r="L127" s="190"/>
      <c r="M127" s="205"/>
      <c r="N127" s="244">
        <f t="shared" si="7"/>
        <v>6010</v>
      </c>
      <c r="O127" s="136"/>
      <c r="Q127" s="5">
        <v>6010</v>
      </c>
      <c r="R127" s="13">
        <v>6010</v>
      </c>
      <c r="S127" s="13">
        <v>0</v>
      </c>
      <c r="T127" s="13"/>
      <c r="U127" s="13"/>
      <c r="V127" s="5">
        <f t="shared" si="8"/>
        <v>6010</v>
      </c>
    </row>
    <row r="128" spans="1:241" s="141" customFormat="1" ht="48" x14ac:dyDescent="0.25">
      <c r="A128" s="5">
        <f>A100+1</f>
        <v>47</v>
      </c>
      <c r="B128" s="129" t="s">
        <v>353</v>
      </c>
      <c r="C128" s="5">
        <v>4</v>
      </c>
      <c r="D128" s="5" t="s">
        <v>5</v>
      </c>
      <c r="E128" s="106">
        <v>32300</v>
      </c>
      <c r="F128" s="130">
        <f t="shared" si="13"/>
        <v>129200</v>
      </c>
      <c r="G128" s="13" t="s">
        <v>379</v>
      </c>
      <c r="H128" s="136"/>
      <c r="I128" s="136"/>
      <c r="J128" s="72">
        <v>2</v>
      </c>
      <c r="K128" s="72">
        <v>0</v>
      </c>
      <c r="L128" s="190">
        <v>2</v>
      </c>
      <c r="M128" s="205"/>
      <c r="N128" s="244">
        <f t="shared" si="7"/>
        <v>4</v>
      </c>
      <c r="Q128" s="5">
        <v>4</v>
      </c>
      <c r="R128" s="13">
        <v>2</v>
      </c>
      <c r="S128" s="13">
        <v>0</v>
      </c>
      <c r="T128" s="13">
        <v>2</v>
      </c>
      <c r="U128" s="13"/>
      <c r="V128" s="5">
        <f t="shared" si="8"/>
        <v>4</v>
      </c>
    </row>
    <row r="129" spans="1:219" s="141" customFormat="1" ht="216" x14ac:dyDescent="0.25">
      <c r="A129" s="5">
        <f t="shared" si="9"/>
        <v>48</v>
      </c>
      <c r="B129" s="236" t="s">
        <v>354</v>
      </c>
      <c r="C129" s="5">
        <v>5</v>
      </c>
      <c r="D129" s="5" t="s">
        <v>5</v>
      </c>
      <c r="E129" s="106">
        <v>27022</v>
      </c>
      <c r="F129" s="130">
        <f t="shared" si="13"/>
        <v>135110</v>
      </c>
      <c r="G129" s="13" t="s">
        <v>379</v>
      </c>
      <c r="H129" s="136"/>
      <c r="I129" s="136"/>
      <c r="J129" s="72">
        <v>1</v>
      </c>
      <c r="K129" s="72">
        <v>0</v>
      </c>
      <c r="L129" s="190">
        <v>3</v>
      </c>
      <c r="M129" s="205">
        <v>1</v>
      </c>
      <c r="N129" s="244">
        <f t="shared" si="7"/>
        <v>5</v>
      </c>
      <c r="Q129" s="5">
        <v>5</v>
      </c>
      <c r="R129" s="13">
        <v>1</v>
      </c>
      <c r="S129" s="13">
        <v>0</v>
      </c>
      <c r="T129" s="13">
        <v>3</v>
      </c>
      <c r="U129" s="13">
        <v>1</v>
      </c>
      <c r="V129" s="5">
        <f t="shared" si="8"/>
        <v>5</v>
      </c>
    </row>
    <row r="130" spans="1:219" s="141" customFormat="1" ht="60" x14ac:dyDescent="0.25">
      <c r="A130" s="5">
        <f t="shared" si="9"/>
        <v>49</v>
      </c>
      <c r="B130" s="236" t="s">
        <v>355</v>
      </c>
      <c r="C130" s="5">
        <v>5</v>
      </c>
      <c r="D130" s="5" t="s">
        <v>5</v>
      </c>
      <c r="E130" s="106">
        <v>11776</v>
      </c>
      <c r="F130" s="130">
        <f t="shared" si="13"/>
        <v>58880</v>
      </c>
      <c r="G130" s="13" t="s">
        <v>379</v>
      </c>
      <c r="H130" s="136"/>
      <c r="I130" s="136"/>
      <c r="J130" s="72">
        <v>1</v>
      </c>
      <c r="K130" s="72">
        <v>0</v>
      </c>
      <c r="L130" s="190">
        <v>3</v>
      </c>
      <c r="M130" s="205">
        <v>1</v>
      </c>
      <c r="N130" s="244">
        <f t="shared" si="7"/>
        <v>5</v>
      </c>
      <c r="Q130" s="5">
        <v>5</v>
      </c>
      <c r="R130" s="13">
        <v>1</v>
      </c>
      <c r="S130" s="13">
        <v>0</v>
      </c>
      <c r="T130" s="13">
        <v>3</v>
      </c>
      <c r="U130" s="13">
        <v>1</v>
      </c>
      <c r="V130" s="5">
        <f t="shared" si="8"/>
        <v>5</v>
      </c>
    </row>
    <row r="131" spans="1:219" s="141" customFormat="1" ht="36" x14ac:dyDescent="0.25">
      <c r="A131" s="5">
        <f t="shared" si="9"/>
        <v>50</v>
      </c>
      <c r="B131" s="236" t="s">
        <v>356</v>
      </c>
      <c r="C131" s="5">
        <v>5</v>
      </c>
      <c r="D131" s="5" t="s">
        <v>5</v>
      </c>
      <c r="E131" s="106">
        <v>1770</v>
      </c>
      <c r="F131" s="130">
        <f t="shared" si="13"/>
        <v>8850</v>
      </c>
      <c r="G131" s="13" t="s">
        <v>379</v>
      </c>
      <c r="H131" s="136"/>
      <c r="I131" s="136"/>
      <c r="J131" s="72">
        <v>1</v>
      </c>
      <c r="K131" s="72">
        <v>0</v>
      </c>
      <c r="L131" s="190">
        <v>3</v>
      </c>
      <c r="M131" s="205">
        <v>1</v>
      </c>
      <c r="N131" s="244">
        <f t="shared" si="7"/>
        <v>5</v>
      </c>
      <c r="O131" s="14"/>
      <c r="Q131" s="5">
        <v>5</v>
      </c>
      <c r="R131" s="13">
        <v>1</v>
      </c>
      <c r="S131" s="13">
        <v>0</v>
      </c>
      <c r="T131" s="13">
        <v>3</v>
      </c>
      <c r="U131" s="13">
        <v>1</v>
      </c>
      <c r="V131" s="5">
        <f t="shared" si="8"/>
        <v>5</v>
      </c>
    </row>
    <row r="132" spans="1:219" ht="24" x14ac:dyDescent="0.2">
      <c r="A132" s="5">
        <f t="shared" si="9"/>
        <v>51</v>
      </c>
      <c r="B132" s="129" t="s">
        <v>357</v>
      </c>
      <c r="C132" s="5">
        <v>1</v>
      </c>
      <c r="D132" s="13" t="s">
        <v>5</v>
      </c>
      <c r="E132" s="11">
        <v>6529</v>
      </c>
      <c r="F132" s="130">
        <f t="shared" si="13"/>
        <v>6529</v>
      </c>
      <c r="G132" s="13" t="s">
        <v>379</v>
      </c>
      <c r="H132" s="136"/>
      <c r="I132" s="136"/>
      <c r="J132" s="13">
        <v>1</v>
      </c>
      <c r="K132" s="13">
        <v>0</v>
      </c>
      <c r="L132" s="190"/>
      <c r="M132" s="205"/>
      <c r="N132" s="244">
        <f t="shared" si="7"/>
        <v>1</v>
      </c>
      <c r="P132" s="14"/>
      <c r="Q132" s="5">
        <v>1</v>
      </c>
      <c r="R132" s="13">
        <v>1</v>
      </c>
      <c r="S132" s="13">
        <v>0</v>
      </c>
      <c r="T132" s="13"/>
      <c r="U132" s="13"/>
      <c r="V132" s="5">
        <f t="shared" si="8"/>
        <v>1</v>
      </c>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row>
    <row r="133" spans="1:219" ht="60" x14ac:dyDescent="0.2">
      <c r="A133" s="5">
        <v>52</v>
      </c>
      <c r="B133" s="6" t="s">
        <v>358</v>
      </c>
      <c r="C133" s="5">
        <v>1</v>
      </c>
      <c r="D133" s="97" t="s">
        <v>5</v>
      </c>
      <c r="E133" s="151">
        <v>391040</v>
      </c>
      <c r="F133" s="130">
        <f t="shared" si="13"/>
        <v>391040</v>
      </c>
      <c r="G133" s="13" t="s">
        <v>379</v>
      </c>
      <c r="H133" s="136"/>
      <c r="I133" s="136"/>
      <c r="J133" s="11"/>
      <c r="K133" s="11">
        <v>1</v>
      </c>
      <c r="L133" s="202"/>
      <c r="M133" s="218"/>
      <c r="N133" s="244">
        <f t="shared" si="7"/>
        <v>1</v>
      </c>
      <c r="Q133" s="5">
        <v>1</v>
      </c>
      <c r="R133" s="11"/>
      <c r="S133" s="11">
        <v>1</v>
      </c>
      <c r="T133" s="11"/>
      <c r="U133" s="11"/>
      <c r="V133" s="5">
        <f t="shared" si="8"/>
        <v>1</v>
      </c>
    </row>
    <row r="134" spans="1:219" s="196" customFormat="1" ht="36" x14ac:dyDescent="0.2">
      <c r="A134" s="192">
        <v>56</v>
      </c>
      <c r="B134" s="191" t="s">
        <v>360</v>
      </c>
      <c r="C134" s="192">
        <v>1</v>
      </c>
      <c r="D134" s="192" t="s">
        <v>5</v>
      </c>
      <c r="E134" s="260">
        <v>41647</v>
      </c>
      <c r="F134" s="193">
        <f t="shared" si="13"/>
        <v>41647</v>
      </c>
      <c r="G134" s="190" t="s">
        <v>379</v>
      </c>
      <c r="H134" s="194"/>
      <c r="I134" s="194"/>
      <c r="J134" s="192">
        <v>0</v>
      </c>
      <c r="K134" s="192">
        <v>1</v>
      </c>
      <c r="L134" s="192"/>
      <c r="M134" s="192"/>
      <c r="N134" s="193">
        <f t="shared" si="7"/>
        <v>1</v>
      </c>
      <c r="O134" s="256"/>
      <c r="Q134" s="192">
        <v>1</v>
      </c>
      <c r="R134" s="192">
        <v>0</v>
      </c>
      <c r="S134" s="192">
        <v>1</v>
      </c>
      <c r="T134" s="192"/>
      <c r="U134" s="192"/>
      <c r="V134" s="192">
        <f t="shared" si="8"/>
        <v>1</v>
      </c>
    </row>
    <row r="135" spans="1:219" s="256" customFormat="1" ht="36" x14ac:dyDescent="0.25">
      <c r="A135" s="192">
        <v>57</v>
      </c>
      <c r="B135" s="191" t="s">
        <v>361</v>
      </c>
      <c r="C135" s="190">
        <v>15</v>
      </c>
      <c r="D135" s="253" t="s">
        <v>5</v>
      </c>
      <c r="E135" s="260">
        <v>2229</v>
      </c>
      <c r="F135" s="193">
        <f t="shared" si="13"/>
        <v>33435</v>
      </c>
      <c r="G135" s="190" t="s">
        <v>379</v>
      </c>
      <c r="H135" s="194"/>
      <c r="I135" s="194"/>
      <c r="J135" s="200">
        <v>0</v>
      </c>
      <c r="K135" s="200">
        <v>15</v>
      </c>
      <c r="L135" s="200"/>
      <c r="M135" s="200"/>
      <c r="N135" s="193">
        <f t="shared" si="7"/>
        <v>15</v>
      </c>
      <c r="O135" s="203">
        <f>F135-N135</f>
        <v>33420</v>
      </c>
      <c r="Q135" s="190">
        <v>15</v>
      </c>
      <c r="R135" s="200">
        <v>0</v>
      </c>
      <c r="S135" s="200">
        <v>15</v>
      </c>
      <c r="T135" s="200"/>
      <c r="U135" s="200"/>
      <c r="V135" s="190">
        <f t="shared" si="8"/>
        <v>15</v>
      </c>
    </row>
    <row r="136" spans="1:219" s="41" customFormat="1" ht="36" x14ac:dyDescent="0.2">
      <c r="A136" s="20">
        <v>1</v>
      </c>
      <c r="B136" s="19" t="s">
        <v>384</v>
      </c>
      <c r="C136" s="23">
        <v>1</v>
      </c>
      <c r="D136" s="23" t="s">
        <v>1</v>
      </c>
      <c r="E136" s="23">
        <v>159987</v>
      </c>
      <c r="F136" s="32">
        <f t="shared" ref="F136:F173" si="14">C136*E136</f>
        <v>159987</v>
      </c>
      <c r="G136" s="20" t="s">
        <v>379</v>
      </c>
      <c r="H136" s="25"/>
      <c r="I136" s="25"/>
      <c r="J136" s="20"/>
      <c r="K136" s="20"/>
      <c r="L136" s="23">
        <v>1</v>
      </c>
      <c r="N136" s="32">
        <f t="shared" ref="N136:N173" si="15">J136+K136+L136+M136</f>
        <v>1</v>
      </c>
      <c r="O136" s="28"/>
      <c r="Q136" s="23">
        <v>1</v>
      </c>
      <c r="R136" s="20"/>
      <c r="S136" s="20"/>
      <c r="T136" s="23">
        <v>1</v>
      </c>
      <c r="V136" s="23">
        <f t="shared" ref="V136:V174" si="16">R136+S136+T136+U136</f>
        <v>1</v>
      </c>
    </row>
    <row r="137" spans="1:219" ht="24" x14ac:dyDescent="0.2">
      <c r="A137" s="13">
        <v>2</v>
      </c>
      <c r="B137" s="129" t="s">
        <v>129</v>
      </c>
      <c r="C137" s="5">
        <v>7</v>
      </c>
      <c r="D137" s="5" t="s">
        <v>1</v>
      </c>
      <c r="E137" s="5">
        <v>7200</v>
      </c>
      <c r="F137" s="130">
        <f t="shared" si="14"/>
        <v>50400</v>
      </c>
      <c r="G137" s="13" t="s">
        <v>379</v>
      </c>
      <c r="H137" s="136"/>
      <c r="I137" s="136"/>
      <c r="J137" s="72"/>
      <c r="K137" s="72"/>
      <c r="L137" s="190">
        <v>7</v>
      </c>
      <c r="M137" s="205"/>
      <c r="N137" s="244">
        <f t="shared" si="15"/>
        <v>7</v>
      </c>
      <c r="O137" s="141"/>
      <c r="Q137" s="5">
        <v>7</v>
      </c>
      <c r="R137" s="13"/>
      <c r="S137" s="13"/>
      <c r="T137" s="13">
        <v>7</v>
      </c>
      <c r="U137" s="13"/>
      <c r="V137" s="5">
        <f t="shared" si="16"/>
        <v>7</v>
      </c>
    </row>
    <row r="138" spans="1:219" s="41" customFormat="1" ht="36" x14ac:dyDescent="0.2">
      <c r="A138" s="20">
        <v>5</v>
      </c>
      <c r="B138" s="19" t="s">
        <v>395</v>
      </c>
      <c r="C138" s="23">
        <v>7625</v>
      </c>
      <c r="D138" s="23" t="s">
        <v>41</v>
      </c>
      <c r="E138" s="23">
        <v>37</v>
      </c>
      <c r="F138" s="32">
        <f t="shared" si="14"/>
        <v>282125</v>
      </c>
      <c r="G138" s="20" t="s">
        <v>379</v>
      </c>
      <c r="H138" s="25"/>
      <c r="I138" s="25"/>
      <c r="J138" s="20"/>
      <c r="K138" s="20"/>
      <c r="L138" s="23">
        <f>25*305</f>
        <v>7625</v>
      </c>
      <c r="M138" s="23">
        <v>0</v>
      </c>
      <c r="N138" s="32">
        <f t="shared" si="15"/>
        <v>7625</v>
      </c>
      <c r="O138" s="28"/>
      <c r="Q138" s="23">
        <v>7625</v>
      </c>
      <c r="R138" s="20"/>
      <c r="S138" s="20"/>
      <c r="T138" s="23">
        <f>25*305</f>
        <v>7625</v>
      </c>
      <c r="U138" s="23">
        <v>0</v>
      </c>
      <c r="V138" s="23">
        <f t="shared" si="16"/>
        <v>7625</v>
      </c>
    </row>
    <row r="139" spans="1:219" s="196" customFormat="1" ht="60" x14ac:dyDescent="0.2">
      <c r="A139" s="190">
        <v>7</v>
      </c>
      <c r="B139" s="191" t="s">
        <v>94</v>
      </c>
      <c r="C139" s="192">
        <v>2</v>
      </c>
      <c r="D139" s="192" t="s">
        <v>5</v>
      </c>
      <c r="E139" s="251">
        <v>26485</v>
      </c>
      <c r="F139" s="193">
        <f t="shared" si="14"/>
        <v>52970</v>
      </c>
      <c r="G139" s="190" t="s">
        <v>379</v>
      </c>
      <c r="H139" s="190" t="s">
        <v>93</v>
      </c>
      <c r="I139" s="194"/>
      <c r="J139" s="190"/>
      <c r="K139" s="190"/>
      <c r="L139" s="190">
        <v>2</v>
      </c>
      <c r="M139" s="190"/>
      <c r="N139" s="193">
        <f t="shared" si="15"/>
        <v>2</v>
      </c>
      <c r="O139" s="195"/>
      <c r="Q139" s="192">
        <v>2</v>
      </c>
      <c r="R139" s="190"/>
      <c r="S139" s="190"/>
      <c r="T139" s="190">
        <v>2</v>
      </c>
      <c r="U139" s="190"/>
      <c r="V139" s="192">
        <f t="shared" si="16"/>
        <v>2</v>
      </c>
    </row>
    <row r="140" spans="1:219" s="181" customFormat="1" ht="48" x14ac:dyDescent="0.2">
      <c r="A140" s="177">
        <v>8</v>
      </c>
      <c r="B140" s="176" t="s">
        <v>381</v>
      </c>
      <c r="C140" s="175">
        <v>1</v>
      </c>
      <c r="D140" s="175" t="s">
        <v>1</v>
      </c>
      <c r="E140" s="175">
        <v>168000</v>
      </c>
      <c r="F140" s="178">
        <f t="shared" si="14"/>
        <v>168000</v>
      </c>
      <c r="G140" s="177" t="s">
        <v>379</v>
      </c>
      <c r="H140" s="175" t="s">
        <v>88</v>
      </c>
      <c r="I140" s="180"/>
      <c r="J140" s="177"/>
      <c r="K140" s="177"/>
      <c r="L140" s="177">
        <v>1</v>
      </c>
      <c r="M140" s="177"/>
      <c r="N140" s="178">
        <f t="shared" si="15"/>
        <v>1</v>
      </c>
      <c r="O140" s="264"/>
      <c r="Q140" s="175">
        <v>1</v>
      </c>
      <c r="R140" s="177"/>
      <c r="S140" s="177"/>
      <c r="T140" s="177">
        <v>1</v>
      </c>
      <c r="U140" s="177"/>
      <c r="V140" s="175">
        <f t="shared" si="16"/>
        <v>1</v>
      </c>
    </row>
    <row r="141" spans="1:219" ht="36" x14ac:dyDescent="0.2">
      <c r="A141" s="13">
        <v>10</v>
      </c>
      <c r="B141" s="129" t="s">
        <v>7</v>
      </c>
      <c r="C141" s="5">
        <v>1</v>
      </c>
      <c r="D141" s="5" t="s">
        <v>1</v>
      </c>
      <c r="E141" s="5">
        <v>72000</v>
      </c>
      <c r="F141" s="130">
        <f t="shared" si="14"/>
        <v>72000</v>
      </c>
      <c r="G141" s="13" t="s">
        <v>379</v>
      </c>
      <c r="H141" s="13" t="s">
        <v>103</v>
      </c>
      <c r="I141" s="136"/>
      <c r="J141" s="72"/>
      <c r="K141" s="72"/>
      <c r="L141" s="190">
        <v>1</v>
      </c>
      <c r="M141" s="205"/>
      <c r="N141" s="244">
        <f t="shared" si="15"/>
        <v>1</v>
      </c>
      <c r="O141" s="141"/>
      <c r="Q141" s="5">
        <v>1</v>
      </c>
      <c r="R141" s="13"/>
      <c r="S141" s="13"/>
      <c r="T141" s="13">
        <v>1</v>
      </c>
      <c r="U141" s="13"/>
      <c r="V141" s="5">
        <f t="shared" si="16"/>
        <v>1</v>
      </c>
    </row>
    <row r="142" spans="1:219" ht="24" x14ac:dyDescent="0.2">
      <c r="A142" s="13">
        <v>12</v>
      </c>
      <c r="B142" s="129" t="s">
        <v>380</v>
      </c>
      <c r="C142" s="5">
        <v>1</v>
      </c>
      <c r="D142" s="5" t="s">
        <v>1</v>
      </c>
      <c r="E142" s="5">
        <v>32000</v>
      </c>
      <c r="F142" s="130">
        <f t="shared" si="14"/>
        <v>32000</v>
      </c>
      <c r="G142" s="13" t="s">
        <v>379</v>
      </c>
      <c r="H142" s="5" t="s">
        <v>88</v>
      </c>
      <c r="I142" s="136"/>
      <c r="J142" s="72"/>
      <c r="K142" s="72"/>
      <c r="L142" s="190">
        <v>1</v>
      </c>
      <c r="M142" s="205"/>
      <c r="N142" s="244">
        <f t="shared" si="15"/>
        <v>1</v>
      </c>
      <c r="O142" s="141"/>
      <c r="Q142" s="5">
        <v>1</v>
      </c>
      <c r="R142" s="13"/>
      <c r="S142" s="13"/>
      <c r="T142" s="13">
        <v>1</v>
      </c>
      <c r="U142" s="13"/>
      <c r="V142" s="5">
        <f t="shared" si="16"/>
        <v>1</v>
      </c>
    </row>
    <row r="143" spans="1:219" ht="60" x14ac:dyDescent="0.2">
      <c r="A143" s="13">
        <v>13</v>
      </c>
      <c r="B143" s="129" t="s">
        <v>95</v>
      </c>
      <c r="C143" s="5">
        <v>8</v>
      </c>
      <c r="D143" s="5" t="s">
        <v>5</v>
      </c>
      <c r="E143" s="238">
        <v>12117.125</v>
      </c>
      <c r="F143" s="130">
        <f t="shared" si="14"/>
        <v>96937</v>
      </c>
      <c r="G143" s="13" t="s">
        <v>379</v>
      </c>
      <c r="H143" s="13" t="s">
        <v>96</v>
      </c>
      <c r="I143" s="136"/>
      <c r="J143" s="13"/>
      <c r="K143" s="13"/>
      <c r="L143" s="190">
        <v>8</v>
      </c>
      <c r="M143" s="205"/>
      <c r="N143" s="244">
        <f t="shared" si="15"/>
        <v>8</v>
      </c>
      <c r="O143" s="141"/>
      <c r="Q143" s="5">
        <v>8</v>
      </c>
      <c r="R143" s="13"/>
      <c r="S143" s="13"/>
      <c r="T143" s="13">
        <v>8</v>
      </c>
      <c r="U143" s="13"/>
      <c r="V143" s="5">
        <f t="shared" si="16"/>
        <v>8</v>
      </c>
    </row>
    <row r="144" spans="1:219" ht="72" x14ac:dyDescent="0.2">
      <c r="A144" s="13">
        <v>14</v>
      </c>
      <c r="B144" s="129" t="s">
        <v>14</v>
      </c>
      <c r="C144" s="5">
        <v>1</v>
      </c>
      <c r="D144" s="13" t="s">
        <v>13</v>
      </c>
      <c r="E144" s="5">
        <v>380000</v>
      </c>
      <c r="F144" s="130">
        <f t="shared" si="14"/>
        <v>380000</v>
      </c>
      <c r="G144" s="13" t="s">
        <v>379</v>
      </c>
      <c r="H144" s="5" t="s">
        <v>88</v>
      </c>
      <c r="I144" s="136"/>
      <c r="J144" s="13"/>
      <c r="K144" s="13"/>
      <c r="L144" s="190">
        <v>1</v>
      </c>
      <c r="M144" s="205"/>
      <c r="N144" s="244">
        <f t="shared" si="15"/>
        <v>1</v>
      </c>
      <c r="O144" s="141"/>
      <c r="Q144" s="5">
        <v>1</v>
      </c>
      <c r="R144" s="13"/>
      <c r="S144" s="13"/>
      <c r="T144" s="13">
        <v>1</v>
      </c>
      <c r="U144" s="13"/>
      <c r="V144" s="5">
        <f t="shared" si="16"/>
        <v>1</v>
      </c>
    </row>
    <row r="145" spans="1:22" ht="48" x14ac:dyDescent="0.2">
      <c r="A145" s="13">
        <v>15</v>
      </c>
      <c r="B145" s="129" t="s">
        <v>15</v>
      </c>
      <c r="C145" s="5">
        <v>1</v>
      </c>
      <c r="D145" s="5" t="s">
        <v>1</v>
      </c>
      <c r="E145" s="239">
        <v>110000</v>
      </c>
      <c r="F145" s="130">
        <f t="shared" si="14"/>
        <v>110000</v>
      </c>
      <c r="G145" s="13" t="s">
        <v>379</v>
      </c>
      <c r="H145" s="13" t="s">
        <v>153</v>
      </c>
      <c r="I145" s="136"/>
      <c r="J145" s="72"/>
      <c r="K145" s="72"/>
      <c r="L145" s="190">
        <v>1</v>
      </c>
      <c r="M145" s="205"/>
      <c r="N145" s="244">
        <f t="shared" si="15"/>
        <v>1</v>
      </c>
      <c r="O145" s="141"/>
      <c r="Q145" s="5">
        <v>1</v>
      </c>
      <c r="R145" s="13"/>
      <c r="S145" s="13"/>
      <c r="T145" s="13">
        <v>1</v>
      </c>
      <c r="U145" s="13"/>
      <c r="V145" s="5">
        <f t="shared" si="16"/>
        <v>1</v>
      </c>
    </row>
    <row r="146" spans="1:22" ht="48" x14ac:dyDescent="0.2">
      <c r="A146" s="13">
        <v>16</v>
      </c>
      <c r="B146" s="129" t="s">
        <v>101</v>
      </c>
      <c r="C146" s="5">
        <v>2</v>
      </c>
      <c r="D146" s="5" t="s">
        <v>1</v>
      </c>
      <c r="E146" s="106">
        <v>193849.22</v>
      </c>
      <c r="F146" s="130">
        <f t="shared" si="14"/>
        <v>387698.44</v>
      </c>
      <c r="G146" s="13" t="s">
        <v>379</v>
      </c>
      <c r="H146" s="13" t="s">
        <v>102</v>
      </c>
      <c r="I146" s="136"/>
      <c r="J146" s="72"/>
      <c r="K146" s="72"/>
      <c r="L146" s="190">
        <v>2</v>
      </c>
      <c r="M146" s="205"/>
      <c r="N146" s="244">
        <f t="shared" si="15"/>
        <v>2</v>
      </c>
      <c r="O146" s="141"/>
      <c r="Q146" s="5">
        <v>2</v>
      </c>
      <c r="R146" s="13"/>
      <c r="S146" s="13"/>
      <c r="T146" s="13">
        <v>2</v>
      </c>
      <c r="U146" s="13"/>
      <c r="V146" s="5">
        <f t="shared" si="16"/>
        <v>2</v>
      </c>
    </row>
    <row r="147" spans="1:22" ht="36" x14ac:dyDescent="0.2">
      <c r="A147" s="13">
        <v>17</v>
      </c>
      <c r="B147" s="129" t="s">
        <v>382</v>
      </c>
      <c r="C147" s="5">
        <v>1</v>
      </c>
      <c r="D147" s="5" t="s">
        <v>1</v>
      </c>
      <c r="E147" s="5">
        <v>38000</v>
      </c>
      <c r="F147" s="130">
        <f t="shared" si="14"/>
        <v>38000</v>
      </c>
      <c r="G147" s="13" t="s">
        <v>379</v>
      </c>
      <c r="H147" s="5" t="s">
        <v>88</v>
      </c>
      <c r="I147" s="136"/>
      <c r="J147" s="72"/>
      <c r="K147" s="72"/>
      <c r="L147" s="190">
        <v>1</v>
      </c>
      <c r="M147" s="205"/>
      <c r="N147" s="244">
        <f t="shared" si="15"/>
        <v>1</v>
      </c>
      <c r="O147" s="141"/>
      <c r="Q147" s="5">
        <v>1</v>
      </c>
      <c r="R147" s="13"/>
      <c r="S147" s="13"/>
      <c r="T147" s="13">
        <v>1</v>
      </c>
      <c r="U147" s="13"/>
      <c r="V147" s="5">
        <f t="shared" si="16"/>
        <v>1</v>
      </c>
    </row>
    <row r="148" spans="1:22" ht="36" x14ac:dyDescent="0.2">
      <c r="A148" s="13">
        <v>18</v>
      </c>
      <c r="B148" s="129" t="s">
        <v>78</v>
      </c>
      <c r="C148" s="5">
        <v>0</v>
      </c>
      <c r="D148" s="5" t="s">
        <v>79</v>
      </c>
      <c r="E148" s="106">
        <v>5007</v>
      </c>
      <c r="F148" s="130">
        <f t="shared" si="14"/>
        <v>0</v>
      </c>
      <c r="G148" s="13" t="s">
        <v>379</v>
      </c>
      <c r="H148" s="5"/>
      <c r="I148" s="136"/>
      <c r="J148" s="205"/>
      <c r="K148" s="205"/>
      <c r="L148" s="205">
        <v>0</v>
      </c>
      <c r="M148" s="205"/>
      <c r="N148" s="244">
        <f t="shared" si="15"/>
        <v>0</v>
      </c>
      <c r="O148" s="141"/>
      <c r="Q148" s="5">
        <v>0</v>
      </c>
      <c r="R148" s="13"/>
      <c r="S148" s="13"/>
      <c r="T148" s="13">
        <v>0</v>
      </c>
      <c r="U148" s="13"/>
      <c r="V148" s="5">
        <f t="shared" si="16"/>
        <v>0</v>
      </c>
    </row>
    <row r="149" spans="1:22" ht="36" x14ac:dyDescent="0.2">
      <c r="A149" s="13">
        <v>19</v>
      </c>
      <c r="B149" s="247" t="s">
        <v>388</v>
      </c>
      <c r="C149" s="5">
        <v>1</v>
      </c>
      <c r="D149" s="5" t="s">
        <v>1</v>
      </c>
      <c r="E149" s="157">
        <v>20100</v>
      </c>
      <c r="F149" s="130">
        <f t="shared" si="14"/>
        <v>20100</v>
      </c>
      <c r="G149" s="13" t="s">
        <v>379</v>
      </c>
      <c r="H149" s="5"/>
      <c r="I149" s="136"/>
      <c r="J149" s="72"/>
      <c r="K149" s="72"/>
      <c r="L149" s="190">
        <v>1</v>
      </c>
      <c r="M149" s="205"/>
      <c r="N149" s="244">
        <f t="shared" si="15"/>
        <v>1</v>
      </c>
      <c r="O149" s="141"/>
      <c r="Q149" s="5">
        <v>1</v>
      </c>
      <c r="R149" s="13"/>
      <c r="S149" s="13"/>
      <c r="T149" s="13">
        <v>1</v>
      </c>
      <c r="U149" s="13"/>
      <c r="V149" s="5">
        <f t="shared" si="16"/>
        <v>1</v>
      </c>
    </row>
    <row r="150" spans="1:22" ht="48" x14ac:dyDescent="0.2">
      <c r="A150" s="13">
        <v>20</v>
      </c>
      <c r="B150" s="247" t="s">
        <v>387</v>
      </c>
      <c r="C150" s="5">
        <v>1</v>
      </c>
      <c r="D150" s="5" t="s">
        <v>11</v>
      </c>
      <c r="E150" s="157">
        <v>130000</v>
      </c>
      <c r="F150" s="130">
        <f t="shared" si="14"/>
        <v>130000</v>
      </c>
      <c r="G150" s="13" t="s">
        <v>379</v>
      </c>
      <c r="H150" s="5"/>
      <c r="I150" s="136"/>
      <c r="J150" s="72"/>
      <c r="K150" s="72"/>
      <c r="L150" s="190">
        <v>1</v>
      </c>
      <c r="M150" s="205"/>
      <c r="N150" s="244">
        <f t="shared" si="15"/>
        <v>1</v>
      </c>
      <c r="O150" s="141"/>
      <c r="Q150" s="5">
        <v>1</v>
      </c>
      <c r="R150" s="13"/>
      <c r="S150" s="13"/>
      <c r="T150" s="13">
        <v>1</v>
      </c>
      <c r="U150" s="13"/>
      <c r="V150" s="5">
        <f t="shared" si="16"/>
        <v>1</v>
      </c>
    </row>
    <row r="151" spans="1:22" ht="36" x14ac:dyDescent="0.2">
      <c r="A151" s="13">
        <v>21</v>
      </c>
      <c r="B151" s="247" t="s">
        <v>386</v>
      </c>
      <c r="C151" s="5">
        <v>1</v>
      </c>
      <c r="D151" s="5" t="s">
        <v>1</v>
      </c>
      <c r="E151" s="157">
        <v>86000</v>
      </c>
      <c r="F151" s="130">
        <f t="shared" si="14"/>
        <v>86000</v>
      </c>
      <c r="G151" s="13" t="s">
        <v>379</v>
      </c>
      <c r="H151" s="5"/>
      <c r="I151" s="136"/>
      <c r="J151" s="72"/>
      <c r="K151" s="72"/>
      <c r="L151" s="190">
        <v>1</v>
      </c>
      <c r="M151" s="205"/>
      <c r="N151" s="244">
        <f t="shared" si="15"/>
        <v>1</v>
      </c>
      <c r="O151" s="141"/>
      <c r="Q151" s="5">
        <v>1</v>
      </c>
      <c r="R151" s="13"/>
      <c r="S151" s="13"/>
      <c r="T151" s="13">
        <v>1</v>
      </c>
      <c r="U151" s="13"/>
      <c r="V151" s="5">
        <f t="shared" si="16"/>
        <v>1</v>
      </c>
    </row>
    <row r="152" spans="1:22" s="181" customFormat="1" ht="24" x14ac:dyDescent="0.2">
      <c r="A152" s="177">
        <v>22</v>
      </c>
      <c r="B152" s="176" t="s">
        <v>122</v>
      </c>
      <c r="C152" s="175">
        <v>0</v>
      </c>
      <c r="D152" s="175" t="s">
        <v>5</v>
      </c>
      <c r="E152" s="308">
        <v>38500</v>
      </c>
      <c r="F152" s="178">
        <f t="shared" si="14"/>
        <v>0</v>
      </c>
      <c r="G152" s="177" t="s">
        <v>379</v>
      </c>
      <c r="H152" s="175"/>
      <c r="I152" s="180"/>
      <c r="J152" s="177"/>
      <c r="K152" s="177"/>
      <c r="L152" s="177">
        <v>5</v>
      </c>
      <c r="M152" s="177"/>
      <c r="N152" s="178">
        <f t="shared" si="15"/>
        <v>5</v>
      </c>
      <c r="O152" s="264"/>
      <c r="Q152" s="175">
        <v>5</v>
      </c>
      <c r="R152" s="177"/>
      <c r="S152" s="177"/>
      <c r="T152" s="177">
        <v>5</v>
      </c>
      <c r="U152" s="177"/>
      <c r="V152" s="175">
        <f t="shared" si="16"/>
        <v>5</v>
      </c>
    </row>
    <row r="153" spans="1:22" ht="24" x14ac:dyDescent="0.2">
      <c r="A153" s="13">
        <v>23</v>
      </c>
      <c r="B153" s="129" t="s">
        <v>127</v>
      </c>
      <c r="C153" s="5">
        <v>2</v>
      </c>
      <c r="D153" s="13" t="s">
        <v>2</v>
      </c>
      <c r="E153" s="13">
        <v>18900</v>
      </c>
      <c r="F153" s="130">
        <f t="shared" si="14"/>
        <v>37800</v>
      </c>
      <c r="G153" s="13" t="s">
        <v>379</v>
      </c>
      <c r="H153" s="5"/>
      <c r="I153" s="136"/>
      <c r="J153" s="72"/>
      <c r="K153" s="72"/>
      <c r="L153" s="190">
        <v>2</v>
      </c>
      <c r="M153" s="205"/>
      <c r="N153" s="244">
        <f t="shared" si="15"/>
        <v>2</v>
      </c>
      <c r="O153" s="141"/>
      <c r="Q153" s="5">
        <v>2</v>
      </c>
      <c r="R153" s="13"/>
      <c r="S153" s="13"/>
      <c r="T153" s="13">
        <v>2</v>
      </c>
      <c r="U153" s="13"/>
      <c r="V153" s="5">
        <f t="shared" si="16"/>
        <v>2</v>
      </c>
    </row>
    <row r="154" spans="1:22" ht="24" x14ac:dyDescent="0.2">
      <c r="A154" s="13">
        <v>24</v>
      </c>
      <c r="B154" s="129" t="s">
        <v>128</v>
      </c>
      <c r="C154" s="5">
        <v>1</v>
      </c>
      <c r="D154" s="13" t="s">
        <v>2</v>
      </c>
      <c r="E154" s="13">
        <v>23000</v>
      </c>
      <c r="F154" s="130">
        <f t="shared" si="14"/>
        <v>23000</v>
      </c>
      <c r="G154" s="13" t="s">
        <v>379</v>
      </c>
      <c r="H154" s="5"/>
      <c r="I154" s="136"/>
      <c r="J154" s="72"/>
      <c r="K154" s="72"/>
      <c r="L154" s="190">
        <v>1</v>
      </c>
      <c r="M154" s="205"/>
      <c r="N154" s="244">
        <f t="shared" si="15"/>
        <v>1</v>
      </c>
      <c r="O154" s="141"/>
      <c r="Q154" s="5">
        <v>1</v>
      </c>
      <c r="R154" s="13"/>
      <c r="S154" s="13"/>
      <c r="T154" s="13">
        <v>1</v>
      </c>
      <c r="U154" s="13"/>
      <c r="V154" s="5">
        <f t="shared" si="16"/>
        <v>1</v>
      </c>
    </row>
    <row r="155" spans="1:22" ht="36" x14ac:dyDescent="0.2">
      <c r="A155" s="13">
        <v>25</v>
      </c>
      <c r="B155" s="129" t="s">
        <v>112</v>
      </c>
      <c r="C155" s="5">
        <v>1</v>
      </c>
      <c r="D155" s="5" t="s">
        <v>1</v>
      </c>
      <c r="E155" s="157">
        <v>96116</v>
      </c>
      <c r="F155" s="130">
        <f t="shared" si="14"/>
        <v>96116</v>
      </c>
      <c r="G155" s="13" t="s">
        <v>379</v>
      </c>
      <c r="H155" s="5"/>
      <c r="I155" s="136"/>
      <c r="J155" s="72"/>
      <c r="K155" s="72"/>
      <c r="L155" s="190">
        <v>1</v>
      </c>
      <c r="M155" s="205"/>
      <c r="N155" s="244">
        <f t="shared" si="15"/>
        <v>1</v>
      </c>
      <c r="O155" s="141"/>
      <c r="Q155" s="5">
        <v>1</v>
      </c>
      <c r="R155" s="13"/>
      <c r="S155" s="13"/>
      <c r="T155" s="13">
        <v>1</v>
      </c>
      <c r="U155" s="13"/>
      <c r="V155" s="5">
        <f t="shared" si="16"/>
        <v>1</v>
      </c>
    </row>
    <row r="156" spans="1:22" ht="36" x14ac:dyDescent="0.2">
      <c r="A156" s="13">
        <v>26</v>
      </c>
      <c r="B156" s="129" t="s">
        <v>113</v>
      </c>
      <c r="C156" s="5">
        <v>1</v>
      </c>
      <c r="D156" s="5" t="s">
        <v>2</v>
      </c>
      <c r="E156" s="157">
        <v>28300</v>
      </c>
      <c r="F156" s="130">
        <f t="shared" si="14"/>
        <v>28300</v>
      </c>
      <c r="G156" s="13" t="s">
        <v>379</v>
      </c>
      <c r="H156" s="5"/>
      <c r="I156" s="136"/>
      <c r="J156" s="72"/>
      <c r="K156" s="72"/>
      <c r="L156" s="190">
        <v>1</v>
      </c>
      <c r="M156" s="205"/>
      <c r="N156" s="244">
        <f t="shared" si="15"/>
        <v>1</v>
      </c>
      <c r="O156" s="141"/>
      <c r="Q156" s="5">
        <v>1</v>
      </c>
      <c r="R156" s="13"/>
      <c r="S156" s="13"/>
      <c r="T156" s="13">
        <v>1</v>
      </c>
      <c r="U156" s="13"/>
      <c r="V156" s="5">
        <f t="shared" si="16"/>
        <v>1</v>
      </c>
    </row>
    <row r="157" spans="1:22" ht="24" x14ac:dyDescent="0.2">
      <c r="A157" s="13">
        <v>27</v>
      </c>
      <c r="B157" s="129" t="s">
        <v>114</v>
      </c>
      <c r="C157" s="5">
        <v>1</v>
      </c>
      <c r="D157" s="5" t="s">
        <v>5</v>
      </c>
      <c r="E157" s="157">
        <v>20000</v>
      </c>
      <c r="F157" s="130">
        <f t="shared" si="14"/>
        <v>20000</v>
      </c>
      <c r="G157" s="13" t="s">
        <v>379</v>
      </c>
      <c r="H157" s="5"/>
      <c r="I157" s="136"/>
      <c r="J157" s="72"/>
      <c r="K157" s="72"/>
      <c r="L157" s="190">
        <v>1</v>
      </c>
      <c r="M157" s="205"/>
      <c r="N157" s="244">
        <f t="shared" si="15"/>
        <v>1</v>
      </c>
      <c r="O157" s="141"/>
      <c r="Q157" s="5">
        <v>1</v>
      </c>
      <c r="R157" s="13"/>
      <c r="S157" s="13"/>
      <c r="T157" s="13">
        <v>1</v>
      </c>
      <c r="U157" s="13"/>
      <c r="V157" s="5">
        <f t="shared" si="16"/>
        <v>1</v>
      </c>
    </row>
    <row r="158" spans="1:22" ht="24" x14ac:dyDescent="0.2">
      <c r="A158" s="13">
        <v>28</v>
      </c>
      <c r="B158" s="129" t="s">
        <v>115</v>
      </c>
      <c r="C158" s="5">
        <v>3</v>
      </c>
      <c r="D158" s="5" t="s">
        <v>5</v>
      </c>
      <c r="E158" s="157">
        <v>3500</v>
      </c>
      <c r="F158" s="130">
        <f t="shared" si="14"/>
        <v>10500</v>
      </c>
      <c r="G158" s="13" t="s">
        <v>379</v>
      </c>
      <c r="H158" s="5"/>
      <c r="I158" s="136"/>
      <c r="J158" s="72"/>
      <c r="K158" s="72"/>
      <c r="L158" s="190">
        <v>3</v>
      </c>
      <c r="M158" s="205"/>
      <c r="N158" s="244">
        <f t="shared" si="15"/>
        <v>3</v>
      </c>
      <c r="O158" s="141"/>
      <c r="Q158" s="5">
        <v>3</v>
      </c>
      <c r="R158" s="13"/>
      <c r="S158" s="13"/>
      <c r="T158" s="13">
        <v>3</v>
      </c>
      <c r="U158" s="13"/>
      <c r="V158" s="5">
        <f t="shared" si="16"/>
        <v>3</v>
      </c>
    </row>
    <row r="159" spans="1:22" ht="24" x14ac:dyDescent="0.2">
      <c r="A159" s="13">
        <v>29</v>
      </c>
      <c r="B159" s="129" t="s">
        <v>116</v>
      </c>
      <c r="C159" s="5">
        <v>6</v>
      </c>
      <c r="D159" s="5" t="s">
        <v>5</v>
      </c>
      <c r="E159" s="157">
        <v>1800</v>
      </c>
      <c r="F159" s="130">
        <f t="shared" si="14"/>
        <v>10800</v>
      </c>
      <c r="G159" s="13" t="s">
        <v>379</v>
      </c>
      <c r="H159" s="5"/>
      <c r="I159" s="136"/>
      <c r="J159" s="72"/>
      <c r="K159" s="72"/>
      <c r="L159" s="190">
        <v>6</v>
      </c>
      <c r="M159" s="205"/>
      <c r="N159" s="244">
        <f t="shared" si="15"/>
        <v>6</v>
      </c>
      <c r="O159" s="141"/>
      <c r="Q159" s="5">
        <v>6</v>
      </c>
      <c r="R159" s="13"/>
      <c r="S159" s="13"/>
      <c r="T159" s="13">
        <v>6</v>
      </c>
      <c r="U159" s="13"/>
      <c r="V159" s="5">
        <f t="shared" si="16"/>
        <v>6</v>
      </c>
    </row>
    <row r="160" spans="1:22" ht="24" x14ac:dyDescent="0.2">
      <c r="A160" s="13">
        <v>30</v>
      </c>
      <c r="B160" s="129" t="s">
        <v>117</v>
      </c>
      <c r="C160" s="5">
        <v>4</v>
      </c>
      <c r="D160" s="13" t="s">
        <v>2</v>
      </c>
      <c r="E160" s="13">
        <v>2396</v>
      </c>
      <c r="F160" s="130">
        <f t="shared" si="14"/>
        <v>9584</v>
      </c>
      <c r="G160" s="13" t="s">
        <v>379</v>
      </c>
      <c r="H160" s="5"/>
      <c r="I160" s="136"/>
      <c r="J160" s="72"/>
      <c r="K160" s="72"/>
      <c r="L160" s="190">
        <v>4</v>
      </c>
      <c r="M160" s="205"/>
      <c r="N160" s="244">
        <f t="shared" si="15"/>
        <v>4</v>
      </c>
      <c r="O160" s="141"/>
      <c r="Q160" s="5">
        <v>4</v>
      </c>
      <c r="R160" s="13"/>
      <c r="S160" s="13"/>
      <c r="T160" s="13">
        <v>4</v>
      </c>
      <c r="U160" s="13"/>
      <c r="V160" s="5">
        <f t="shared" si="16"/>
        <v>4</v>
      </c>
    </row>
    <row r="161" spans="1:22" ht="24" x14ac:dyDescent="0.2">
      <c r="A161" s="13">
        <v>31</v>
      </c>
      <c r="B161" s="129" t="s">
        <v>118</v>
      </c>
      <c r="C161" s="5">
        <v>6</v>
      </c>
      <c r="D161" s="13" t="s">
        <v>2</v>
      </c>
      <c r="E161" s="13">
        <v>2500</v>
      </c>
      <c r="F161" s="130">
        <f t="shared" si="14"/>
        <v>15000</v>
      </c>
      <c r="G161" s="13" t="s">
        <v>379</v>
      </c>
      <c r="H161" s="5"/>
      <c r="I161" s="136"/>
      <c r="J161" s="13"/>
      <c r="K161" s="13"/>
      <c r="L161" s="190">
        <v>4</v>
      </c>
      <c r="M161" s="205">
        <v>2</v>
      </c>
      <c r="N161" s="244">
        <f t="shared" si="15"/>
        <v>6</v>
      </c>
      <c r="O161" s="141"/>
      <c r="Q161" s="5">
        <v>6</v>
      </c>
      <c r="R161" s="13"/>
      <c r="S161" s="13"/>
      <c r="T161" s="13">
        <v>4</v>
      </c>
      <c r="U161" s="13">
        <v>2</v>
      </c>
      <c r="V161" s="5">
        <f t="shared" si="16"/>
        <v>6</v>
      </c>
    </row>
    <row r="162" spans="1:22" ht="48" x14ac:dyDescent="0.2">
      <c r="A162" s="13">
        <v>32</v>
      </c>
      <c r="B162" s="129" t="s">
        <v>126</v>
      </c>
      <c r="C162" s="5">
        <v>6</v>
      </c>
      <c r="D162" s="5" t="s">
        <v>5</v>
      </c>
      <c r="E162" s="13">
        <v>31707</v>
      </c>
      <c r="F162" s="130">
        <f t="shared" si="14"/>
        <v>190242</v>
      </c>
      <c r="G162" s="13" t="s">
        <v>379</v>
      </c>
      <c r="H162" s="5"/>
      <c r="I162" s="136"/>
      <c r="J162" s="72"/>
      <c r="K162" s="72"/>
      <c r="L162" s="190">
        <v>6</v>
      </c>
      <c r="M162" s="205"/>
      <c r="N162" s="244">
        <f t="shared" si="15"/>
        <v>6</v>
      </c>
      <c r="O162" s="141"/>
      <c r="Q162" s="5">
        <v>6</v>
      </c>
      <c r="R162" s="13"/>
      <c r="S162" s="13"/>
      <c r="T162" s="13">
        <v>6</v>
      </c>
      <c r="U162" s="13"/>
      <c r="V162" s="5">
        <f t="shared" si="16"/>
        <v>6</v>
      </c>
    </row>
    <row r="163" spans="1:22" ht="36" x14ac:dyDescent="0.2">
      <c r="A163" s="13">
        <v>33</v>
      </c>
      <c r="B163" s="129" t="s">
        <v>120</v>
      </c>
      <c r="C163" s="5">
        <v>4</v>
      </c>
      <c r="D163" s="13" t="s">
        <v>119</v>
      </c>
      <c r="E163" s="13">
        <v>8914</v>
      </c>
      <c r="F163" s="130">
        <f t="shared" si="14"/>
        <v>35656</v>
      </c>
      <c r="G163" s="13" t="s">
        <v>379</v>
      </c>
      <c r="H163" s="5"/>
      <c r="I163" s="136"/>
      <c r="J163" s="72"/>
      <c r="K163" s="72"/>
      <c r="L163" s="190">
        <v>4</v>
      </c>
      <c r="M163" s="205"/>
      <c r="N163" s="244">
        <f t="shared" si="15"/>
        <v>4</v>
      </c>
      <c r="O163" s="141"/>
      <c r="Q163" s="5">
        <v>4</v>
      </c>
      <c r="R163" s="13"/>
      <c r="S163" s="13"/>
      <c r="T163" s="13">
        <v>4</v>
      </c>
      <c r="U163" s="13"/>
      <c r="V163" s="5">
        <f t="shared" si="16"/>
        <v>4</v>
      </c>
    </row>
    <row r="164" spans="1:22" ht="36" x14ac:dyDescent="0.2">
      <c r="A164" s="13">
        <v>34</v>
      </c>
      <c r="B164" s="129" t="s">
        <v>121</v>
      </c>
      <c r="C164" s="5">
        <v>4</v>
      </c>
      <c r="D164" s="13" t="s">
        <v>119</v>
      </c>
      <c r="E164" s="13">
        <v>7680</v>
      </c>
      <c r="F164" s="130">
        <f t="shared" si="14"/>
        <v>30720</v>
      </c>
      <c r="G164" s="13" t="s">
        <v>379</v>
      </c>
      <c r="H164" s="5"/>
      <c r="I164" s="136"/>
      <c r="J164" s="72"/>
      <c r="K164" s="72"/>
      <c r="L164" s="190">
        <v>4</v>
      </c>
      <c r="M164" s="205"/>
      <c r="N164" s="244">
        <f t="shared" si="15"/>
        <v>4</v>
      </c>
      <c r="O164" s="141"/>
      <c r="Q164" s="5">
        <v>4</v>
      </c>
      <c r="R164" s="13"/>
      <c r="S164" s="13"/>
      <c r="T164" s="13">
        <v>4</v>
      </c>
      <c r="U164" s="13"/>
      <c r="V164" s="5">
        <f t="shared" si="16"/>
        <v>4</v>
      </c>
    </row>
    <row r="165" spans="1:22" ht="24" x14ac:dyDescent="0.2">
      <c r="A165" s="13">
        <v>36</v>
      </c>
      <c r="B165" s="129" t="s">
        <v>123</v>
      </c>
      <c r="C165" s="5">
        <v>200</v>
      </c>
      <c r="D165" s="13" t="s">
        <v>1</v>
      </c>
      <c r="E165" s="13">
        <v>30</v>
      </c>
      <c r="F165" s="130">
        <f t="shared" si="14"/>
        <v>6000</v>
      </c>
      <c r="G165" s="13" t="s">
        <v>379</v>
      </c>
      <c r="H165" s="5"/>
      <c r="I165" s="136"/>
      <c r="J165" s="72"/>
      <c r="K165" s="72"/>
      <c r="L165" s="190">
        <v>200</v>
      </c>
      <c r="M165" s="205"/>
      <c r="N165" s="244">
        <f t="shared" si="15"/>
        <v>200</v>
      </c>
      <c r="O165" s="141"/>
      <c r="Q165" s="5">
        <v>200</v>
      </c>
      <c r="R165" s="13"/>
      <c r="S165" s="13"/>
      <c r="T165" s="13">
        <v>200</v>
      </c>
      <c r="U165" s="13"/>
      <c r="V165" s="5">
        <f t="shared" si="16"/>
        <v>200</v>
      </c>
    </row>
    <row r="166" spans="1:22" ht="36" x14ac:dyDescent="0.2">
      <c r="A166" s="13">
        <v>37</v>
      </c>
      <c r="B166" s="6" t="s">
        <v>180</v>
      </c>
      <c r="C166" s="5">
        <v>1</v>
      </c>
      <c r="D166" s="7" t="s">
        <v>178</v>
      </c>
      <c r="E166" s="5">
        <v>7000</v>
      </c>
      <c r="F166" s="130">
        <f t="shared" si="14"/>
        <v>7000</v>
      </c>
      <c r="G166" s="13" t="s">
        <v>379</v>
      </c>
      <c r="H166" s="5"/>
      <c r="I166" s="136"/>
      <c r="J166" s="72"/>
      <c r="K166" s="72"/>
      <c r="L166" s="190"/>
      <c r="M166" s="205">
        <v>1</v>
      </c>
      <c r="N166" s="244">
        <f t="shared" si="15"/>
        <v>1</v>
      </c>
      <c r="O166" s="147"/>
      <c r="Q166" s="5">
        <v>1</v>
      </c>
      <c r="R166" s="13"/>
      <c r="S166" s="13"/>
      <c r="T166" s="13"/>
      <c r="U166" s="13">
        <v>1</v>
      </c>
      <c r="V166" s="5">
        <f t="shared" si="16"/>
        <v>1</v>
      </c>
    </row>
    <row r="167" spans="1:22" s="147" customFormat="1" ht="24" x14ac:dyDescent="0.25">
      <c r="A167" s="5">
        <f t="shared" ref="A167" si="17">A166+1</f>
        <v>38</v>
      </c>
      <c r="B167" s="149" t="s">
        <v>402</v>
      </c>
      <c r="C167" s="13">
        <v>1</v>
      </c>
      <c r="D167" s="13" t="s">
        <v>5</v>
      </c>
      <c r="E167" s="150">
        <v>38000</v>
      </c>
      <c r="F167" s="130">
        <f t="shared" si="14"/>
        <v>38000</v>
      </c>
      <c r="G167" s="13" t="s">
        <v>379</v>
      </c>
      <c r="H167" s="5"/>
      <c r="I167" s="136"/>
      <c r="J167" s="13">
        <v>0</v>
      </c>
      <c r="K167" s="13">
        <v>0</v>
      </c>
      <c r="L167" s="190"/>
      <c r="M167" s="205">
        <v>1</v>
      </c>
      <c r="N167" s="244">
        <f t="shared" si="15"/>
        <v>1</v>
      </c>
      <c r="O167" s="141"/>
      <c r="Q167" s="13">
        <v>1</v>
      </c>
      <c r="R167" s="13">
        <v>0</v>
      </c>
      <c r="S167" s="13">
        <v>0</v>
      </c>
      <c r="T167" s="13"/>
      <c r="U167" s="13">
        <v>1</v>
      </c>
      <c r="V167" s="13">
        <f t="shared" si="16"/>
        <v>1</v>
      </c>
    </row>
    <row r="168" spans="1:22" s="196" customFormat="1" ht="36" x14ac:dyDescent="0.2">
      <c r="A168" s="190">
        <v>38</v>
      </c>
      <c r="B168" s="256" t="s">
        <v>183</v>
      </c>
      <c r="C168" s="192">
        <v>1</v>
      </c>
      <c r="D168" s="190" t="s">
        <v>5</v>
      </c>
      <c r="E168" s="284">
        <v>17200</v>
      </c>
      <c r="F168" s="193">
        <f t="shared" si="14"/>
        <v>17200</v>
      </c>
      <c r="G168" s="190" t="s">
        <v>379</v>
      </c>
      <c r="H168" s="192"/>
      <c r="I168" s="194"/>
      <c r="J168" s="190"/>
      <c r="K168" s="190"/>
      <c r="M168" s="190">
        <v>1</v>
      </c>
      <c r="N168" s="193">
        <f t="shared" si="15"/>
        <v>1</v>
      </c>
      <c r="O168" s="195"/>
      <c r="Q168" s="192">
        <v>1</v>
      </c>
      <c r="R168" s="190"/>
      <c r="S168" s="190"/>
      <c r="U168" s="190">
        <v>1</v>
      </c>
      <c r="V168" s="192">
        <f t="shared" si="16"/>
        <v>1</v>
      </c>
    </row>
    <row r="169" spans="1:22" ht="76.5" x14ac:dyDescent="0.2">
      <c r="A169" s="13">
        <v>42</v>
      </c>
      <c r="B169" s="98" t="s">
        <v>397</v>
      </c>
      <c r="C169" s="5">
        <v>30</v>
      </c>
      <c r="D169" s="3" t="s">
        <v>45</v>
      </c>
      <c r="E169" s="3">
        <v>250</v>
      </c>
      <c r="F169" s="130">
        <f t="shared" si="14"/>
        <v>7500</v>
      </c>
      <c r="G169" s="13" t="s">
        <v>379</v>
      </c>
      <c r="H169" s="19"/>
      <c r="I169" s="136"/>
      <c r="J169" s="13"/>
      <c r="K169" s="13"/>
      <c r="L169" s="190"/>
      <c r="M169" s="205">
        <v>30</v>
      </c>
      <c r="N169" s="244">
        <f t="shared" si="15"/>
        <v>30</v>
      </c>
      <c r="O169" s="141"/>
      <c r="Q169" s="5">
        <v>30</v>
      </c>
      <c r="R169" s="13"/>
      <c r="S169" s="13"/>
      <c r="T169" s="13"/>
      <c r="U169" s="13">
        <v>30</v>
      </c>
      <c r="V169" s="5">
        <f t="shared" si="16"/>
        <v>30</v>
      </c>
    </row>
    <row r="170" spans="1:22" s="196" customFormat="1" ht="38.25" x14ac:dyDescent="0.2">
      <c r="A170" s="190">
        <v>43</v>
      </c>
      <c r="B170" s="258" t="s">
        <v>208</v>
      </c>
      <c r="C170" s="192">
        <v>100</v>
      </c>
      <c r="D170" s="190" t="s">
        <v>4</v>
      </c>
      <c r="E170" s="282">
        <v>100</v>
      </c>
      <c r="F170" s="193">
        <f t="shared" si="14"/>
        <v>10000</v>
      </c>
      <c r="G170" s="190" t="s">
        <v>379</v>
      </c>
      <c r="H170" s="283" t="s">
        <v>209</v>
      </c>
      <c r="I170" s="194"/>
      <c r="J170" s="190"/>
      <c r="K170" s="190"/>
      <c r="L170" s="190"/>
      <c r="M170" s="190">
        <v>100</v>
      </c>
      <c r="N170" s="193">
        <f t="shared" si="15"/>
        <v>100</v>
      </c>
      <c r="O170" s="195"/>
      <c r="Q170" s="192">
        <v>100</v>
      </c>
      <c r="R170" s="190"/>
      <c r="S170" s="190"/>
      <c r="T170" s="190"/>
      <c r="U170" s="190">
        <v>100</v>
      </c>
      <c r="V170" s="192">
        <f t="shared" si="16"/>
        <v>100</v>
      </c>
    </row>
    <row r="171" spans="1:22" ht="48" x14ac:dyDescent="0.2">
      <c r="A171" s="13">
        <v>44</v>
      </c>
      <c r="B171" s="90" t="s">
        <v>398</v>
      </c>
      <c r="C171" s="5">
        <v>1</v>
      </c>
      <c r="D171" s="13" t="s">
        <v>399</v>
      </c>
      <c r="E171" s="95">
        <v>29500</v>
      </c>
      <c r="F171" s="130">
        <f t="shared" si="14"/>
        <v>29500</v>
      </c>
      <c r="G171" s="13" t="s">
        <v>379</v>
      </c>
      <c r="H171" s="5"/>
      <c r="I171" s="136"/>
      <c r="J171" s="13"/>
      <c r="K171" s="13"/>
      <c r="L171" s="190"/>
      <c r="M171" s="205">
        <v>1</v>
      </c>
      <c r="N171" s="244">
        <f t="shared" si="15"/>
        <v>1</v>
      </c>
      <c r="O171" s="141"/>
      <c r="Q171" s="5">
        <v>1</v>
      </c>
      <c r="R171" s="13"/>
      <c r="S171" s="13"/>
      <c r="T171" s="13"/>
      <c r="U171" s="13">
        <v>1</v>
      </c>
      <c r="V171" s="5">
        <f t="shared" si="16"/>
        <v>1</v>
      </c>
    </row>
    <row r="172" spans="1:22" ht="24" x14ac:dyDescent="0.2">
      <c r="A172" s="13">
        <v>45</v>
      </c>
      <c r="B172" s="90" t="s">
        <v>213</v>
      </c>
      <c r="C172" s="5">
        <v>1</v>
      </c>
      <c r="D172" s="13" t="s">
        <v>2</v>
      </c>
      <c r="E172" s="95">
        <v>43223</v>
      </c>
      <c r="F172" s="130">
        <f t="shared" si="14"/>
        <v>43223</v>
      </c>
      <c r="G172" s="13" t="s">
        <v>379</v>
      </c>
      <c r="H172" s="5"/>
      <c r="I172" s="136"/>
      <c r="J172" s="13"/>
      <c r="K172" s="13"/>
      <c r="L172" s="190"/>
      <c r="M172" s="205">
        <v>1</v>
      </c>
      <c r="N172" s="244">
        <f t="shared" si="15"/>
        <v>1</v>
      </c>
      <c r="O172" s="141"/>
      <c r="Q172" s="5">
        <v>1</v>
      </c>
      <c r="R172" s="13"/>
      <c r="S172" s="13"/>
      <c r="T172" s="13"/>
      <c r="U172" s="13">
        <v>1</v>
      </c>
      <c r="V172" s="5">
        <f t="shared" si="16"/>
        <v>1</v>
      </c>
    </row>
    <row r="173" spans="1:22" x14ac:dyDescent="0.2">
      <c r="A173" s="13">
        <v>46</v>
      </c>
      <c r="B173" s="90" t="s">
        <v>215</v>
      </c>
      <c r="C173" s="5">
        <v>1</v>
      </c>
      <c r="D173" s="13" t="s">
        <v>2</v>
      </c>
      <c r="E173" s="95">
        <v>9853</v>
      </c>
      <c r="F173" s="130">
        <f t="shared" si="14"/>
        <v>9853</v>
      </c>
      <c r="G173" s="13" t="s">
        <v>379</v>
      </c>
      <c r="H173" s="5"/>
      <c r="I173" s="136"/>
      <c r="J173" s="13"/>
      <c r="K173" s="13"/>
      <c r="L173" s="190"/>
      <c r="M173" s="205">
        <v>1</v>
      </c>
      <c r="N173" s="244">
        <f t="shared" si="15"/>
        <v>1</v>
      </c>
      <c r="O173" s="141"/>
      <c r="Q173" s="5">
        <v>1</v>
      </c>
      <c r="R173" s="13"/>
      <c r="S173" s="13"/>
      <c r="T173" s="13"/>
      <c r="U173" s="13">
        <v>1</v>
      </c>
      <c r="V173" s="5">
        <f t="shared" si="16"/>
        <v>1</v>
      </c>
    </row>
    <row r="174" spans="1:22" ht="12.75" thickBot="1" x14ac:dyDescent="0.25">
      <c r="A174" s="13"/>
      <c r="B174" s="173"/>
      <c r="E174" s="13"/>
      <c r="F174" s="130"/>
      <c r="G174" s="8"/>
      <c r="H174" s="5"/>
      <c r="I174" s="136"/>
      <c r="J174" s="240">
        <f>SUM(J136:J173)</f>
        <v>0</v>
      </c>
      <c r="K174" s="237">
        <f>SUM(K136:K173)</f>
        <v>0</v>
      </c>
      <c r="L174" s="240">
        <f>SUM(L136:L173)</f>
        <v>7896</v>
      </c>
      <c r="M174" s="240">
        <f>SUM(M136:M173)</f>
        <v>138</v>
      </c>
      <c r="N174" s="245">
        <f>SUM(J174:M174)</f>
        <v>8034</v>
      </c>
      <c r="O174" s="128">
        <f>F174-N174</f>
        <v>-8034</v>
      </c>
      <c r="Q174" s="5">
        <v>0</v>
      </c>
      <c r="R174" s="13"/>
      <c r="S174" s="13"/>
      <c r="T174" s="13"/>
      <c r="U174" s="13"/>
      <c r="V174" s="5">
        <f t="shared" si="16"/>
        <v>0</v>
      </c>
    </row>
    <row r="175" spans="1:22" x14ac:dyDescent="0.2">
      <c r="A175" s="13"/>
      <c r="B175" s="129"/>
      <c r="E175" s="13"/>
      <c r="F175" s="130"/>
      <c r="G175" s="8"/>
      <c r="H175" s="5"/>
      <c r="I175" s="136"/>
      <c r="J175" s="13"/>
      <c r="K175" s="13"/>
      <c r="L175" s="190"/>
      <c r="M175" s="205"/>
      <c r="N175" s="244"/>
      <c r="O175" s="137"/>
      <c r="R175" s="13"/>
      <c r="S175" s="13"/>
      <c r="T175" s="13"/>
      <c r="U175" s="13"/>
    </row>
    <row r="176" spans="1:22" s="137" customFormat="1" ht="12.75" thickBot="1" x14ac:dyDescent="0.3">
      <c r="A176" s="13"/>
      <c r="B176" s="433"/>
      <c r="C176" s="433"/>
      <c r="D176" s="13"/>
      <c r="E176" s="13"/>
      <c r="F176" s="130"/>
      <c r="H176" s="5"/>
      <c r="I176" s="136"/>
      <c r="J176" s="240"/>
      <c r="K176" s="237"/>
      <c r="L176" s="240"/>
      <c r="M176" s="240"/>
      <c r="N176" s="245"/>
      <c r="O176" s="128"/>
      <c r="Q176" s="13"/>
      <c r="V176" s="13"/>
    </row>
    <row r="177" spans="1:22" s="128" customFormat="1" ht="12.75" thickBot="1" x14ac:dyDescent="0.25">
      <c r="A177" s="12"/>
      <c r="B177" s="142" t="s">
        <v>251</v>
      </c>
      <c r="C177" s="12"/>
      <c r="F177" s="240">
        <f>SUM(F107:F176)</f>
        <v>4355539.9800000004</v>
      </c>
      <c r="G177" s="12"/>
      <c r="J177" s="12"/>
      <c r="L177" s="203"/>
      <c r="M177" s="219"/>
      <c r="N177" s="243"/>
      <c r="O177" s="8"/>
      <c r="Q177" s="12"/>
      <c r="V177" s="12"/>
    </row>
    <row r="178" spans="1:22" x14ac:dyDescent="0.2">
      <c r="O178" s="128">
        <f>F178-N178</f>
        <v>0</v>
      </c>
    </row>
    <row r="179" spans="1:22" ht="12.75" thickBot="1" x14ac:dyDescent="0.25">
      <c r="B179" s="79" t="s">
        <v>390</v>
      </c>
      <c r="F179" s="241">
        <f>F177+F68+F8+F103</f>
        <v>16631362.006000001</v>
      </c>
      <c r="H179" s="189">
        <f>'PCEE+PFA+PCSTE+PCOM COMB SCH '!J183-'PCEE+PFA+PCSTE+PCOM COMB SC 22.'!F179</f>
        <v>0</v>
      </c>
      <c r="I179" s="189"/>
    </row>
    <row r="181" spans="1:22" x14ac:dyDescent="0.2">
      <c r="I181" s="8" t="s">
        <v>374</v>
      </c>
    </row>
    <row r="182" spans="1:22" s="438" customFormat="1" x14ac:dyDescent="0.25"/>
    <row r="183" spans="1:22" x14ac:dyDescent="0.2">
      <c r="B183" s="144" t="s">
        <v>383</v>
      </c>
      <c r="C183" s="13"/>
      <c r="J183" s="8"/>
      <c r="K183" s="8"/>
      <c r="L183" s="8"/>
      <c r="M183" s="8"/>
      <c r="N183" s="8"/>
      <c r="Q183" s="8"/>
      <c r="R183" s="8"/>
      <c r="S183" s="8"/>
      <c r="T183" s="8"/>
      <c r="U183" s="8"/>
      <c r="V183" s="8"/>
    </row>
    <row r="185" spans="1:22" ht="12.75" x14ac:dyDescent="0.2">
      <c r="E185" s="1"/>
      <c r="F185" s="1"/>
    </row>
    <row r="189" spans="1:22" ht="12.75" x14ac:dyDescent="0.2">
      <c r="E189" s="1" t="s">
        <v>362</v>
      </c>
      <c r="F189" s="84">
        <f>F8</f>
        <v>185832.6</v>
      </c>
    </row>
    <row r="190" spans="1:22" ht="12.75" x14ac:dyDescent="0.2">
      <c r="E190" s="1" t="s">
        <v>363</v>
      </c>
      <c r="F190" s="1">
        <f>F68</f>
        <v>10197160.216</v>
      </c>
    </row>
    <row r="191" spans="1:22" ht="12.75" x14ac:dyDescent="0.2">
      <c r="E191" s="1" t="s">
        <v>364</v>
      </c>
      <c r="F191" s="84" t="e">
        <f>#REF!</f>
        <v>#REF!</v>
      </c>
    </row>
    <row r="192" spans="1:22" ht="12.75" x14ac:dyDescent="0.2">
      <c r="E192" s="1" t="s">
        <v>365</v>
      </c>
      <c r="F192" s="84">
        <f>F177</f>
        <v>4355539.9800000004</v>
      </c>
    </row>
    <row r="193" spans="1:22" ht="12.75" x14ac:dyDescent="0.2">
      <c r="E193" s="1" t="s">
        <v>366</v>
      </c>
      <c r="F193" s="84">
        <f>F68</f>
        <v>10197160.216</v>
      </c>
    </row>
    <row r="194" spans="1:22" ht="12.75" x14ac:dyDescent="0.2">
      <c r="E194" s="1" t="s">
        <v>239</v>
      </c>
      <c r="F194" s="84" t="e">
        <f>SUM(F189:F193)</f>
        <v>#REF!</v>
      </c>
    </row>
    <row r="197" spans="1:22" x14ac:dyDescent="0.2">
      <c r="B197" s="144" t="s">
        <v>238</v>
      </c>
    </row>
    <row r="198" spans="1:22" ht="36" x14ac:dyDescent="0.2">
      <c r="A198" s="5">
        <f t="shared" ref="A198:A199" si="18">A197+1</f>
        <v>1</v>
      </c>
      <c r="B198" s="129" t="s">
        <v>341</v>
      </c>
      <c r="C198" s="5">
        <v>30</v>
      </c>
      <c r="D198" s="13" t="s">
        <v>45</v>
      </c>
      <c r="E198" s="7">
        <f>(410-380)</f>
        <v>30</v>
      </c>
      <c r="F198" s="130">
        <f>C198*E198</f>
        <v>900</v>
      </c>
      <c r="H198" s="136"/>
      <c r="I198" s="136"/>
      <c r="Q198" s="5">
        <v>30</v>
      </c>
      <c r="R198" s="13">
        <v>0</v>
      </c>
      <c r="S198" s="13">
        <v>30</v>
      </c>
      <c r="T198" s="13">
        <v>0</v>
      </c>
      <c r="U198" s="13">
        <v>0</v>
      </c>
      <c r="V198" s="5">
        <f t="shared" ref="V198:V201" si="19">R198+S198+T198+U198</f>
        <v>30</v>
      </c>
    </row>
    <row r="199" spans="1:22" s="144" customFormat="1" ht="72" x14ac:dyDescent="0.25">
      <c r="A199" s="5">
        <f t="shared" si="18"/>
        <v>2</v>
      </c>
      <c r="B199" s="6" t="s">
        <v>255</v>
      </c>
      <c r="C199" s="5">
        <v>4</v>
      </c>
      <c r="D199" s="97" t="s">
        <v>5</v>
      </c>
      <c r="E199" s="106">
        <f>(89856-87840)</f>
        <v>2016</v>
      </c>
      <c r="F199" s="130">
        <f>C199*E199</f>
        <v>8064</v>
      </c>
      <c r="G199" s="5"/>
      <c r="H199" s="136"/>
      <c r="I199" s="136"/>
      <c r="J199" s="184">
        <v>0</v>
      </c>
      <c r="K199" s="184">
        <v>30</v>
      </c>
      <c r="L199" s="190">
        <v>0</v>
      </c>
      <c r="M199" s="205">
        <v>0</v>
      </c>
      <c r="N199" s="244">
        <f t="shared" ref="N199:N202" si="20">J199+K199+L199+M199</f>
        <v>30</v>
      </c>
      <c r="Q199" s="5">
        <v>4</v>
      </c>
      <c r="R199" s="13">
        <v>0</v>
      </c>
      <c r="S199" s="13">
        <v>4</v>
      </c>
      <c r="T199" s="13"/>
      <c r="U199" s="13"/>
      <c r="V199" s="5">
        <f t="shared" si="19"/>
        <v>4</v>
      </c>
    </row>
    <row r="200" spans="1:22" s="144" customFormat="1" ht="48" x14ac:dyDescent="0.25">
      <c r="A200" s="5">
        <f>A204+1</f>
        <v>1</v>
      </c>
      <c r="B200" s="129" t="s">
        <v>259</v>
      </c>
      <c r="C200" s="5">
        <v>1</v>
      </c>
      <c r="D200" s="5" t="s">
        <v>5</v>
      </c>
      <c r="E200" s="106">
        <f>(47258.9-47251.92)</f>
        <v>6.9800000000032014</v>
      </c>
      <c r="F200" s="130">
        <f>C200*E200</f>
        <v>6.9800000000032014</v>
      </c>
      <c r="G200" s="5"/>
      <c r="H200" s="136"/>
      <c r="I200" s="136"/>
      <c r="J200" s="13">
        <v>0</v>
      </c>
      <c r="K200" s="13">
        <v>4</v>
      </c>
      <c r="L200" s="190"/>
      <c r="M200" s="205"/>
      <c r="N200" s="244">
        <f t="shared" si="20"/>
        <v>4</v>
      </c>
      <c r="Q200" s="5">
        <v>1</v>
      </c>
      <c r="R200" s="13">
        <v>0</v>
      </c>
      <c r="S200" s="13">
        <v>1</v>
      </c>
      <c r="T200" s="13"/>
      <c r="U200" s="13"/>
      <c r="V200" s="5">
        <f t="shared" si="19"/>
        <v>1</v>
      </c>
    </row>
    <row r="201" spans="1:22" s="144" customFormat="1" ht="36" x14ac:dyDescent="0.25">
      <c r="A201" s="5">
        <f t="shared" ref="A201" si="21">A200+1</f>
        <v>2</v>
      </c>
      <c r="B201" s="129" t="s">
        <v>270</v>
      </c>
      <c r="C201" s="5">
        <v>10</v>
      </c>
      <c r="D201" s="5" t="s">
        <v>5</v>
      </c>
      <c r="E201" s="106">
        <f>(33187.5-33187)</f>
        <v>0.5</v>
      </c>
      <c r="F201" s="130">
        <f>C201*E201</f>
        <v>5</v>
      </c>
      <c r="G201" s="5"/>
      <c r="H201" s="136"/>
      <c r="I201" s="136"/>
      <c r="J201" s="13">
        <v>0</v>
      </c>
      <c r="K201" s="13">
        <v>1</v>
      </c>
      <c r="L201" s="190"/>
      <c r="M201" s="205"/>
      <c r="N201" s="244">
        <f t="shared" si="20"/>
        <v>1</v>
      </c>
      <c r="Q201" s="5">
        <v>10</v>
      </c>
      <c r="R201" s="13">
        <v>0</v>
      </c>
      <c r="S201" s="13">
        <v>10</v>
      </c>
      <c r="T201" s="13"/>
      <c r="U201" s="13"/>
      <c r="V201" s="5">
        <f t="shared" si="19"/>
        <v>10</v>
      </c>
    </row>
    <row r="202" spans="1:22" x14ac:dyDescent="0.2">
      <c r="J202" s="20">
        <v>0</v>
      </c>
      <c r="K202" s="20">
        <v>10</v>
      </c>
      <c r="L202" s="20"/>
      <c r="M202" s="20"/>
      <c r="N202" s="244">
        <f t="shared" si="20"/>
        <v>10</v>
      </c>
    </row>
    <row r="204" spans="1:22" x14ac:dyDescent="0.2">
      <c r="B204" s="144" t="s">
        <v>375</v>
      </c>
    </row>
    <row r="206" spans="1:22" ht="36" x14ac:dyDescent="0.2">
      <c r="A206" s="13">
        <v>18</v>
      </c>
      <c r="B206" s="129" t="s">
        <v>78</v>
      </c>
      <c r="C206" s="5">
        <v>30</v>
      </c>
      <c r="D206" s="5" t="s">
        <v>79</v>
      </c>
      <c r="E206" s="106">
        <f>5007-E6-(460*2.2)</f>
        <v>1909.79</v>
      </c>
      <c r="F206" s="130">
        <f>C206*E206</f>
        <v>57293.7</v>
      </c>
      <c r="H206" s="136"/>
      <c r="I206" s="136"/>
      <c r="O206" s="141"/>
      <c r="Q206" s="5">
        <v>30</v>
      </c>
      <c r="R206" s="13"/>
      <c r="S206" s="13"/>
      <c r="T206" s="13">
        <v>30</v>
      </c>
      <c r="U206" s="13"/>
      <c r="V206" s="5">
        <f t="shared" ref="V206" si="22">R206+S206+T206+U206</f>
        <v>30</v>
      </c>
    </row>
    <row r="207" spans="1:22" x14ac:dyDescent="0.2">
      <c r="J207" s="20"/>
      <c r="K207" s="20"/>
      <c r="L207" s="20">
        <v>30</v>
      </c>
      <c r="M207" s="20"/>
      <c r="N207" s="244">
        <f t="shared" ref="N207" si="23">J207+K207+L207+M207</f>
        <v>30</v>
      </c>
    </row>
    <row r="208" spans="1:22" ht="36" x14ac:dyDescent="0.2">
      <c r="A208" s="13">
        <v>18</v>
      </c>
      <c r="B208" s="129" t="s">
        <v>78</v>
      </c>
      <c r="C208" s="5">
        <v>0</v>
      </c>
      <c r="D208" s="5" t="s">
        <v>79</v>
      </c>
      <c r="E208" s="106">
        <v>5007</v>
      </c>
      <c r="F208" s="130">
        <f>C208*E208</f>
        <v>0</v>
      </c>
      <c r="H208" s="136"/>
      <c r="I208" s="136"/>
      <c r="O208" s="141"/>
      <c r="Q208" s="5">
        <v>0</v>
      </c>
      <c r="R208" s="13"/>
      <c r="S208" s="13"/>
      <c r="T208" s="13">
        <v>0</v>
      </c>
      <c r="U208" s="13"/>
      <c r="V208" s="5">
        <f t="shared" ref="V208" si="24">R208+S208+T208+U208</f>
        <v>0</v>
      </c>
    </row>
  </sheetData>
  <mergeCells count="9">
    <mergeCell ref="A182:XFD182"/>
    <mergeCell ref="B176:C176"/>
    <mergeCell ref="A1:G1"/>
    <mergeCell ref="A2:G2"/>
    <mergeCell ref="A3:A4"/>
    <mergeCell ref="B3:B4"/>
    <mergeCell ref="D3:D4"/>
    <mergeCell ref="E3:E4"/>
    <mergeCell ref="F3:F4"/>
  </mergeCells>
  <printOptions gridLines="1"/>
  <pageMargins left="0.7" right="0.7" top="0.75" bottom="0.75" header="0.3" footer="0.3"/>
  <pageSetup paperSize="9" scale="95" orientation="portrait" r:id="rId1"/>
  <headerFooter>
    <oddFooter>&amp;Z&amp;F&amp;RPage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IG193"/>
  <sheetViews>
    <sheetView view="pageBreakPreview" topLeftCell="A157" zoomScaleSheetLayoutView="100" workbookViewId="0">
      <selection activeCell="F15" sqref="F15"/>
    </sheetView>
  </sheetViews>
  <sheetFormatPr defaultRowHeight="12" x14ac:dyDescent="0.2"/>
  <cols>
    <col min="1" max="1" width="5.28515625" style="23" customWidth="1"/>
    <col min="2" max="2" width="38.7109375" style="29" customWidth="1"/>
    <col min="3" max="3" width="9.140625" style="23"/>
    <col min="4" max="4" width="6.140625" style="20" customWidth="1"/>
    <col min="5" max="5" width="9.140625" style="23" customWidth="1"/>
    <col min="6" max="6" width="10" style="23" customWidth="1"/>
    <col min="7" max="7" width="12.140625" style="23" customWidth="1"/>
    <col min="8" max="8" width="17.7109375" style="41" customWidth="1"/>
    <col min="9" max="9" width="9.140625" style="41"/>
    <col min="10" max="11" width="6.140625" style="23" customWidth="1"/>
    <col min="12" max="12" width="5.5703125" style="23" bestFit="1" customWidth="1"/>
    <col min="13" max="13" width="6.140625" style="23" customWidth="1"/>
    <col min="14" max="14" width="8.42578125" style="23" customWidth="1"/>
    <col min="15" max="16" width="9.140625" style="41"/>
    <col min="17" max="17" width="9.140625" style="23"/>
    <col min="18" max="19" width="6.140625" style="23" customWidth="1"/>
    <col min="20" max="20" width="5.5703125" style="23" bestFit="1" customWidth="1"/>
    <col min="21" max="21" width="6.140625" style="23" customWidth="1"/>
    <col min="22" max="22" width="9.140625" style="23"/>
    <col min="23" max="16384" width="9.140625" style="41"/>
  </cols>
  <sheetData>
    <row r="1" spans="1:22" s="286" customFormat="1" ht="12" customHeight="1" x14ac:dyDescent="0.2">
      <c r="A1" s="441" t="s">
        <v>155</v>
      </c>
      <c r="B1" s="441"/>
      <c r="C1" s="441"/>
      <c r="D1" s="441"/>
      <c r="E1" s="441"/>
      <c r="F1" s="441"/>
      <c r="G1" s="441"/>
      <c r="J1" s="38"/>
      <c r="K1" s="287"/>
      <c r="N1" s="20"/>
      <c r="Q1" s="20"/>
      <c r="V1" s="20"/>
    </row>
    <row r="2" spans="1:22" s="38" customFormat="1" ht="88.5" customHeight="1" x14ac:dyDescent="0.25">
      <c r="A2" s="442" t="s">
        <v>367</v>
      </c>
      <c r="B2" s="442"/>
      <c r="C2" s="442"/>
      <c r="D2" s="442"/>
      <c r="E2" s="442"/>
      <c r="F2" s="442"/>
      <c r="G2" s="442"/>
      <c r="K2" s="288"/>
      <c r="N2" s="20"/>
      <c r="Q2" s="20"/>
      <c r="V2" s="20"/>
    </row>
    <row r="3" spans="1:22" s="289" customFormat="1" x14ac:dyDescent="0.25">
      <c r="A3" s="442" t="s">
        <v>19</v>
      </c>
      <c r="B3" s="442" t="s">
        <v>20</v>
      </c>
      <c r="C3" s="315"/>
      <c r="D3" s="443" t="s">
        <v>0</v>
      </c>
      <c r="E3" s="443" t="s">
        <v>22</v>
      </c>
      <c r="F3" s="443" t="s">
        <v>23</v>
      </c>
      <c r="G3" s="315"/>
      <c r="J3" s="20"/>
      <c r="K3" s="20"/>
      <c r="L3" s="20"/>
      <c r="M3" s="20"/>
      <c r="N3" s="20"/>
      <c r="Q3" s="20"/>
      <c r="R3" s="20"/>
      <c r="S3" s="20"/>
      <c r="T3" s="20"/>
      <c r="U3" s="20"/>
      <c r="V3" s="20"/>
    </row>
    <row r="4" spans="1:22" s="289" customFormat="1" ht="24" x14ac:dyDescent="0.25">
      <c r="A4" s="442"/>
      <c r="B4" s="442"/>
      <c r="C4" s="315" t="s">
        <v>239</v>
      </c>
      <c r="D4" s="443"/>
      <c r="E4" s="443"/>
      <c r="F4" s="443"/>
      <c r="G4" s="315" t="s">
        <v>378</v>
      </c>
      <c r="J4" s="20" t="s">
        <v>237</v>
      </c>
      <c r="K4" s="20" t="s">
        <v>238</v>
      </c>
      <c r="L4" s="20" t="s">
        <v>157</v>
      </c>
      <c r="M4" s="20" t="s">
        <v>158</v>
      </c>
      <c r="N4" s="20" t="s">
        <v>239</v>
      </c>
      <c r="Q4" s="20" t="s">
        <v>239</v>
      </c>
      <c r="R4" s="20" t="s">
        <v>237</v>
      </c>
      <c r="S4" s="20" t="s">
        <v>238</v>
      </c>
      <c r="T4" s="20" t="s">
        <v>157</v>
      </c>
      <c r="U4" s="20" t="s">
        <v>158</v>
      </c>
      <c r="V4" s="20" t="s">
        <v>239</v>
      </c>
    </row>
    <row r="5" spans="1:22" s="62" customFormat="1" x14ac:dyDescent="0.25">
      <c r="A5" s="316" t="s">
        <v>240</v>
      </c>
      <c r="B5" s="317" t="s">
        <v>244</v>
      </c>
      <c r="C5" s="316"/>
      <c r="D5" s="316"/>
      <c r="E5" s="316"/>
      <c r="F5" s="316"/>
      <c r="G5" s="316"/>
      <c r="J5" s="46"/>
      <c r="K5" s="46"/>
      <c r="L5" s="46"/>
      <c r="M5" s="46"/>
      <c r="N5" s="31"/>
      <c r="Q5" s="46"/>
      <c r="R5" s="46"/>
      <c r="S5" s="46"/>
      <c r="T5" s="46"/>
      <c r="U5" s="46"/>
      <c r="V5" s="46"/>
    </row>
    <row r="6" spans="1:22" ht="60" x14ac:dyDescent="0.2">
      <c r="A6" s="318">
        <v>1</v>
      </c>
      <c r="B6" s="319" t="s">
        <v>245</v>
      </c>
      <c r="C6" s="318">
        <v>60</v>
      </c>
      <c r="D6" s="320" t="s">
        <v>246</v>
      </c>
      <c r="E6" s="320">
        <v>2085.21</v>
      </c>
      <c r="F6" s="320">
        <f>C6*E6</f>
        <v>125112.6</v>
      </c>
      <c r="G6" s="315"/>
      <c r="H6" s="25"/>
      <c r="I6" s="25"/>
      <c r="J6" s="20">
        <v>30</v>
      </c>
      <c r="K6" s="20">
        <v>0</v>
      </c>
      <c r="L6" s="20">
        <v>30</v>
      </c>
      <c r="M6" s="20"/>
      <c r="N6" s="32">
        <f>J6+K6+L6+M6</f>
        <v>60</v>
      </c>
      <c r="O6" s="25"/>
      <c r="Q6" s="23">
        <v>60</v>
      </c>
      <c r="R6" s="20">
        <v>30</v>
      </c>
      <c r="S6" s="20">
        <v>0</v>
      </c>
      <c r="T6" s="20">
        <v>30</v>
      </c>
      <c r="U6" s="20"/>
      <c r="V6" s="23">
        <f>R6+S6+T6+U6</f>
        <v>60</v>
      </c>
    </row>
    <row r="7" spans="1:22" ht="36" x14ac:dyDescent="0.2">
      <c r="A7" s="318">
        <v>2</v>
      </c>
      <c r="B7" s="319" t="s">
        <v>247</v>
      </c>
      <c r="C7" s="318">
        <v>132</v>
      </c>
      <c r="D7" s="320" t="s">
        <v>248</v>
      </c>
      <c r="E7" s="320">
        <v>460</v>
      </c>
      <c r="F7" s="320">
        <f>C7*E7</f>
        <v>60720</v>
      </c>
      <c r="G7" s="315"/>
      <c r="H7" s="25"/>
      <c r="I7" s="25"/>
      <c r="J7" s="20">
        <v>66</v>
      </c>
      <c r="K7" s="20">
        <v>0</v>
      </c>
      <c r="L7" s="20">
        <v>66</v>
      </c>
      <c r="M7" s="20"/>
      <c r="N7" s="32">
        <f>J7+K7+L7+M7</f>
        <v>132</v>
      </c>
      <c r="O7" s="290">
        <f>F7-N7</f>
        <v>60588</v>
      </c>
      <c r="Q7" s="23">
        <v>132</v>
      </c>
      <c r="R7" s="20">
        <v>66</v>
      </c>
      <c r="S7" s="20">
        <v>0</v>
      </c>
      <c r="T7" s="20">
        <v>66</v>
      </c>
      <c r="U7" s="20"/>
      <c r="V7" s="23">
        <f>R7+S7+T7+U7</f>
        <v>132</v>
      </c>
    </row>
    <row r="8" spans="1:22" s="293" customFormat="1" x14ac:dyDescent="0.2">
      <c r="A8" s="316"/>
      <c r="B8" s="321" t="s">
        <v>368</v>
      </c>
      <c r="C8" s="316"/>
      <c r="D8" s="322"/>
      <c r="E8" s="316"/>
      <c r="F8" s="322">
        <f>SUM(F6:F7)</f>
        <v>185832.6</v>
      </c>
      <c r="G8" s="316"/>
      <c r="H8" s="291"/>
      <c r="I8" s="291"/>
      <c r="J8" s="292"/>
      <c r="K8" s="292"/>
      <c r="L8" s="292"/>
      <c r="M8" s="292"/>
      <c r="N8" s="31"/>
      <c r="O8" s="286"/>
      <c r="Q8" s="46"/>
      <c r="R8" s="292"/>
      <c r="S8" s="292"/>
      <c r="T8" s="292"/>
      <c r="U8" s="292"/>
      <c r="V8" s="46"/>
    </row>
    <row r="9" spans="1:22" s="286" customFormat="1" x14ac:dyDescent="0.2">
      <c r="A9" s="315"/>
      <c r="B9" s="323"/>
      <c r="C9" s="315"/>
      <c r="D9" s="323"/>
      <c r="E9" s="323"/>
      <c r="F9" s="323"/>
      <c r="G9" s="315"/>
      <c r="J9" s="38"/>
      <c r="N9" s="20"/>
      <c r="O9" s="290"/>
      <c r="Q9" s="20"/>
      <c r="V9" s="20"/>
    </row>
    <row r="10" spans="1:22" s="290" customFormat="1" x14ac:dyDescent="0.25">
      <c r="A10" s="316" t="s">
        <v>241</v>
      </c>
      <c r="B10" s="317" t="s">
        <v>389</v>
      </c>
      <c r="C10" s="316"/>
      <c r="D10" s="316"/>
      <c r="E10" s="316"/>
      <c r="F10" s="316"/>
      <c r="G10" s="324"/>
      <c r="H10" s="294"/>
      <c r="I10" s="294"/>
      <c r="J10" s="46"/>
      <c r="K10" s="46"/>
      <c r="L10" s="46"/>
      <c r="M10" s="46"/>
      <c r="N10" s="31"/>
      <c r="O10" s="289"/>
      <c r="Q10" s="46"/>
      <c r="R10" s="46"/>
      <c r="S10" s="46"/>
      <c r="T10" s="46"/>
      <c r="U10" s="46"/>
      <c r="V10" s="46"/>
    </row>
    <row r="11" spans="1:22" s="289" customFormat="1" ht="36" x14ac:dyDescent="0.25">
      <c r="A11" s="318">
        <v>1</v>
      </c>
      <c r="B11" s="325" t="s">
        <v>253</v>
      </c>
      <c r="C11" s="315">
        <v>1</v>
      </c>
      <c r="D11" s="326" t="s">
        <v>5</v>
      </c>
      <c r="E11" s="315">
        <v>104800</v>
      </c>
      <c r="F11" s="320">
        <f t="shared" ref="F11:F62" si="0">C11*E11</f>
        <v>104800</v>
      </c>
      <c r="G11" s="315" t="s">
        <v>379</v>
      </c>
      <c r="H11" s="25"/>
      <c r="I11" s="25"/>
      <c r="J11" s="20">
        <v>1</v>
      </c>
      <c r="K11" s="20">
        <v>0</v>
      </c>
      <c r="L11" s="20"/>
      <c r="M11" s="20"/>
      <c r="N11" s="32">
        <f t="shared" ref="N11:N62" si="1">J11+K11+L11+M11</f>
        <v>1</v>
      </c>
      <c r="O11" s="29"/>
      <c r="Q11" s="20">
        <v>1</v>
      </c>
      <c r="R11" s="20">
        <v>1</v>
      </c>
      <c r="S11" s="20">
        <v>0</v>
      </c>
      <c r="T11" s="20"/>
      <c r="U11" s="20"/>
      <c r="V11" s="20">
        <f t="shared" ref="V11:V62" si="2">R11+S11+T11+U11</f>
        <v>1</v>
      </c>
    </row>
    <row r="12" spans="1:22" s="29" customFormat="1" ht="48" x14ac:dyDescent="0.25">
      <c r="A12" s="318">
        <f>A11+1</f>
        <v>2</v>
      </c>
      <c r="B12" s="325" t="s">
        <v>254</v>
      </c>
      <c r="C12" s="318">
        <v>2</v>
      </c>
      <c r="D12" s="326" t="s">
        <v>5</v>
      </c>
      <c r="E12" s="327">
        <v>125440</v>
      </c>
      <c r="F12" s="320">
        <f t="shared" si="0"/>
        <v>250880</v>
      </c>
      <c r="G12" s="315" t="s">
        <v>379</v>
      </c>
      <c r="H12" s="25"/>
      <c r="I12" s="25"/>
      <c r="J12" s="20">
        <v>2</v>
      </c>
      <c r="K12" s="20">
        <v>0</v>
      </c>
      <c r="L12" s="20"/>
      <c r="M12" s="20"/>
      <c r="N12" s="32">
        <f t="shared" si="1"/>
        <v>2</v>
      </c>
      <c r="Q12" s="23">
        <v>2</v>
      </c>
      <c r="R12" s="20">
        <v>2</v>
      </c>
      <c r="S12" s="20">
        <v>0</v>
      </c>
      <c r="T12" s="20"/>
      <c r="U12" s="20"/>
      <c r="V12" s="23">
        <f t="shared" si="2"/>
        <v>2</v>
      </c>
    </row>
    <row r="13" spans="1:22" s="29" customFormat="1" ht="72" x14ac:dyDescent="0.25">
      <c r="A13" s="318">
        <f t="shared" ref="A13:A65" si="3">A12+1</f>
        <v>3</v>
      </c>
      <c r="B13" s="325" t="s">
        <v>255</v>
      </c>
      <c r="C13" s="318">
        <v>6</v>
      </c>
      <c r="D13" s="326" t="s">
        <v>5</v>
      </c>
      <c r="E13" s="328">
        <v>87840</v>
      </c>
      <c r="F13" s="320">
        <f t="shared" si="0"/>
        <v>527040</v>
      </c>
      <c r="G13" s="315" t="s">
        <v>379</v>
      </c>
      <c r="H13" s="25"/>
      <c r="I13" s="25"/>
      <c r="J13" s="20">
        <v>2</v>
      </c>
      <c r="K13" s="20">
        <v>4</v>
      </c>
      <c r="L13" s="20"/>
      <c r="M13" s="20"/>
      <c r="N13" s="32">
        <f t="shared" si="1"/>
        <v>6</v>
      </c>
      <c r="Q13" s="23">
        <v>6</v>
      </c>
      <c r="R13" s="20">
        <v>2</v>
      </c>
      <c r="S13" s="20">
        <v>4</v>
      </c>
      <c r="T13" s="20"/>
      <c r="U13" s="20"/>
      <c r="V13" s="23">
        <f t="shared" si="2"/>
        <v>6</v>
      </c>
    </row>
    <row r="14" spans="1:22" s="29" customFormat="1" ht="24" x14ac:dyDescent="0.25">
      <c r="A14" s="318">
        <f t="shared" si="3"/>
        <v>4</v>
      </c>
      <c r="B14" s="325" t="s">
        <v>256</v>
      </c>
      <c r="C14" s="318">
        <v>1</v>
      </c>
      <c r="D14" s="326" t="s">
        <v>5</v>
      </c>
      <c r="E14" s="328">
        <v>11431.84</v>
      </c>
      <c r="F14" s="320">
        <f t="shared" si="0"/>
        <v>11431.84</v>
      </c>
      <c r="G14" s="315" t="s">
        <v>379</v>
      </c>
      <c r="H14" s="25"/>
      <c r="I14" s="25"/>
      <c r="J14" s="20">
        <v>1</v>
      </c>
      <c r="K14" s="20">
        <v>0</v>
      </c>
      <c r="L14" s="20"/>
      <c r="M14" s="20"/>
      <c r="N14" s="32">
        <f t="shared" si="1"/>
        <v>1</v>
      </c>
      <c r="Q14" s="23">
        <v>1</v>
      </c>
      <c r="R14" s="20">
        <v>1</v>
      </c>
      <c r="S14" s="20">
        <v>0</v>
      </c>
      <c r="T14" s="20"/>
      <c r="U14" s="20"/>
      <c r="V14" s="23">
        <f t="shared" si="2"/>
        <v>1</v>
      </c>
    </row>
    <row r="15" spans="1:22" s="29" customFormat="1" ht="36" x14ac:dyDescent="0.25">
      <c r="A15" s="318">
        <f t="shared" si="3"/>
        <v>5</v>
      </c>
      <c r="B15" s="319" t="s">
        <v>412</v>
      </c>
      <c r="C15" s="318">
        <v>13</v>
      </c>
      <c r="D15" s="318" t="s">
        <v>5</v>
      </c>
      <c r="E15" s="328">
        <v>32611.66</v>
      </c>
      <c r="F15" s="320">
        <f t="shared" si="0"/>
        <v>423951.58</v>
      </c>
      <c r="G15" s="315" t="s">
        <v>379</v>
      </c>
      <c r="H15" s="25"/>
      <c r="I15" s="25"/>
      <c r="J15" s="20">
        <v>13</v>
      </c>
      <c r="K15" s="20">
        <v>0</v>
      </c>
      <c r="L15" s="20"/>
      <c r="M15" s="20"/>
      <c r="N15" s="32">
        <f t="shared" si="1"/>
        <v>13</v>
      </c>
      <c r="Q15" s="23">
        <v>13</v>
      </c>
      <c r="R15" s="20">
        <v>13</v>
      </c>
      <c r="S15" s="20">
        <v>0</v>
      </c>
      <c r="T15" s="20"/>
      <c r="U15" s="20"/>
      <c r="V15" s="23">
        <f t="shared" si="2"/>
        <v>13</v>
      </c>
    </row>
    <row r="16" spans="1:22" s="29" customFormat="1" x14ac:dyDescent="0.25">
      <c r="A16" s="318">
        <f t="shared" si="3"/>
        <v>6</v>
      </c>
      <c r="B16" s="319" t="s">
        <v>258</v>
      </c>
      <c r="C16" s="318">
        <v>13</v>
      </c>
      <c r="D16" s="318" t="s">
        <v>5</v>
      </c>
      <c r="E16" s="328">
        <v>1180</v>
      </c>
      <c r="F16" s="320">
        <f t="shared" si="0"/>
        <v>15340</v>
      </c>
      <c r="G16" s="315" t="s">
        <v>379</v>
      </c>
      <c r="H16" s="25"/>
      <c r="I16" s="25"/>
      <c r="J16" s="20">
        <v>13</v>
      </c>
      <c r="K16" s="20">
        <v>0</v>
      </c>
      <c r="L16" s="20"/>
      <c r="M16" s="20"/>
      <c r="N16" s="32">
        <f t="shared" si="1"/>
        <v>13</v>
      </c>
      <c r="Q16" s="23">
        <v>13</v>
      </c>
      <c r="R16" s="20">
        <v>13</v>
      </c>
      <c r="S16" s="20">
        <v>0</v>
      </c>
      <c r="T16" s="20"/>
      <c r="U16" s="20"/>
      <c r="V16" s="23">
        <f t="shared" si="2"/>
        <v>13</v>
      </c>
    </row>
    <row r="17" spans="1:22" s="29" customFormat="1" ht="48" x14ac:dyDescent="0.25">
      <c r="A17" s="318">
        <f t="shared" si="3"/>
        <v>7</v>
      </c>
      <c r="B17" s="319" t="s">
        <v>259</v>
      </c>
      <c r="C17" s="318">
        <v>3</v>
      </c>
      <c r="D17" s="318" t="s">
        <v>5</v>
      </c>
      <c r="E17" s="328">
        <v>47251.92</v>
      </c>
      <c r="F17" s="320">
        <f t="shared" si="0"/>
        <v>141755.76</v>
      </c>
      <c r="G17" s="315" t="s">
        <v>379</v>
      </c>
      <c r="H17" s="25"/>
      <c r="I17" s="25"/>
      <c r="J17" s="20">
        <v>2</v>
      </c>
      <c r="K17" s="20">
        <v>1</v>
      </c>
      <c r="L17" s="20"/>
      <c r="M17" s="20"/>
      <c r="N17" s="32">
        <f t="shared" si="1"/>
        <v>3</v>
      </c>
      <c r="Q17" s="23">
        <v>3</v>
      </c>
      <c r="R17" s="20">
        <v>2</v>
      </c>
      <c r="S17" s="20">
        <v>1</v>
      </c>
      <c r="T17" s="20"/>
      <c r="U17" s="20"/>
      <c r="V17" s="23">
        <f t="shared" si="2"/>
        <v>3</v>
      </c>
    </row>
    <row r="18" spans="1:22" s="29" customFormat="1" ht="48" x14ac:dyDescent="0.25">
      <c r="A18" s="318">
        <f t="shared" si="3"/>
        <v>8</v>
      </c>
      <c r="B18" s="319" t="s">
        <v>260</v>
      </c>
      <c r="C18" s="318">
        <v>1</v>
      </c>
      <c r="D18" s="318" t="s">
        <v>5</v>
      </c>
      <c r="E18" s="328">
        <v>54077.04</v>
      </c>
      <c r="F18" s="320">
        <f t="shared" si="0"/>
        <v>54077.04</v>
      </c>
      <c r="G18" s="315" t="s">
        <v>379</v>
      </c>
      <c r="H18" s="25"/>
      <c r="I18" s="25"/>
      <c r="J18" s="20">
        <v>1</v>
      </c>
      <c r="K18" s="20">
        <v>0</v>
      </c>
      <c r="L18" s="20"/>
      <c r="M18" s="20"/>
      <c r="N18" s="32">
        <f t="shared" si="1"/>
        <v>1</v>
      </c>
      <c r="O18" s="295"/>
      <c r="Q18" s="23">
        <v>1</v>
      </c>
      <c r="R18" s="20">
        <v>1</v>
      </c>
      <c r="S18" s="20">
        <v>0</v>
      </c>
      <c r="T18" s="20"/>
      <c r="U18" s="20"/>
      <c r="V18" s="23">
        <f t="shared" si="2"/>
        <v>1</v>
      </c>
    </row>
    <row r="19" spans="1:22" s="295" customFormat="1" ht="60" x14ac:dyDescent="0.25">
      <c r="A19" s="318">
        <f t="shared" si="3"/>
        <v>9</v>
      </c>
      <c r="B19" s="319" t="s">
        <v>261</v>
      </c>
      <c r="C19" s="315">
        <v>1</v>
      </c>
      <c r="D19" s="315" t="s">
        <v>5</v>
      </c>
      <c r="E19" s="326">
        <v>224937.5</v>
      </c>
      <c r="F19" s="320">
        <f t="shared" si="0"/>
        <v>224937.5</v>
      </c>
      <c r="G19" s="315" t="s">
        <v>379</v>
      </c>
      <c r="H19" s="25"/>
      <c r="I19" s="25"/>
      <c r="J19" s="20">
        <v>1</v>
      </c>
      <c r="K19" s="20">
        <v>0</v>
      </c>
      <c r="L19" s="20"/>
      <c r="M19" s="20"/>
      <c r="N19" s="32">
        <f t="shared" si="1"/>
        <v>1</v>
      </c>
      <c r="O19" s="29"/>
      <c r="Q19" s="20">
        <v>1</v>
      </c>
      <c r="R19" s="20">
        <v>1</v>
      </c>
      <c r="S19" s="20">
        <v>0</v>
      </c>
      <c r="T19" s="20"/>
      <c r="U19" s="20"/>
      <c r="V19" s="20">
        <f t="shared" si="2"/>
        <v>1</v>
      </c>
    </row>
    <row r="20" spans="1:22" s="29" customFormat="1" ht="48" x14ac:dyDescent="0.25">
      <c r="A20" s="318">
        <f t="shared" si="3"/>
        <v>10</v>
      </c>
      <c r="B20" s="319" t="s">
        <v>262</v>
      </c>
      <c r="C20" s="318">
        <v>14</v>
      </c>
      <c r="D20" s="315" t="s">
        <v>5</v>
      </c>
      <c r="E20" s="326">
        <v>46093.75</v>
      </c>
      <c r="F20" s="320">
        <f t="shared" si="0"/>
        <v>645312.5</v>
      </c>
      <c r="G20" s="315" t="s">
        <v>379</v>
      </c>
      <c r="H20" s="25"/>
      <c r="I20" s="25"/>
      <c r="J20" s="20">
        <v>14</v>
      </c>
      <c r="K20" s="20">
        <v>0</v>
      </c>
      <c r="L20" s="20"/>
      <c r="M20" s="20"/>
      <c r="N20" s="32">
        <f t="shared" si="1"/>
        <v>14</v>
      </c>
      <c r="Q20" s="23">
        <v>14</v>
      </c>
      <c r="R20" s="20">
        <v>14</v>
      </c>
      <c r="S20" s="20">
        <v>0</v>
      </c>
      <c r="T20" s="20"/>
      <c r="U20" s="20"/>
      <c r="V20" s="23">
        <f t="shared" si="2"/>
        <v>14</v>
      </c>
    </row>
    <row r="21" spans="1:22" s="29" customFormat="1" ht="48" x14ac:dyDescent="0.25">
      <c r="A21" s="318">
        <f t="shared" si="3"/>
        <v>11</v>
      </c>
      <c r="B21" s="319" t="s">
        <v>263</v>
      </c>
      <c r="C21" s="318">
        <v>1</v>
      </c>
      <c r="D21" s="315" t="s">
        <v>5</v>
      </c>
      <c r="E21" s="326">
        <v>46093.16</v>
      </c>
      <c r="F21" s="320">
        <f t="shared" si="0"/>
        <v>46093.16</v>
      </c>
      <c r="G21" s="315" t="s">
        <v>379</v>
      </c>
      <c r="H21" s="25"/>
      <c r="I21" s="25"/>
      <c r="J21" s="20">
        <v>1</v>
      </c>
      <c r="K21" s="20">
        <v>0</v>
      </c>
      <c r="L21" s="20"/>
      <c r="M21" s="20"/>
      <c r="N21" s="32">
        <f t="shared" si="1"/>
        <v>1</v>
      </c>
      <c r="O21" s="295"/>
      <c r="Q21" s="23">
        <v>1</v>
      </c>
      <c r="R21" s="20">
        <v>1</v>
      </c>
      <c r="S21" s="20">
        <v>0</v>
      </c>
      <c r="T21" s="20"/>
      <c r="U21" s="20"/>
      <c r="V21" s="23">
        <f t="shared" si="2"/>
        <v>1</v>
      </c>
    </row>
    <row r="22" spans="1:22" s="295" customFormat="1" x14ac:dyDescent="0.25">
      <c r="A22" s="318">
        <f t="shared" si="3"/>
        <v>12</v>
      </c>
      <c r="B22" s="319" t="s">
        <v>264</v>
      </c>
      <c r="C22" s="315">
        <v>2</v>
      </c>
      <c r="D22" s="315" t="s">
        <v>5</v>
      </c>
      <c r="E22" s="326">
        <v>8260</v>
      </c>
      <c r="F22" s="320">
        <f t="shared" si="0"/>
        <v>16520</v>
      </c>
      <c r="G22" s="315" t="s">
        <v>379</v>
      </c>
      <c r="H22" s="25"/>
      <c r="I22" s="25"/>
      <c r="J22" s="20">
        <v>2</v>
      </c>
      <c r="K22" s="20">
        <v>0</v>
      </c>
      <c r="L22" s="20"/>
      <c r="M22" s="20"/>
      <c r="N22" s="32">
        <f t="shared" si="1"/>
        <v>2</v>
      </c>
      <c r="Q22" s="20">
        <v>2</v>
      </c>
      <c r="R22" s="20">
        <v>2</v>
      </c>
      <c r="S22" s="20">
        <v>0</v>
      </c>
      <c r="T22" s="20"/>
      <c r="U22" s="20"/>
      <c r="V22" s="20">
        <f t="shared" si="2"/>
        <v>2</v>
      </c>
    </row>
    <row r="23" spans="1:22" s="295" customFormat="1" x14ac:dyDescent="0.25">
      <c r="A23" s="318">
        <f t="shared" si="3"/>
        <v>13</v>
      </c>
      <c r="B23" s="329" t="s">
        <v>265</v>
      </c>
      <c r="C23" s="315">
        <v>2</v>
      </c>
      <c r="D23" s="315" t="s">
        <v>5</v>
      </c>
      <c r="E23" s="326">
        <v>16520</v>
      </c>
      <c r="F23" s="320">
        <f t="shared" si="0"/>
        <v>33040</v>
      </c>
      <c r="G23" s="315" t="s">
        <v>379</v>
      </c>
      <c r="H23" s="25"/>
      <c r="I23" s="25"/>
      <c r="J23" s="20">
        <v>2</v>
      </c>
      <c r="K23" s="20">
        <v>0</v>
      </c>
      <c r="L23" s="20"/>
      <c r="M23" s="20"/>
      <c r="N23" s="32">
        <f t="shared" si="1"/>
        <v>2</v>
      </c>
      <c r="O23" s="29"/>
      <c r="Q23" s="20">
        <v>2</v>
      </c>
      <c r="R23" s="20">
        <v>2</v>
      </c>
      <c r="S23" s="20">
        <v>0</v>
      </c>
      <c r="T23" s="20"/>
      <c r="U23" s="20"/>
      <c r="V23" s="20">
        <f t="shared" si="2"/>
        <v>2</v>
      </c>
    </row>
    <row r="24" spans="1:22" s="29" customFormat="1" ht="84" x14ac:dyDescent="0.25">
      <c r="A24" s="318">
        <f t="shared" si="3"/>
        <v>14</v>
      </c>
      <c r="B24" s="319" t="s">
        <v>266</v>
      </c>
      <c r="C24" s="318">
        <v>1</v>
      </c>
      <c r="D24" s="315" t="s">
        <v>5</v>
      </c>
      <c r="E24" s="326">
        <v>88500</v>
      </c>
      <c r="F24" s="320">
        <f t="shared" si="0"/>
        <v>88500</v>
      </c>
      <c r="G24" s="315" t="s">
        <v>379</v>
      </c>
      <c r="H24" s="25"/>
      <c r="I24" s="25"/>
      <c r="J24" s="20">
        <v>1</v>
      </c>
      <c r="K24" s="20">
        <v>0</v>
      </c>
      <c r="L24" s="20"/>
      <c r="M24" s="20"/>
      <c r="N24" s="32">
        <f t="shared" si="1"/>
        <v>1</v>
      </c>
      <c r="Q24" s="23">
        <v>1</v>
      </c>
      <c r="R24" s="20">
        <v>1</v>
      </c>
      <c r="S24" s="20">
        <v>0</v>
      </c>
      <c r="T24" s="20"/>
      <c r="U24" s="20"/>
      <c r="V24" s="23">
        <f t="shared" si="2"/>
        <v>1</v>
      </c>
    </row>
    <row r="25" spans="1:22" s="29" customFormat="1" ht="48" x14ac:dyDescent="0.25">
      <c r="A25" s="318">
        <f t="shared" si="3"/>
        <v>15</v>
      </c>
      <c r="B25" s="329" t="s">
        <v>267</v>
      </c>
      <c r="C25" s="318">
        <v>3</v>
      </c>
      <c r="D25" s="318" t="s">
        <v>268</v>
      </c>
      <c r="E25" s="328">
        <v>24827.200000000001</v>
      </c>
      <c r="F25" s="320">
        <f t="shared" si="0"/>
        <v>74481.600000000006</v>
      </c>
      <c r="G25" s="315" t="s">
        <v>379</v>
      </c>
      <c r="H25" s="25"/>
      <c r="I25" s="25"/>
      <c r="J25" s="20">
        <v>3</v>
      </c>
      <c r="K25" s="20">
        <v>0</v>
      </c>
      <c r="L25" s="20"/>
      <c r="M25" s="20"/>
      <c r="N25" s="32">
        <f t="shared" si="1"/>
        <v>3</v>
      </c>
      <c r="Q25" s="23">
        <v>3</v>
      </c>
      <c r="R25" s="20">
        <v>3</v>
      </c>
      <c r="S25" s="20">
        <v>0</v>
      </c>
      <c r="T25" s="20"/>
      <c r="U25" s="20"/>
      <c r="V25" s="23">
        <f t="shared" si="2"/>
        <v>3</v>
      </c>
    </row>
    <row r="26" spans="1:22" s="29" customFormat="1" ht="36" x14ac:dyDescent="0.25">
      <c r="A26" s="318">
        <f t="shared" si="3"/>
        <v>16</v>
      </c>
      <c r="B26" s="319" t="s">
        <v>269</v>
      </c>
      <c r="C26" s="318">
        <v>2</v>
      </c>
      <c r="D26" s="318" t="s">
        <v>5</v>
      </c>
      <c r="E26" s="328">
        <v>241900</v>
      </c>
      <c r="F26" s="320">
        <f t="shared" si="0"/>
        <v>483800</v>
      </c>
      <c r="G26" s="315" t="s">
        <v>379</v>
      </c>
      <c r="H26" s="25"/>
      <c r="I26" s="25"/>
      <c r="J26" s="20">
        <v>1</v>
      </c>
      <c r="K26" s="20">
        <v>1</v>
      </c>
      <c r="L26" s="20"/>
      <c r="M26" s="20"/>
      <c r="N26" s="32">
        <f t="shared" si="1"/>
        <v>2</v>
      </c>
      <c r="Q26" s="23">
        <v>2</v>
      </c>
      <c r="R26" s="20">
        <v>1</v>
      </c>
      <c r="S26" s="20">
        <v>1</v>
      </c>
      <c r="T26" s="20"/>
      <c r="U26" s="20"/>
      <c r="V26" s="23">
        <f t="shared" si="2"/>
        <v>2</v>
      </c>
    </row>
    <row r="27" spans="1:22" s="29" customFormat="1" ht="24" x14ac:dyDescent="0.25">
      <c r="A27" s="318">
        <f t="shared" si="3"/>
        <v>17</v>
      </c>
      <c r="B27" s="319" t="s">
        <v>270</v>
      </c>
      <c r="C27" s="318">
        <v>24</v>
      </c>
      <c r="D27" s="318" t="s">
        <v>5</v>
      </c>
      <c r="E27" s="328">
        <v>33187</v>
      </c>
      <c r="F27" s="320">
        <f t="shared" si="0"/>
        <v>796488</v>
      </c>
      <c r="G27" s="315" t="s">
        <v>379</v>
      </c>
      <c r="H27" s="25"/>
      <c r="I27" s="25"/>
      <c r="J27" s="20">
        <v>14</v>
      </c>
      <c r="K27" s="20">
        <v>10</v>
      </c>
      <c r="L27" s="20"/>
      <c r="M27" s="20"/>
      <c r="N27" s="32">
        <f t="shared" si="1"/>
        <v>24</v>
      </c>
      <c r="Q27" s="23">
        <v>24</v>
      </c>
      <c r="R27" s="20">
        <v>14</v>
      </c>
      <c r="S27" s="20">
        <v>10</v>
      </c>
      <c r="T27" s="20"/>
      <c r="U27" s="20"/>
      <c r="V27" s="23">
        <f t="shared" si="2"/>
        <v>24</v>
      </c>
    </row>
    <row r="28" spans="1:22" s="29" customFormat="1" ht="24" x14ac:dyDescent="0.25">
      <c r="A28" s="318">
        <f t="shared" si="3"/>
        <v>18</v>
      </c>
      <c r="B28" s="325" t="s">
        <v>271</v>
      </c>
      <c r="C28" s="318">
        <v>2</v>
      </c>
      <c r="D28" s="315" t="s">
        <v>5</v>
      </c>
      <c r="E28" s="326">
        <v>194238.62</v>
      </c>
      <c r="F28" s="320">
        <f t="shared" si="0"/>
        <v>388477.24</v>
      </c>
      <c r="G28" s="315" t="s">
        <v>379</v>
      </c>
      <c r="H28" s="25"/>
      <c r="I28" s="25"/>
      <c r="J28" s="20">
        <v>2</v>
      </c>
      <c r="K28" s="20">
        <v>0</v>
      </c>
      <c r="L28" s="20"/>
      <c r="M28" s="20"/>
      <c r="N28" s="32">
        <f t="shared" si="1"/>
        <v>2</v>
      </c>
      <c r="Q28" s="23">
        <v>2</v>
      </c>
      <c r="R28" s="20">
        <v>2</v>
      </c>
      <c r="S28" s="20">
        <v>0</v>
      </c>
      <c r="T28" s="20"/>
      <c r="U28" s="20"/>
      <c r="V28" s="23">
        <f t="shared" si="2"/>
        <v>2</v>
      </c>
    </row>
    <row r="29" spans="1:22" s="29" customFormat="1" x14ac:dyDescent="0.25">
      <c r="A29" s="318">
        <f t="shared" si="3"/>
        <v>19</v>
      </c>
      <c r="B29" s="325" t="s">
        <v>272</v>
      </c>
      <c r="C29" s="318">
        <v>2</v>
      </c>
      <c r="D29" s="315" t="s">
        <v>5</v>
      </c>
      <c r="E29" s="326">
        <v>5712.4980000000005</v>
      </c>
      <c r="F29" s="320">
        <f t="shared" si="0"/>
        <v>11424.996000000001</v>
      </c>
      <c r="G29" s="315" t="s">
        <v>379</v>
      </c>
      <c r="H29" s="25"/>
      <c r="I29" s="25"/>
      <c r="J29" s="20">
        <v>2</v>
      </c>
      <c r="K29" s="20">
        <v>0</v>
      </c>
      <c r="L29" s="20"/>
      <c r="M29" s="20"/>
      <c r="N29" s="32">
        <f t="shared" si="1"/>
        <v>2</v>
      </c>
      <c r="O29" s="295"/>
      <c r="Q29" s="23">
        <v>2</v>
      </c>
      <c r="R29" s="20">
        <v>2</v>
      </c>
      <c r="S29" s="20">
        <v>0</v>
      </c>
      <c r="T29" s="20"/>
      <c r="U29" s="20"/>
      <c r="V29" s="23">
        <f t="shared" si="2"/>
        <v>2</v>
      </c>
    </row>
    <row r="30" spans="1:22" s="295" customFormat="1" x14ac:dyDescent="0.25">
      <c r="A30" s="318">
        <f t="shared" si="3"/>
        <v>20</v>
      </c>
      <c r="B30" s="330" t="s">
        <v>273</v>
      </c>
      <c r="C30" s="315">
        <v>1</v>
      </c>
      <c r="D30" s="315" t="s">
        <v>5</v>
      </c>
      <c r="E30" s="331">
        <v>3540</v>
      </c>
      <c r="F30" s="320">
        <f t="shared" si="0"/>
        <v>3540</v>
      </c>
      <c r="G30" s="315" t="s">
        <v>379</v>
      </c>
      <c r="H30" s="25"/>
      <c r="I30" s="25"/>
      <c r="J30" s="20">
        <v>1</v>
      </c>
      <c r="K30" s="20">
        <v>0</v>
      </c>
      <c r="L30" s="20"/>
      <c r="M30" s="20"/>
      <c r="N30" s="32">
        <f t="shared" si="1"/>
        <v>1</v>
      </c>
      <c r="Q30" s="20">
        <v>1</v>
      </c>
      <c r="R30" s="20">
        <v>1</v>
      </c>
      <c r="S30" s="20">
        <v>0</v>
      </c>
      <c r="T30" s="20"/>
      <c r="U30" s="20"/>
      <c r="V30" s="20">
        <f t="shared" si="2"/>
        <v>1</v>
      </c>
    </row>
    <row r="31" spans="1:22" s="295" customFormat="1" ht="24" x14ac:dyDescent="0.25">
      <c r="A31" s="318">
        <f t="shared" si="3"/>
        <v>21</v>
      </c>
      <c r="B31" s="332" t="s">
        <v>377</v>
      </c>
      <c r="C31" s="315">
        <v>2</v>
      </c>
      <c r="D31" s="315" t="s">
        <v>5</v>
      </c>
      <c r="E31" s="331">
        <v>68948.58</v>
      </c>
      <c r="F31" s="320">
        <f t="shared" si="0"/>
        <v>137897.16</v>
      </c>
      <c r="G31" s="315" t="s">
        <v>379</v>
      </c>
      <c r="H31" s="25"/>
      <c r="I31" s="25"/>
      <c r="J31" s="20">
        <v>2</v>
      </c>
      <c r="K31" s="20">
        <v>0</v>
      </c>
      <c r="L31" s="20"/>
      <c r="M31" s="20"/>
      <c r="N31" s="32">
        <f t="shared" si="1"/>
        <v>2</v>
      </c>
      <c r="Q31" s="20">
        <v>2</v>
      </c>
      <c r="R31" s="20">
        <v>2</v>
      </c>
      <c r="S31" s="20">
        <v>0</v>
      </c>
      <c r="T31" s="20"/>
      <c r="U31" s="20"/>
      <c r="V31" s="20">
        <f t="shared" si="2"/>
        <v>2</v>
      </c>
    </row>
    <row r="32" spans="1:22" s="295" customFormat="1" ht="24" x14ac:dyDescent="0.25">
      <c r="A32" s="318">
        <f t="shared" si="3"/>
        <v>22</v>
      </c>
      <c r="B32" s="325" t="s">
        <v>274</v>
      </c>
      <c r="C32" s="315">
        <v>300</v>
      </c>
      <c r="D32" s="315" t="s">
        <v>41</v>
      </c>
      <c r="E32" s="326">
        <v>138.65</v>
      </c>
      <c r="F32" s="320">
        <f t="shared" si="0"/>
        <v>41595</v>
      </c>
      <c r="G32" s="315" t="s">
        <v>379</v>
      </c>
      <c r="H32" s="25"/>
      <c r="I32" s="25"/>
      <c r="J32" s="20">
        <v>300</v>
      </c>
      <c r="K32" s="20">
        <v>0</v>
      </c>
      <c r="L32" s="20"/>
      <c r="M32" s="20"/>
      <c r="N32" s="32">
        <f t="shared" si="1"/>
        <v>300</v>
      </c>
      <c r="Q32" s="20">
        <v>300</v>
      </c>
      <c r="R32" s="20">
        <v>300</v>
      </c>
      <c r="S32" s="20">
        <v>0</v>
      </c>
      <c r="T32" s="20"/>
      <c r="U32" s="20"/>
      <c r="V32" s="20">
        <f t="shared" si="2"/>
        <v>300</v>
      </c>
    </row>
    <row r="33" spans="1:22" s="295" customFormat="1" x14ac:dyDescent="0.25">
      <c r="A33" s="318">
        <f t="shared" si="3"/>
        <v>23</v>
      </c>
      <c r="B33" s="333" t="s">
        <v>275</v>
      </c>
      <c r="C33" s="315">
        <v>120</v>
      </c>
      <c r="D33" s="315" t="s">
        <v>41</v>
      </c>
      <c r="E33" s="326">
        <v>172.87</v>
      </c>
      <c r="F33" s="320">
        <f t="shared" si="0"/>
        <v>20744.400000000001</v>
      </c>
      <c r="G33" s="315" t="s">
        <v>379</v>
      </c>
      <c r="H33" s="25"/>
      <c r="I33" s="25"/>
      <c r="J33" s="20">
        <v>120</v>
      </c>
      <c r="K33" s="20">
        <v>0</v>
      </c>
      <c r="L33" s="20"/>
      <c r="M33" s="20"/>
      <c r="N33" s="32">
        <f t="shared" si="1"/>
        <v>120</v>
      </c>
      <c r="Q33" s="20">
        <v>120</v>
      </c>
      <c r="R33" s="20">
        <v>120</v>
      </c>
      <c r="S33" s="20">
        <v>0</v>
      </c>
      <c r="T33" s="20"/>
      <c r="U33" s="20"/>
      <c r="V33" s="20">
        <f t="shared" si="2"/>
        <v>120</v>
      </c>
    </row>
    <row r="34" spans="1:22" s="295" customFormat="1" ht="24" x14ac:dyDescent="0.25">
      <c r="A34" s="318">
        <f t="shared" si="3"/>
        <v>24</v>
      </c>
      <c r="B34" s="333" t="s">
        <v>276</v>
      </c>
      <c r="C34" s="315">
        <v>3</v>
      </c>
      <c r="D34" s="315" t="s">
        <v>5</v>
      </c>
      <c r="E34" s="326">
        <v>7237</v>
      </c>
      <c r="F34" s="320">
        <f t="shared" si="0"/>
        <v>21711</v>
      </c>
      <c r="G34" s="315" t="s">
        <v>379</v>
      </c>
      <c r="H34" s="25"/>
      <c r="I34" s="25"/>
      <c r="J34" s="20">
        <v>3</v>
      </c>
      <c r="K34" s="20">
        <v>0</v>
      </c>
      <c r="L34" s="20"/>
      <c r="M34" s="20"/>
      <c r="N34" s="32">
        <f t="shared" si="1"/>
        <v>3</v>
      </c>
      <c r="Q34" s="20">
        <v>3</v>
      </c>
      <c r="R34" s="20">
        <v>3</v>
      </c>
      <c r="S34" s="20">
        <v>0</v>
      </c>
      <c r="T34" s="20"/>
      <c r="U34" s="20"/>
      <c r="V34" s="20">
        <f t="shared" si="2"/>
        <v>3</v>
      </c>
    </row>
    <row r="35" spans="1:22" s="295" customFormat="1" ht="24" x14ac:dyDescent="0.25">
      <c r="A35" s="318">
        <f t="shared" si="3"/>
        <v>25</v>
      </c>
      <c r="B35" s="333" t="s">
        <v>277</v>
      </c>
      <c r="C35" s="315">
        <v>3</v>
      </c>
      <c r="D35" s="315" t="s">
        <v>5</v>
      </c>
      <c r="E35" s="326">
        <v>9521</v>
      </c>
      <c r="F35" s="320">
        <f t="shared" si="0"/>
        <v>28563</v>
      </c>
      <c r="G35" s="315" t="s">
        <v>379</v>
      </c>
      <c r="H35" s="25"/>
      <c r="I35" s="25"/>
      <c r="J35" s="20">
        <v>3</v>
      </c>
      <c r="K35" s="20">
        <v>0</v>
      </c>
      <c r="L35" s="20"/>
      <c r="M35" s="20"/>
      <c r="N35" s="32">
        <f t="shared" si="1"/>
        <v>3</v>
      </c>
      <c r="Q35" s="20">
        <v>3</v>
      </c>
      <c r="R35" s="20">
        <v>3</v>
      </c>
      <c r="S35" s="20">
        <v>0</v>
      </c>
      <c r="T35" s="20"/>
      <c r="U35" s="20"/>
      <c r="V35" s="20">
        <f t="shared" si="2"/>
        <v>3</v>
      </c>
    </row>
    <row r="36" spans="1:22" s="295" customFormat="1" ht="36" x14ac:dyDescent="0.25">
      <c r="A36" s="318">
        <f t="shared" si="3"/>
        <v>26</v>
      </c>
      <c r="B36" s="319" t="s">
        <v>278</v>
      </c>
      <c r="C36" s="315">
        <v>4</v>
      </c>
      <c r="D36" s="315" t="s">
        <v>5</v>
      </c>
      <c r="E36" s="326">
        <v>1180</v>
      </c>
      <c r="F36" s="320">
        <f t="shared" si="0"/>
        <v>4720</v>
      </c>
      <c r="G36" s="315" t="s">
        <v>379</v>
      </c>
      <c r="H36" s="25"/>
      <c r="I36" s="25"/>
      <c r="J36" s="20">
        <v>4</v>
      </c>
      <c r="K36" s="20">
        <v>0</v>
      </c>
      <c r="L36" s="20"/>
      <c r="M36" s="20"/>
      <c r="N36" s="32">
        <f t="shared" si="1"/>
        <v>4</v>
      </c>
      <c r="O36" s="29"/>
      <c r="Q36" s="20">
        <v>4</v>
      </c>
      <c r="R36" s="20">
        <v>4</v>
      </c>
      <c r="S36" s="20">
        <v>0</v>
      </c>
      <c r="T36" s="20"/>
      <c r="U36" s="20"/>
      <c r="V36" s="20">
        <f t="shared" si="2"/>
        <v>4</v>
      </c>
    </row>
    <row r="37" spans="1:22" s="29" customFormat="1" x14ac:dyDescent="0.25">
      <c r="A37" s="318">
        <f t="shared" si="3"/>
        <v>27</v>
      </c>
      <c r="B37" s="319" t="s">
        <v>279</v>
      </c>
      <c r="C37" s="318">
        <v>1</v>
      </c>
      <c r="D37" s="318" t="s">
        <v>5</v>
      </c>
      <c r="E37" s="328">
        <v>37760</v>
      </c>
      <c r="F37" s="320">
        <f t="shared" si="0"/>
        <v>37760</v>
      </c>
      <c r="G37" s="315" t="s">
        <v>379</v>
      </c>
      <c r="H37" s="25"/>
      <c r="I37" s="25"/>
      <c r="J37" s="20">
        <v>1</v>
      </c>
      <c r="K37" s="20">
        <v>0</v>
      </c>
      <c r="L37" s="20"/>
      <c r="M37" s="20"/>
      <c r="N37" s="32">
        <f t="shared" si="1"/>
        <v>1</v>
      </c>
      <c r="Q37" s="23">
        <v>1</v>
      </c>
      <c r="R37" s="20">
        <v>1</v>
      </c>
      <c r="S37" s="20">
        <v>0</v>
      </c>
      <c r="T37" s="20"/>
      <c r="U37" s="20"/>
      <c r="V37" s="23">
        <f t="shared" si="2"/>
        <v>1</v>
      </c>
    </row>
    <row r="38" spans="1:22" s="29" customFormat="1" ht="24" x14ac:dyDescent="0.25">
      <c r="A38" s="318">
        <f t="shared" si="3"/>
        <v>28</v>
      </c>
      <c r="B38" s="319" t="s">
        <v>280</v>
      </c>
      <c r="C38" s="318">
        <v>1</v>
      </c>
      <c r="D38" s="318" t="s">
        <v>5</v>
      </c>
      <c r="E38" s="334">
        <v>144550</v>
      </c>
      <c r="F38" s="320">
        <f t="shared" si="0"/>
        <v>144550</v>
      </c>
      <c r="G38" s="315" t="s">
        <v>379</v>
      </c>
      <c r="H38" s="25"/>
      <c r="I38" s="25"/>
      <c r="J38" s="20">
        <v>1</v>
      </c>
      <c r="K38" s="20">
        <v>0</v>
      </c>
      <c r="L38" s="20"/>
      <c r="M38" s="20"/>
      <c r="N38" s="32">
        <f t="shared" si="1"/>
        <v>1</v>
      </c>
      <c r="Q38" s="23">
        <v>1</v>
      </c>
      <c r="R38" s="20">
        <v>1</v>
      </c>
      <c r="S38" s="20">
        <v>0</v>
      </c>
      <c r="T38" s="20"/>
      <c r="U38" s="20"/>
      <c r="V38" s="23">
        <f t="shared" si="2"/>
        <v>1</v>
      </c>
    </row>
    <row r="39" spans="1:22" s="29" customFormat="1" ht="72" x14ac:dyDescent="0.25">
      <c r="A39" s="318">
        <f t="shared" si="3"/>
        <v>29</v>
      </c>
      <c r="B39" s="319" t="s">
        <v>281</v>
      </c>
      <c r="C39" s="318">
        <v>1</v>
      </c>
      <c r="D39" s="318" t="s">
        <v>282</v>
      </c>
      <c r="E39" s="335">
        <v>236000</v>
      </c>
      <c r="F39" s="320">
        <f t="shared" si="0"/>
        <v>236000</v>
      </c>
      <c r="G39" s="315" t="s">
        <v>379</v>
      </c>
      <c r="H39" s="25"/>
      <c r="I39" s="25"/>
      <c r="J39" s="20">
        <v>1</v>
      </c>
      <c r="K39" s="20">
        <v>0</v>
      </c>
      <c r="L39" s="20"/>
      <c r="M39" s="20"/>
      <c r="N39" s="32">
        <f t="shared" si="1"/>
        <v>1</v>
      </c>
      <c r="O39" s="27"/>
      <c r="Q39" s="23">
        <v>1</v>
      </c>
      <c r="R39" s="20">
        <v>1</v>
      </c>
      <c r="S39" s="20">
        <v>0</v>
      </c>
      <c r="T39" s="20"/>
      <c r="U39" s="20"/>
      <c r="V39" s="23">
        <f t="shared" si="2"/>
        <v>1</v>
      </c>
    </row>
    <row r="40" spans="1:22" s="27" customFormat="1" ht="48" x14ac:dyDescent="0.25">
      <c r="A40" s="318">
        <f t="shared" si="3"/>
        <v>30</v>
      </c>
      <c r="B40" s="319" t="s">
        <v>67</v>
      </c>
      <c r="C40" s="318">
        <v>166</v>
      </c>
      <c r="D40" s="318" t="s">
        <v>178</v>
      </c>
      <c r="E40" s="315">
        <v>1480</v>
      </c>
      <c r="F40" s="320">
        <f t="shared" si="0"/>
        <v>245680</v>
      </c>
      <c r="G40" s="315" t="s">
        <v>379</v>
      </c>
      <c r="H40" s="25"/>
      <c r="I40" s="25"/>
      <c r="J40" s="20">
        <v>50</v>
      </c>
      <c r="K40" s="20">
        <v>0</v>
      </c>
      <c r="L40" s="20">
        <v>100</v>
      </c>
      <c r="M40" s="20">
        <v>16</v>
      </c>
      <c r="N40" s="32">
        <f t="shared" si="1"/>
        <v>166</v>
      </c>
      <c r="Q40" s="23">
        <v>166</v>
      </c>
      <c r="R40" s="20">
        <v>50</v>
      </c>
      <c r="S40" s="20">
        <v>0</v>
      </c>
      <c r="T40" s="20">
        <v>100</v>
      </c>
      <c r="U40" s="20">
        <v>16</v>
      </c>
      <c r="V40" s="23">
        <f t="shared" si="2"/>
        <v>166</v>
      </c>
    </row>
    <row r="41" spans="1:22" s="27" customFormat="1" ht="36" x14ac:dyDescent="0.2">
      <c r="A41" s="318">
        <f t="shared" si="3"/>
        <v>31</v>
      </c>
      <c r="B41" s="336" t="s">
        <v>283</v>
      </c>
      <c r="C41" s="318">
        <v>10</v>
      </c>
      <c r="D41" s="318" t="s">
        <v>5</v>
      </c>
      <c r="E41" s="318">
        <v>69390</v>
      </c>
      <c r="F41" s="320">
        <f t="shared" si="0"/>
        <v>693900</v>
      </c>
      <c r="G41" s="315" t="s">
        <v>379</v>
      </c>
      <c r="H41" s="25"/>
      <c r="I41" s="25"/>
      <c r="J41" s="20">
        <v>4</v>
      </c>
      <c r="K41" s="20">
        <v>0</v>
      </c>
      <c r="L41" s="20"/>
      <c r="M41" s="20"/>
      <c r="N41" s="32">
        <f t="shared" si="1"/>
        <v>4</v>
      </c>
      <c r="O41" s="41"/>
      <c r="Q41" s="23">
        <v>4</v>
      </c>
      <c r="R41" s="20">
        <v>4</v>
      </c>
      <c r="S41" s="20">
        <v>0</v>
      </c>
      <c r="T41" s="20"/>
      <c r="U41" s="20"/>
      <c r="V41" s="23">
        <f t="shared" si="2"/>
        <v>4</v>
      </c>
    </row>
    <row r="42" spans="1:22" ht="24" x14ac:dyDescent="0.2">
      <c r="A42" s="318">
        <f t="shared" si="3"/>
        <v>32</v>
      </c>
      <c r="B42" s="319" t="s">
        <v>284</v>
      </c>
      <c r="C42" s="318">
        <v>1</v>
      </c>
      <c r="D42" s="318" t="s">
        <v>5</v>
      </c>
      <c r="E42" s="337">
        <v>41300</v>
      </c>
      <c r="F42" s="320">
        <f t="shared" si="0"/>
        <v>41300</v>
      </c>
      <c r="G42" s="315" t="s">
        <v>379</v>
      </c>
      <c r="H42" s="25"/>
      <c r="I42" s="25"/>
      <c r="J42" s="23">
        <v>0</v>
      </c>
      <c r="K42" s="23">
        <v>1</v>
      </c>
      <c r="N42" s="32">
        <f t="shared" si="1"/>
        <v>1</v>
      </c>
      <c r="Q42" s="23">
        <v>1</v>
      </c>
      <c r="R42" s="23">
        <v>0</v>
      </c>
      <c r="S42" s="23">
        <v>1</v>
      </c>
      <c r="V42" s="23">
        <f t="shared" si="2"/>
        <v>1</v>
      </c>
    </row>
    <row r="43" spans="1:22" ht="24" x14ac:dyDescent="0.2">
      <c r="A43" s="318">
        <f t="shared" si="3"/>
        <v>33</v>
      </c>
      <c r="B43" s="319" t="s">
        <v>285</v>
      </c>
      <c r="C43" s="318">
        <v>1</v>
      </c>
      <c r="D43" s="318" t="s">
        <v>5</v>
      </c>
      <c r="E43" s="337">
        <v>6637.5</v>
      </c>
      <c r="F43" s="320">
        <f t="shared" si="0"/>
        <v>6637.5</v>
      </c>
      <c r="G43" s="315" t="s">
        <v>379</v>
      </c>
      <c r="H43" s="25"/>
      <c r="I43" s="25"/>
      <c r="J43" s="23">
        <v>0</v>
      </c>
      <c r="K43" s="23">
        <v>1</v>
      </c>
      <c r="N43" s="32">
        <f t="shared" si="1"/>
        <v>1</v>
      </c>
      <c r="Q43" s="23">
        <v>1</v>
      </c>
      <c r="R43" s="23">
        <v>0</v>
      </c>
      <c r="S43" s="23">
        <v>1</v>
      </c>
      <c r="V43" s="23">
        <f t="shared" si="2"/>
        <v>1</v>
      </c>
    </row>
    <row r="44" spans="1:22" ht="24" x14ac:dyDescent="0.2">
      <c r="A44" s="318">
        <f t="shared" si="3"/>
        <v>34</v>
      </c>
      <c r="B44" s="319" t="s">
        <v>286</v>
      </c>
      <c r="C44" s="318">
        <v>1</v>
      </c>
      <c r="D44" s="318" t="s">
        <v>5</v>
      </c>
      <c r="E44" s="337">
        <v>27582.5</v>
      </c>
      <c r="F44" s="320">
        <f t="shared" si="0"/>
        <v>27582.5</v>
      </c>
      <c r="G44" s="315" t="s">
        <v>379</v>
      </c>
      <c r="H44" s="25"/>
      <c r="I44" s="25"/>
      <c r="J44" s="23">
        <v>0</v>
      </c>
      <c r="K44" s="23">
        <v>1</v>
      </c>
      <c r="N44" s="32">
        <f t="shared" si="1"/>
        <v>1</v>
      </c>
      <c r="Q44" s="23">
        <v>1</v>
      </c>
      <c r="R44" s="23">
        <v>0</v>
      </c>
      <c r="S44" s="23">
        <v>1</v>
      </c>
      <c r="V44" s="23">
        <f t="shared" si="2"/>
        <v>1</v>
      </c>
    </row>
    <row r="45" spans="1:22" ht="24" x14ac:dyDescent="0.2">
      <c r="A45" s="318">
        <f t="shared" si="3"/>
        <v>35</v>
      </c>
      <c r="B45" s="319" t="s">
        <v>287</v>
      </c>
      <c r="C45" s="318">
        <v>2</v>
      </c>
      <c r="D45" s="318" t="s">
        <v>5</v>
      </c>
      <c r="E45" s="338">
        <v>144550</v>
      </c>
      <c r="F45" s="320">
        <f t="shared" si="0"/>
        <v>289100</v>
      </c>
      <c r="G45" s="315" t="s">
        <v>379</v>
      </c>
      <c r="H45" s="25"/>
      <c r="I45" s="25"/>
      <c r="J45" s="23">
        <v>0</v>
      </c>
      <c r="K45" s="23">
        <v>2</v>
      </c>
      <c r="N45" s="32">
        <f t="shared" si="1"/>
        <v>2</v>
      </c>
      <c r="Q45" s="23">
        <v>2</v>
      </c>
      <c r="R45" s="23">
        <v>0</v>
      </c>
      <c r="S45" s="23">
        <v>2</v>
      </c>
      <c r="V45" s="23">
        <f t="shared" si="2"/>
        <v>2</v>
      </c>
    </row>
    <row r="46" spans="1:22" ht="24" x14ac:dyDescent="0.2">
      <c r="A46" s="318">
        <f t="shared" si="3"/>
        <v>36</v>
      </c>
      <c r="B46" s="319" t="s">
        <v>288</v>
      </c>
      <c r="C46" s="318">
        <v>1</v>
      </c>
      <c r="D46" s="318" t="s">
        <v>5</v>
      </c>
      <c r="E46" s="338">
        <v>142662</v>
      </c>
      <c r="F46" s="320">
        <f t="shared" si="0"/>
        <v>142662</v>
      </c>
      <c r="G46" s="315" t="s">
        <v>379</v>
      </c>
      <c r="H46" s="25"/>
      <c r="I46" s="25"/>
      <c r="J46" s="23">
        <v>0</v>
      </c>
      <c r="K46" s="23">
        <v>1</v>
      </c>
      <c r="N46" s="32">
        <f t="shared" si="1"/>
        <v>1</v>
      </c>
      <c r="Q46" s="23">
        <v>1</v>
      </c>
      <c r="R46" s="23">
        <v>0</v>
      </c>
      <c r="S46" s="23">
        <v>1</v>
      </c>
      <c r="V46" s="23">
        <f t="shared" si="2"/>
        <v>1</v>
      </c>
    </row>
    <row r="47" spans="1:22" ht="36" x14ac:dyDescent="0.2">
      <c r="A47" s="318">
        <f t="shared" si="3"/>
        <v>37</v>
      </c>
      <c r="B47" s="319" t="s">
        <v>289</v>
      </c>
      <c r="C47" s="318">
        <v>1</v>
      </c>
      <c r="D47" s="318" t="s">
        <v>5</v>
      </c>
      <c r="E47" s="337">
        <v>28072.2</v>
      </c>
      <c r="F47" s="320">
        <f t="shared" si="0"/>
        <v>28072.2</v>
      </c>
      <c r="G47" s="315" t="s">
        <v>379</v>
      </c>
      <c r="H47" s="25"/>
      <c r="I47" s="25"/>
      <c r="J47" s="23">
        <v>0</v>
      </c>
      <c r="K47" s="23">
        <v>1</v>
      </c>
      <c r="N47" s="32">
        <f t="shared" si="1"/>
        <v>1</v>
      </c>
      <c r="Q47" s="23">
        <v>1</v>
      </c>
      <c r="R47" s="23">
        <v>0</v>
      </c>
      <c r="S47" s="23">
        <v>1</v>
      </c>
      <c r="V47" s="23">
        <f t="shared" si="2"/>
        <v>1</v>
      </c>
    </row>
    <row r="48" spans="1:22" ht="24" x14ac:dyDescent="0.2">
      <c r="A48" s="318">
        <f t="shared" si="3"/>
        <v>38</v>
      </c>
      <c r="B48" s="319" t="s">
        <v>290</v>
      </c>
      <c r="C48" s="318">
        <v>1</v>
      </c>
      <c r="D48" s="318" t="s">
        <v>291</v>
      </c>
      <c r="E48" s="337">
        <v>87025</v>
      </c>
      <c r="F48" s="320">
        <f t="shared" si="0"/>
        <v>87025</v>
      </c>
      <c r="G48" s="315" t="s">
        <v>379</v>
      </c>
      <c r="H48" s="25"/>
      <c r="I48" s="25"/>
      <c r="J48" s="23">
        <v>0</v>
      </c>
      <c r="K48" s="23">
        <v>1</v>
      </c>
      <c r="N48" s="32">
        <f t="shared" si="1"/>
        <v>1</v>
      </c>
      <c r="Q48" s="23">
        <v>1</v>
      </c>
      <c r="R48" s="23">
        <v>0</v>
      </c>
      <c r="S48" s="23">
        <v>1</v>
      </c>
      <c r="V48" s="23">
        <f t="shared" si="2"/>
        <v>1</v>
      </c>
    </row>
    <row r="49" spans="1:22" ht="36" x14ac:dyDescent="0.2">
      <c r="A49" s="318">
        <f t="shared" si="3"/>
        <v>39</v>
      </c>
      <c r="B49" s="319" t="s">
        <v>292</v>
      </c>
      <c r="C49" s="318">
        <v>4</v>
      </c>
      <c r="D49" s="318" t="s">
        <v>291</v>
      </c>
      <c r="E49" s="337">
        <v>27287.5</v>
      </c>
      <c r="F49" s="320">
        <f t="shared" si="0"/>
        <v>109150</v>
      </c>
      <c r="G49" s="315" t="s">
        <v>379</v>
      </c>
      <c r="H49" s="25"/>
      <c r="I49" s="25"/>
      <c r="J49" s="23">
        <v>0</v>
      </c>
      <c r="K49" s="23">
        <v>4</v>
      </c>
      <c r="N49" s="32">
        <f t="shared" si="1"/>
        <v>4</v>
      </c>
      <c r="Q49" s="23">
        <v>4</v>
      </c>
      <c r="R49" s="23">
        <v>0</v>
      </c>
      <c r="S49" s="23">
        <v>4</v>
      </c>
      <c r="V49" s="23">
        <f t="shared" si="2"/>
        <v>4</v>
      </c>
    </row>
    <row r="50" spans="1:22" ht="24" x14ac:dyDescent="0.2">
      <c r="A50" s="318">
        <f t="shared" si="3"/>
        <v>40</v>
      </c>
      <c r="B50" s="319" t="s">
        <v>293</v>
      </c>
      <c r="C50" s="318">
        <v>2</v>
      </c>
      <c r="D50" s="318" t="s">
        <v>5</v>
      </c>
      <c r="E50" s="337">
        <v>230100</v>
      </c>
      <c r="F50" s="320">
        <f t="shared" si="0"/>
        <v>460200</v>
      </c>
      <c r="G50" s="315" t="s">
        <v>379</v>
      </c>
      <c r="H50" s="25"/>
      <c r="I50" s="25"/>
      <c r="J50" s="23">
        <v>0</v>
      </c>
      <c r="K50" s="23">
        <v>2</v>
      </c>
      <c r="N50" s="32">
        <f t="shared" si="1"/>
        <v>2</v>
      </c>
      <c r="Q50" s="23">
        <v>2</v>
      </c>
      <c r="R50" s="23">
        <v>0</v>
      </c>
      <c r="S50" s="23">
        <v>2</v>
      </c>
      <c r="V50" s="23">
        <f t="shared" si="2"/>
        <v>2</v>
      </c>
    </row>
    <row r="51" spans="1:22" ht="60" x14ac:dyDescent="0.2">
      <c r="A51" s="318">
        <f t="shared" si="3"/>
        <v>41</v>
      </c>
      <c r="B51" s="319" t="s">
        <v>294</v>
      </c>
      <c r="C51" s="318">
        <v>14</v>
      </c>
      <c r="D51" s="319" t="s">
        <v>5</v>
      </c>
      <c r="E51" s="339">
        <v>29990</v>
      </c>
      <c r="F51" s="320">
        <f t="shared" si="0"/>
        <v>419860</v>
      </c>
      <c r="G51" s="315" t="s">
        <v>379</v>
      </c>
      <c r="H51" s="25"/>
      <c r="I51" s="25"/>
      <c r="J51" s="20">
        <v>0</v>
      </c>
      <c r="K51" s="20">
        <v>14</v>
      </c>
      <c r="L51" s="20"/>
      <c r="M51" s="20"/>
      <c r="N51" s="32">
        <f t="shared" si="1"/>
        <v>14</v>
      </c>
      <c r="Q51" s="23">
        <v>14</v>
      </c>
      <c r="R51" s="20">
        <v>0</v>
      </c>
      <c r="S51" s="20">
        <v>14</v>
      </c>
      <c r="T51" s="20"/>
      <c r="U51" s="20"/>
      <c r="V51" s="23">
        <f t="shared" si="2"/>
        <v>14</v>
      </c>
    </row>
    <row r="52" spans="1:22" ht="96" x14ac:dyDescent="0.2">
      <c r="A52" s="318">
        <f t="shared" si="3"/>
        <v>42</v>
      </c>
      <c r="B52" s="319" t="s">
        <v>295</v>
      </c>
      <c r="C52" s="318">
        <v>2</v>
      </c>
      <c r="D52" s="319" t="s">
        <v>5</v>
      </c>
      <c r="E52" s="339">
        <v>19666</v>
      </c>
      <c r="F52" s="320">
        <f t="shared" si="0"/>
        <v>39332</v>
      </c>
      <c r="G52" s="315" t="s">
        <v>379</v>
      </c>
      <c r="H52" s="25"/>
      <c r="I52" s="25"/>
      <c r="J52" s="20">
        <v>0</v>
      </c>
      <c r="K52" s="20">
        <v>2</v>
      </c>
      <c r="L52" s="20"/>
      <c r="M52" s="20"/>
      <c r="N52" s="32">
        <f t="shared" si="1"/>
        <v>2</v>
      </c>
      <c r="Q52" s="23">
        <v>2</v>
      </c>
      <c r="R52" s="20">
        <v>0</v>
      </c>
      <c r="S52" s="20">
        <v>2</v>
      </c>
      <c r="T52" s="20"/>
      <c r="U52" s="20"/>
      <c r="V52" s="23">
        <f t="shared" si="2"/>
        <v>2</v>
      </c>
    </row>
    <row r="53" spans="1:22" ht="48" x14ac:dyDescent="0.2">
      <c r="A53" s="318">
        <f t="shared" si="3"/>
        <v>43</v>
      </c>
      <c r="B53" s="319" t="s">
        <v>296</v>
      </c>
      <c r="C53" s="318">
        <v>3</v>
      </c>
      <c r="D53" s="318" t="s">
        <v>5</v>
      </c>
      <c r="E53" s="340">
        <v>86000</v>
      </c>
      <c r="F53" s="320">
        <f t="shared" si="0"/>
        <v>258000</v>
      </c>
      <c r="G53" s="315" t="s">
        <v>379</v>
      </c>
      <c r="H53" s="25"/>
      <c r="I53" s="25"/>
      <c r="J53" s="23">
        <v>0</v>
      </c>
      <c r="K53" s="23">
        <v>3</v>
      </c>
      <c r="N53" s="32">
        <f t="shared" si="1"/>
        <v>3</v>
      </c>
      <c r="Q53" s="23">
        <v>3</v>
      </c>
      <c r="R53" s="23">
        <v>0</v>
      </c>
      <c r="S53" s="23">
        <v>3</v>
      </c>
      <c r="V53" s="23">
        <f t="shared" si="2"/>
        <v>3</v>
      </c>
    </row>
    <row r="54" spans="1:22" ht="48" x14ac:dyDescent="0.2">
      <c r="A54" s="318">
        <f t="shared" si="3"/>
        <v>44</v>
      </c>
      <c r="B54" s="319" t="s">
        <v>421</v>
      </c>
      <c r="C54" s="318">
        <v>3</v>
      </c>
      <c r="D54" s="318" t="s">
        <v>5</v>
      </c>
      <c r="E54" s="337">
        <v>21387.5</v>
      </c>
      <c r="F54" s="320">
        <f t="shared" si="0"/>
        <v>64162.5</v>
      </c>
      <c r="G54" s="315" t="s">
        <v>379</v>
      </c>
      <c r="H54" s="25"/>
      <c r="I54" s="25"/>
      <c r="J54" s="23">
        <v>0</v>
      </c>
      <c r="K54" s="23">
        <v>3</v>
      </c>
      <c r="N54" s="32">
        <f t="shared" si="1"/>
        <v>3</v>
      </c>
      <c r="Q54" s="23">
        <v>3</v>
      </c>
      <c r="R54" s="23">
        <v>0</v>
      </c>
      <c r="S54" s="23">
        <v>3</v>
      </c>
      <c r="V54" s="23">
        <f t="shared" si="2"/>
        <v>3</v>
      </c>
    </row>
    <row r="55" spans="1:22" ht="48" x14ac:dyDescent="0.2">
      <c r="A55" s="318">
        <f t="shared" si="3"/>
        <v>45</v>
      </c>
      <c r="B55" s="319" t="s">
        <v>418</v>
      </c>
      <c r="C55" s="318">
        <v>3</v>
      </c>
      <c r="D55" s="318" t="s">
        <v>5</v>
      </c>
      <c r="E55" s="337">
        <v>27287.5</v>
      </c>
      <c r="F55" s="320">
        <f t="shared" si="0"/>
        <v>81862.5</v>
      </c>
      <c r="G55" s="315" t="s">
        <v>379</v>
      </c>
      <c r="H55" s="25"/>
      <c r="I55" s="25"/>
      <c r="J55" s="23">
        <v>0</v>
      </c>
      <c r="K55" s="23">
        <v>3</v>
      </c>
      <c r="N55" s="32">
        <f t="shared" si="1"/>
        <v>3</v>
      </c>
      <c r="Q55" s="23">
        <v>3</v>
      </c>
      <c r="R55" s="23">
        <v>0</v>
      </c>
      <c r="S55" s="23">
        <v>3</v>
      </c>
      <c r="V55" s="23">
        <f t="shared" si="2"/>
        <v>3</v>
      </c>
    </row>
    <row r="56" spans="1:22" ht="36" x14ac:dyDescent="0.2">
      <c r="A56" s="318">
        <f t="shared" si="3"/>
        <v>46</v>
      </c>
      <c r="B56" s="319" t="s">
        <v>299</v>
      </c>
      <c r="C56" s="318">
        <v>2</v>
      </c>
      <c r="D56" s="318" t="s">
        <v>5</v>
      </c>
      <c r="E56" s="337">
        <v>369576</v>
      </c>
      <c r="F56" s="320">
        <f t="shared" si="0"/>
        <v>739152</v>
      </c>
      <c r="G56" s="315" t="s">
        <v>379</v>
      </c>
      <c r="H56" s="25"/>
      <c r="I56" s="25"/>
      <c r="J56" s="23">
        <v>0</v>
      </c>
      <c r="K56" s="23">
        <v>2</v>
      </c>
      <c r="N56" s="32">
        <f t="shared" si="1"/>
        <v>2</v>
      </c>
      <c r="Q56" s="23">
        <v>2</v>
      </c>
      <c r="R56" s="23">
        <v>0</v>
      </c>
      <c r="S56" s="23">
        <v>2</v>
      </c>
      <c r="V56" s="23">
        <f t="shared" si="2"/>
        <v>2</v>
      </c>
    </row>
    <row r="57" spans="1:22" ht="36" x14ac:dyDescent="0.2">
      <c r="A57" s="318">
        <f t="shared" si="3"/>
        <v>47</v>
      </c>
      <c r="B57" s="319" t="s">
        <v>300</v>
      </c>
      <c r="C57" s="318">
        <v>1</v>
      </c>
      <c r="D57" s="318" t="s">
        <v>5</v>
      </c>
      <c r="E57" s="337">
        <v>204140</v>
      </c>
      <c r="F57" s="320">
        <f t="shared" si="0"/>
        <v>204140</v>
      </c>
      <c r="G57" s="315" t="s">
        <v>379</v>
      </c>
      <c r="H57" s="25"/>
      <c r="I57" s="25"/>
      <c r="J57" s="23">
        <v>0</v>
      </c>
      <c r="K57" s="23">
        <v>1</v>
      </c>
      <c r="N57" s="32">
        <f t="shared" si="1"/>
        <v>1</v>
      </c>
      <c r="Q57" s="23">
        <v>1</v>
      </c>
      <c r="R57" s="23">
        <v>0</v>
      </c>
      <c r="S57" s="23">
        <v>1</v>
      </c>
      <c r="V57" s="23">
        <f t="shared" si="2"/>
        <v>1</v>
      </c>
    </row>
    <row r="58" spans="1:22" ht="36" x14ac:dyDescent="0.2">
      <c r="A58" s="318">
        <f t="shared" si="3"/>
        <v>48</v>
      </c>
      <c r="B58" s="319" t="s">
        <v>301</v>
      </c>
      <c r="C58" s="318">
        <v>1</v>
      </c>
      <c r="D58" s="318" t="s">
        <v>302</v>
      </c>
      <c r="E58" s="337">
        <v>54280</v>
      </c>
      <c r="F58" s="320">
        <f t="shared" si="0"/>
        <v>54280</v>
      </c>
      <c r="G58" s="315" t="s">
        <v>379</v>
      </c>
      <c r="H58" s="25"/>
      <c r="I58" s="25"/>
      <c r="J58" s="23">
        <v>0</v>
      </c>
      <c r="K58" s="23">
        <v>1</v>
      </c>
      <c r="N58" s="32">
        <f t="shared" si="1"/>
        <v>1</v>
      </c>
      <c r="Q58" s="23">
        <v>1</v>
      </c>
      <c r="R58" s="23">
        <v>0</v>
      </c>
      <c r="S58" s="23">
        <v>1</v>
      </c>
      <c r="V58" s="23">
        <f t="shared" si="2"/>
        <v>1</v>
      </c>
    </row>
    <row r="59" spans="1:22" ht="36" x14ac:dyDescent="0.2">
      <c r="A59" s="318">
        <f t="shared" si="3"/>
        <v>49</v>
      </c>
      <c r="B59" s="319" t="s">
        <v>303</v>
      </c>
      <c r="C59" s="318">
        <v>4</v>
      </c>
      <c r="D59" s="318" t="s">
        <v>5</v>
      </c>
      <c r="E59" s="337">
        <v>16189.599999999999</v>
      </c>
      <c r="F59" s="320">
        <f t="shared" si="0"/>
        <v>64758.399999999994</v>
      </c>
      <c r="G59" s="315" t="s">
        <v>379</v>
      </c>
      <c r="H59" s="25"/>
      <c r="I59" s="25"/>
      <c r="J59" s="23">
        <v>0</v>
      </c>
      <c r="K59" s="23">
        <v>4</v>
      </c>
      <c r="N59" s="32">
        <f t="shared" si="1"/>
        <v>4</v>
      </c>
      <c r="Q59" s="23">
        <v>4</v>
      </c>
      <c r="R59" s="23">
        <v>0</v>
      </c>
      <c r="S59" s="23">
        <v>4</v>
      </c>
      <c r="V59" s="23">
        <f t="shared" si="2"/>
        <v>4</v>
      </c>
    </row>
    <row r="60" spans="1:22" ht="60" x14ac:dyDescent="0.2">
      <c r="A60" s="318">
        <f t="shared" si="3"/>
        <v>50</v>
      </c>
      <c r="B60" s="319" t="s">
        <v>405</v>
      </c>
      <c r="C60" s="318">
        <v>100</v>
      </c>
      <c r="D60" s="318" t="s">
        <v>4</v>
      </c>
      <c r="E60" s="337">
        <v>49.559999999999995</v>
      </c>
      <c r="F60" s="320">
        <f t="shared" si="0"/>
        <v>4955.9999999999991</v>
      </c>
      <c r="G60" s="315" t="s">
        <v>379</v>
      </c>
      <c r="H60" s="25"/>
      <c r="I60" s="25"/>
      <c r="J60" s="23">
        <v>0</v>
      </c>
      <c r="K60" s="23">
        <v>100</v>
      </c>
      <c r="N60" s="32">
        <f t="shared" si="1"/>
        <v>100</v>
      </c>
      <c r="O60" s="38"/>
      <c r="Q60" s="23">
        <v>100</v>
      </c>
      <c r="R60" s="23">
        <v>0</v>
      </c>
      <c r="S60" s="23">
        <v>100</v>
      </c>
      <c r="V60" s="23">
        <f t="shared" si="2"/>
        <v>100</v>
      </c>
    </row>
    <row r="61" spans="1:22" s="38" customFormat="1" ht="48" x14ac:dyDescent="0.2">
      <c r="A61" s="318">
        <f t="shared" si="3"/>
        <v>51</v>
      </c>
      <c r="B61" s="319" t="s">
        <v>415</v>
      </c>
      <c r="C61" s="315">
        <v>1</v>
      </c>
      <c r="D61" s="326" t="s">
        <v>5</v>
      </c>
      <c r="E61" s="341">
        <v>140000</v>
      </c>
      <c r="F61" s="320">
        <f t="shared" si="0"/>
        <v>140000</v>
      </c>
      <c r="G61" s="315" t="s">
        <v>379</v>
      </c>
      <c r="H61" s="25"/>
      <c r="I61" s="25"/>
      <c r="J61" s="39">
        <v>0</v>
      </c>
      <c r="K61" s="39">
        <v>1</v>
      </c>
      <c r="L61" s="39"/>
      <c r="M61" s="39"/>
      <c r="N61" s="32">
        <f t="shared" si="1"/>
        <v>1</v>
      </c>
      <c r="O61" s="41"/>
      <c r="Q61" s="20">
        <v>1</v>
      </c>
      <c r="R61" s="39">
        <v>0</v>
      </c>
      <c r="S61" s="39">
        <v>1</v>
      </c>
      <c r="T61" s="39"/>
      <c r="U61" s="39"/>
      <c r="V61" s="20">
        <f t="shared" si="2"/>
        <v>1</v>
      </c>
    </row>
    <row r="62" spans="1:22" ht="36" x14ac:dyDescent="0.2">
      <c r="A62" s="318">
        <f t="shared" si="3"/>
        <v>52</v>
      </c>
      <c r="B62" s="325" t="s">
        <v>305</v>
      </c>
      <c r="C62" s="318">
        <v>1</v>
      </c>
      <c r="D62" s="326" t="s">
        <v>302</v>
      </c>
      <c r="E62" s="341">
        <v>153400</v>
      </c>
      <c r="F62" s="320">
        <f t="shared" si="0"/>
        <v>153400</v>
      </c>
      <c r="G62" s="315" t="s">
        <v>379</v>
      </c>
      <c r="H62" s="25"/>
      <c r="I62" s="25"/>
      <c r="J62" s="21">
        <v>0</v>
      </c>
      <c r="K62" s="39">
        <v>1</v>
      </c>
      <c r="L62" s="39"/>
      <c r="M62" s="39"/>
      <c r="N62" s="32">
        <f t="shared" si="1"/>
        <v>1</v>
      </c>
      <c r="Q62" s="23">
        <v>1</v>
      </c>
      <c r="R62" s="21">
        <v>0</v>
      </c>
      <c r="S62" s="39">
        <v>1</v>
      </c>
      <c r="T62" s="39"/>
      <c r="U62" s="39"/>
      <c r="V62" s="23">
        <f t="shared" si="2"/>
        <v>1</v>
      </c>
    </row>
    <row r="63" spans="1:22" s="29" customFormat="1" ht="127.5" x14ac:dyDescent="0.2">
      <c r="A63" s="318">
        <f t="shared" si="3"/>
        <v>53</v>
      </c>
      <c r="B63" s="342" t="s">
        <v>391</v>
      </c>
      <c r="C63" s="318">
        <v>6</v>
      </c>
      <c r="D63" s="315" t="s">
        <v>178</v>
      </c>
      <c r="E63" s="326">
        <v>15443</v>
      </c>
      <c r="F63" s="320">
        <f>C63*E63</f>
        <v>92658</v>
      </c>
      <c r="G63" s="315" t="s">
        <v>379</v>
      </c>
      <c r="H63" s="25"/>
      <c r="I63" s="25"/>
      <c r="J63" s="20">
        <v>2</v>
      </c>
      <c r="K63" s="20">
        <v>0</v>
      </c>
      <c r="L63" s="20"/>
      <c r="M63" s="20"/>
      <c r="N63" s="32">
        <f>J63+K63+L63+M63</f>
        <v>2</v>
      </c>
      <c r="O63" s="41"/>
      <c r="Q63" s="23">
        <v>2</v>
      </c>
      <c r="R63" s="20">
        <v>2</v>
      </c>
      <c r="S63" s="20">
        <v>0</v>
      </c>
      <c r="T63" s="20"/>
      <c r="U63" s="20"/>
      <c r="V63" s="23">
        <f>R63+S63+T63+U63</f>
        <v>2</v>
      </c>
    </row>
    <row r="64" spans="1:22" ht="48" x14ac:dyDescent="0.2">
      <c r="A64" s="318">
        <f t="shared" si="3"/>
        <v>54</v>
      </c>
      <c r="B64" s="319" t="s">
        <v>385</v>
      </c>
      <c r="C64" s="318">
        <v>3</v>
      </c>
      <c r="D64" s="318" t="s">
        <v>1</v>
      </c>
      <c r="E64" s="318">
        <v>83200</v>
      </c>
      <c r="F64" s="320">
        <f>C64*E64</f>
        <v>249600</v>
      </c>
      <c r="G64" s="315" t="s">
        <v>379</v>
      </c>
      <c r="H64" s="25"/>
      <c r="I64" s="25"/>
      <c r="J64" s="20"/>
      <c r="K64" s="20"/>
      <c r="L64" s="20">
        <v>3</v>
      </c>
      <c r="M64" s="20"/>
      <c r="N64" s="32">
        <f>J64+K64+L64+M64</f>
        <v>3</v>
      </c>
      <c r="O64" s="28"/>
      <c r="Q64" s="23">
        <v>3</v>
      </c>
      <c r="R64" s="20"/>
      <c r="S64" s="20"/>
      <c r="T64" s="20">
        <v>3</v>
      </c>
      <c r="U64" s="20"/>
      <c r="V64" s="23">
        <f>R64+S64+T64+U64</f>
        <v>3</v>
      </c>
    </row>
    <row r="65" spans="1:22" ht="60.75" customHeight="1" x14ac:dyDescent="0.2">
      <c r="A65" s="318">
        <f t="shared" si="3"/>
        <v>55</v>
      </c>
      <c r="B65" s="319" t="s">
        <v>396</v>
      </c>
      <c r="C65" s="318">
        <v>6</v>
      </c>
      <c r="D65" s="315" t="s">
        <v>1</v>
      </c>
      <c r="E65" s="328">
        <v>80709.64</v>
      </c>
      <c r="F65" s="320">
        <f>C65*E65</f>
        <v>484257.83999999997</v>
      </c>
      <c r="G65" s="315" t="s">
        <v>379</v>
      </c>
      <c r="H65" s="20" t="s">
        <v>84</v>
      </c>
      <c r="I65" s="25"/>
      <c r="J65" s="20"/>
      <c r="K65" s="20"/>
      <c r="L65" s="20">
        <v>5</v>
      </c>
      <c r="M65" s="20">
        <v>1</v>
      </c>
      <c r="N65" s="32">
        <f>J65+K65+L65+M65</f>
        <v>6</v>
      </c>
      <c r="O65" s="28"/>
      <c r="Q65" s="23">
        <v>6</v>
      </c>
      <c r="R65" s="20"/>
      <c r="S65" s="20"/>
      <c r="T65" s="20">
        <v>5</v>
      </c>
      <c r="U65" s="20">
        <v>1</v>
      </c>
      <c r="V65" s="23">
        <f>R65+S65+T65+U65</f>
        <v>6</v>
      </c>
    </row>
    <row r="66" spans="1:22" s="296" customFormat="1" x14ac:dyDescent="0.2">
      <c r="A66" s="316"/>
      <c r="B66" s="321" t="s">
        <v>242</v>
      </c>
      <c r="C66" s="324"/>
      <c r="D66" s="316"/>
      <c r="E66" s="316"/>
      <c r="F66" s="316">
        <f>SUM(F11:F65)</f>
        <v>10197160.216</v>
      </c>
      <c r="G66" s="324"/>
      <c r="H66" s="294"/>
      <c r="I66" s="294"/>
      <c r="J66" s="46"/>
      <c r="K66" s="46"/>
      <c r="L66" s="46"/>
      <c r="M66" s="46"/>
      <c r="N66" s="31"/>
      <c r="O66" s="286"/>
      <c r="Q66" s="53"/>
      <c r="R66" s="46"/>
      <c r="S66" s="46"/>
      <c r="T66" s="46"/>
      <c r="U66" s="46"/>
      <c r="V66" s="53"/>
    </row>
    <row r="67" spans="1:22" s="290" customFormat="1" x14ac:dyDescent="0.25">
      <c r="A67" s="316" t="s">
        <v>243</v>
      </c>
      <c r="B67" s="317" t="s">
        <v>400</v>
      </c>
      <c r="C67" s="316"/>
      <c r="D67" s="316"/>
      <c r="E67" s="316"/>
      <c r="F67" s="316"/>
      <c r="G67" s="324"/>
      <c r="H67" s="294"/>
      <c r="I67" s="294"/>
      <c r="J67" s="46"/>
      <c r="K67" s="46"/>
      <c r="L67" s="46"/>
      <c r="M67" s="46"/>
      <c r="N67" s="31"/>
      <c r="O67" s="29"/>
      <c r="Q67" s="46"/>
      <c r="R67" s="46"/>
      <c r="S67" s="46"/>
      <c r="T67" s="46"/>
      <c r="U67" s="46"/>
      <c r="V67" s="46"/>
    </row>
    <row r="68" spans="1:22" s="29" customFormat="1" ht="48" x14ac:dyDescent="0.25">
      <c r="A68" s="318">
        <v>1</v>
      </c>
      <c r="B68" s="319" t="s">
        <v>308</v>
      </c>
      <c r="C68" s="318">
        <v>1</v>
      </c>
      <c r="D68" s="318" t="s">
        <v>309</v>
      </c>
      <c r="E68" s="328">
        <v>50995.43</v>
      </c>
      <c r="F68" s="320">
        <f t="shared" ref="F68:F122" si="4">C68*E68</f>
        <v>50995.43</v>
      </c>
      <c r="G68" s="315" t="s">
        <v>379</v>
      </c>
      <c r="H68" s="25"/>
      <c r="I68" s="25"/>
      <c r="J68" s="20">
        <v>1</v>
      </c>
      <c r="K68" s="20">
        <v>0</v>
      </c>
      <c r="L68" s="20"/>
      <c r="M68" s="20"/>
      <c r="N68" s="32">
        <f t="shared" ref="N68:N123" si="5">J68+K68+L68+M68</f>
        <v>1</v>
      </c>
      <c r="Q68" s="23">
        <v>1</v>
      </c>
      <c r="R68" s="20">
        <v>1</v>
      </c>
      <c r="S68" s="20">
        <v>0</v>
      </c>
      <c r="T68" s="20"/>
      <c r="U68" s="20"/>
      <c r="V68" s="23">
        <f t="shared" ref="V68:V123" si="6">R68+S68+T68+U68</f>
        <v>1</v>
      </c>
    </row>
    <row r="69" spans="1:22" s="29" customFormat="1" ht="48" x14ac:dyDescent="0.25">
      <c r="A69" s="318">
        <f>A68+1</f>
        <v>2</v>
      </c>
      <c r="B69" s="319" t="s">
        <v>310</v>
      </c>
      <c r="C69" s="318">
        <v>2</v>
      </c>
      <c r="D69" s="315" t="s">
        <v>178</v>
      </c>
      <c r="E69" s="326">
        <v>83294.11</v>
      </c>
      <c r="F69" s="320">
        <f t="shared" si="4"/>
        <v>166588.22</v>
      </c>
      <c r="G69" s="315" t="s">
        <v>379</v>
      </c>
      <c r="H69" s="25"/>
      <c r="I69" s="25"/>
      <c r="J69" s="20">
        <v>2</v>
      </c>
      <c r="K69" s="20">
        <v>0</v>
      </c>
      <c r="L69" s="20"/>
      <c r="M69" s="20"/>
      <c r="N69" s="32">
        <f t="shared" si="5"/>
        <v>2</v>
      </c>
      <c r="Q69" s="23">
        <v>2</v>
      </c>
      <c r="R69" s="20">
        <v>2</v>
      </c>
      <c r="S69" s="20">
        <v>0</v>
      </c>
      <c r="T69" s="20"/>
      <c r="U69" s="20"/>
      <c r="V69" s="23">
        <f t="shared" si="6"/>
        <v>2</v>
      </c>
    </row>
    <row r="70" spans="1:22" s="29" customFormat="1" ht="48" x14ac:dyDescent="0.25">
      <c r="A70" s="318">
        <f t="shared" ref="A70:A94" si="7">A69+1</f>
        <v>3</v>
      </c>
      <c r="B70" s="319" t="s">
        <v>311</v>
      </c>
      <c r="C70" s="318">
        <v>1</v>
      </c>
      <c r="D70" s="318" t="s">
        <v>5</v>
      </c>
      <c r="E70" s="328">
        <v>26937.31</v>
      </c>
      <c r="F70" s="320">
        <f t="shared" si="4"/>
        <v>26937.31</v>
      </c>
      <c r="G70" s="315" t="s">
        <v>379</v>
      </c>
      <c r="H70" s="25"/>
      <c r="I70" s="25"/>
      <c r="J70" s="20">
        <v>1</v>
      </c>
      <c r="K70" s="20">
        <v>0</v>
      </c>
      <c r="L70" s="20"/>
      <c r="M70" s="20"/>
      <c r="N70" s="32">
        <f t="shared" si="5"/>
        <v>1</v>
      </c>
      <c r="Q70" s="23">
        <v>1</v>
      </c>
      <c r="R70" s="20">
        <v>1</v>
      </c>
      <c r="S70" s="20">
        <v>0</v>
      </c>
      <c r="T70" s="20"/>
      <c r="U70" s="20"/>
      <c r="V70" s="23">
        <f t="shared" si="6"/>
        <v>1</v>
      </c>
    </row>
    <row r="71" spans="1:22" s="29" customFormat="1" ht="36" x14ac:dyDescent="0.2">
      <c r="A71" s="318">
        <f t="shared" si="7"/>
        <v>4</v>
      </c>
      <c r="B71" s="343" t="s">
        <v>312</v>
      </c>
      <c r="C71" s="318">
        <v>1</v>
      </c>
      <c r="D71" s="318" t="s">
        <v>5</v>
      </c>
      <c r="E71" s="334">
        <v>120802.5</v>
      </c>
      <c r="F71" s="320">
        <f t="shared" si="4"/>
        <v>120802.5</v>
      </c>
      <c r="G71" s="315" t="s">
        <v>379</v>
      </c>
      <c r="H71" s="25"/>
      <c r="I71" s="25"/>
      <c r="J71" s="20">
        <v>1</v>
      </c>
      <c r="K71" s="20">
        <v>0</v>
      </c>
      <c r="L71" s="20"/>
      <c r="M71" s="20"/>
      <c r="N71" s="32">
        <f t="shared" si="5"/>
        <v>1</v>
      </c>
      <c r="O71" s="41"/>
      <c r="Q71" s="23">
        <v>1</v>
      </c>
      <c r="R71" s="20">
        <v>1</v>
      </c>
      <c r="S71" s="20">
        <v>0</v>
      </c>
      <c r="T71" s="20"/>
      <c r="U71" s="20"/>
      <c r="V71" s="23">
        <f t="shared" si="6"/>
        <v>1</v>
      </c>
    </row>
    <row r="72" spans="1:22" ht="36" x14ac:dyDescent="0.2">
      <c r="A72" s="318">
        <f t="shared" si="7"/>
        <v>5</v>
      </c>
      <c r="B72" s="319" t="s">
        <v>313</v>
      </c>
      <c r="C72" s="318">
        <v>1</v>
      </c>
      <c r="D72" s="318" t="s">
        <v>5</v>
      </c>
      <c r="E72" s="318">
        <v>31270</v>
      </c>
      <c r="F72" s="320">
        <f t="shared" si="4"/>
        <v>31270</v>
      </c>
      <c r="G72" s="315" t="s">
        <v>379</v>
      </c>
      <c r="H72" s="25"/>
      <c r="I72" s="25"/>
      <c r="J72" s="20">
        <v>1</v>
      </c>
      <c r="K72" s="20">
        <v>0</v>
      </c>
      <c r="L72" s="20"/>
      <c r="M72" s="20"/>
      <c r="N72" s="32">
        <f t="shared" si="5"/>
        <v>1</v>
      </c>
      <c r="O72" s="29"/>
      <c r="Q72" s="23">
        <v>1</v>
      </c>
      <c r="R72" s="20">
        <v>1</v>
      </c>
      <c r="S72" s="20">
        <v>0</v>
      </c>
      <c r="T72" s="20"/>
      <c r="U72" s="20"/>
      <c r="V72" s="23">
        <f t="shared" si="6"/>
        <v>1</v>
      </c>
    </row>
    <row r="73" spans="1:22" s="29" customFormat="1" ht="36" x14ac:dyDescent="0.25">
      <c r="A73" s="318">
        <f t="shared" si="7"/>
        <v>6</v>
      </c>
      <c r="B73" s="319" t="s">
        <v>314</v>
      </c>
      <c r="C73" s="318">
        <v>4</v>
      </c>
      <c r="D73" s="318" t="s">
        <v>5</v>
      </c>
      <c r="E73" s="328">
        <v>8179.7599999999993</v>
      </c>
      <c r="F73" s="320">
        <f t="shared" si="4"/>
        <v>32719.039999999997</v>
      </c>
      <c r="G73" s="315" t="s">
        <v>379</v>
      </c>
      <c r="H73" s="25"/>
      <c r="I73" s="25"/>
      <c r="J73" s="20">
        <v>4</v>
      </c>
      <c r="K73" s="20">
        <v>0</v>
      </c>
      <c r="L73" s="20"/>
      <c r="M73" s="20"/>
      <c r="N73" s="32">
        <f t="shared" si="5"/>
        <v>4</v>
      </c>
      <c r="Q73" s="23">
        <v>4</v>
      </c>
      <c r="R73" s="20">
        <v>4</v>
      </c>
      <c r="S73" s="20">
        <v>0</v>
      </c>
      <c r="T73" s="20"/>
      <c r="U73" s="20"/>
      <c r="V73" s="23">
        <f t="shared" si="6"/>
        <v>4</v>
      </c>
    </row>
    <row r="74" spans="1:22" s="29" customFormat="1" ht="36" x14ac:dyDescent="0.25">
      <c r="A74" s="318">
        <f t="shared" si="7"/>
        <v>7</v>
      </c>
      <c r="B74" s="319" t="s">
        <v>315</v>
      </c>
      <c r="C74" s="318">
        <v>1</v>
      </c>
      <c r="D74" s="318" t="s">
        <v>5</v>
      </c>
      <c r="E74" s="328">
        <v>24988.23</v>
      </c>
      <c r="F74" s="320">
        <f t="shared" si="4"/>
        <v>24988.23</v>
      </c>
      <c r="G74" s="315" t="s">
        <v>379</v>
      </c>
      <c r="H74" s="25"/>
      <c r="I74" s="25"/>
      <c r="J74" s="20">
        <v>1</v>
      </c>
      <c r="K74" s="20">
        <v>0</v>
      </c>
      <c r="L74" s="20"/>
      <c r="M74" s="20"/>
      <c r="N74" s="32">
        <f t="shared" si="5"/>
        <v>1</v>
      </c>
      <c r="Q74" s="23">
        <v>1</v>
      </c>
      <c r="R74" s="20">
        <v>1</v>
      </c>
      <c r="S74" s="20">
        <v>0</v>
      </c>
      <c r="T74" s="20"/>
      <c r="U74" s="20"/>
      <c r="V74" s="23">
        <f t="shared" si="6"/>
        <v>1</v>
      </c>
    </row>
    <row r="75" spans="1:22" s="29" customFormat="1" ht="24" x14ac:dyDescent="0.25">
      <c r="A75" s="318">
        <f t="shared" si="7"/>
        <v>8</v>
      </c>
      <c r="B75" s="319" t="s">
        <v>316</v>
      </c>
      <c r="C75" s="318">
        <v>18</v>
      </c>
      <c r="D75" s="318" t="s">
        <v>5</v>
      </c>
      <c r="E75" s="328">
        <v>2229.02</v>
      </c>
      <c r="F75" s="320">
        <f t="shared" si="4"/>
        <v>40122.36</v>
      </c>
      <c r="G75" s="315" t="s">
        <v>379</v>
      </c>
      <c r="H75" s="25"/>
      <c r="I75" s="25"/>
      <c r="J75" s="20">
        <v>18</v>
      </c>
      <c r="K75" s="20">
        <v>0</v>
      </c>
      <c r="L75" s="20"/>
      <c r="M75" s="20"/>
      <c r="N75" s="32">
        <f t="shared" si="5"/>
        <v>18</v>
      </c>
      <c r="Q75" s="23">
        <v>18</v>
      </c>
      <c r="R75" s="20">
        <v>18</v>
      </c>
      <c r="S75" s="20">
        <v>0</v>
      </c>
      <c r="T75" s="20"/>
      <c r="U75" s="20"/>
      <c r="V75" s="23">
        <f t="shared" si="6"/>
        <v>18</v>
      </c>
    </row>
    <row r="76" spans="1:22" s="29" customFormat="1" ht="24" x14ac:dyDescent="0.25">
      <c r="A76" s="318">
        <f t="shared" si="7"/>
        <v>9</v>
      </c>
      <c r="B76" s="319" t="s">
        <v>317</v>
      </c>
      <c r="C76" s="318">
        <v>4</v>
      </c>
      <c r="D76" s="318" t="s">
        <v>5</v>
      </c>
      <c r="E76" s="328">
        <v>390.58</v>
      </c>
      <c r="F76" s="320">
        <f t="shared" si="4"/>
        <v>1562.32</v>
      </c>
      <c r="G76" s="315" t="s">
        <v>379</v>
      </c>
      <c r="H76" s="25"/>
      <c r="I76" s="25"/>
      <c r="J76" s="20">
        <v>4</v>
      </c>
      <c r="K76" s="20">
        <v>0</v>
      </c>
      <c r="L76" s="20"/>
      <c r="M76" s="20"/>
      <c r="N76" s="32">
        <f t="shared" si="5"/>
        <v>4</v>
      </c>
      <c r="Q76" s="23">
        <v>4</v>
      </c>
      <c r="R76" s="20">
        <v>4</v>
      </c>
      <c r="S76" s="20">
        <v>0</v>
      </c>
      <c r="T76" s="20"/>
      <c r="U76" s="20"/>
      <c r="V76" s="23">
        <f t="shared" si="6"/>
        <v>4</v>
      </c>
    </row>
    <row r="77" spans="1:22" s="29" customFormat="1" ht="24" x14ac:dyDescent="0.25">
      <c r="A77" s="318">
        <f t="shared" si="7"/>
        <v>10</v>
      </c>
      <c r="B77" s="319" t="s">
        <v>318</v>
      </c>
      <c r="C77" s="318">
        <v>4</v>
      </c>
      <c r="D77" s="318" t="s">
        <v>5</v>
      </c>
      <c r="E77" s="328">
        <v>9204</v>
      </c>
      <c r="F77" s="320">
        <f t="shared" si="4"/>
        <v>36816</v>
      </c>
      <c r="G77" s="315" t="s">
        <v>379</v>
      </c>
      <c r="H77" s="25"/>
      <c r="I77" s="25"/>
      <c r="J77" s="20">
        <v>2</v>
      </c>
      <c r="K77" s="20">
        <v>2</v>
      </c>
      <c r="L77" s="20"/>
      <c r="M77" s="20"/>
      <c r="N77" s="32">
        <f t="shared" si="5"/>
        <v>4</v>
      </c>
      <c r="Q77" s="23">
        <v>4</v>
      </c>
      <c r="R77" s="20">
        <v>2</v>
      </c>
      <c r="S77" s="20">
        <v>2</v>
      </c>
      <c r="T77" s="20"/>
      <c r="U77" s="20"/>
      <c r="V77" s="23">
        <f t="shared" si="6"/>
        <v>4</v>
      </c>
    </row>
    <row r="78" spans="1:22" s="29" customFormat="1" ht="48" x14ac:dyDescent="0.25">
      <c r="A78" s="318">
        <f t="shared" si="7"/>
        <v>11</v>
      </c>
      <c r="B78" s="319" t="s">
        <v>86</v>
      </c>
      <c r="C78" s="318">
        <f>2+15+7</f>
        <v>24</v>
      </c>
      <c r="D78" s="318" t="s">
        <v>5</v>
      </c>
      <c r="E78" s="328">
        <v>20874.2</v>
      </c>
      <c r="F78" s="320">
        <f t="shared" si="4"/>
        <v>500980.80000000005</v>
      </c>
      <c r="G78" s="315" t="s">
        <v>379</v>
      </c>
      <c r="H78" s="25"/>
      <c r="I78" s="25"/>
      <c r="J78" s="20">
        <v>7</v>
      </c>
      <c r="K78" s="20">
        <v>0</v>
      </c>
      <c r="L78" s="20"/>
      <c r="M78" s="20"/>
      <c r="N78" s="32">
        <f t="shared" si="5"/>
        <v>7</v>
      </c>
      <c r="Q78" s="23">
        <v>7</v>
      </c>
      <c r="R78" s="20">
        <v>7</v>
      </c>
      <c r="S78" s="20">
        <v>0</v>
      </c>
      <c r="T78" s="20"/>
      <c r="U78" s="20"/>
      <c r="V78" s="23">
        <f t="shared" si="6"/>
        <v>7</v>
      </c>
    </row>
    <row r="79" spans="1:22" s="29" customFormat="1" ht="24" x14ac:dyDescent="0.25">
      <c r="A79" s="318">
        <f t="shared" si="7"/>
        <v>12</v>
      </c>
      <c r="B79" s="325" t="s">
        <v>319</v>
      </c>
      <c r="C79" s="318">
        <v>1</v>
      </c>
      <c r="D79" s="318" t="s">
        <v>1</v>
      </c>
      <c r="E79" s="328">
        <v>14160</v>
      </c>
      <c r="F79" s="320">
        <f t="shared" si="4"/>
        <v>14160</v>
      </c>
      <c r="G79" s="315" t="s">
        <v>379</v>
      </c>
      <c r="H79" s="25"/>
      <c r="I79" s="25"/>
      <c r="J79" s="20">
        <v>1</v>
      </c>
      <c r="K79" s="20">
        <v>0</v>
      </c>
      <c r="L79" s="20"/>
      <c r="M79" s="20"/>
      <c r="N79" s="32">
        <f t="shared" si="5"/>
        <v>1</v>
      </c>
      <c r="Q79" s="23">
        <v>1</v>
      </c>
      <c r="R79" s="20">
        <v>1</v>
      </c>
      <c r="S79" s="20">
        <v>0</v>
      </c>
      <c r="T79" s="20"/>
      <c r="U79" s="20"/>
      <c r="V79" s="23">
        <f t="shared" si="6"/>
        <v>1</v>
      </c>
    </row>
    <row r="80" spans="1:22" s="29" customFormat="1" ht="24" x14ac:dyDescent="0.25">
      <c r="A80" s="318">
        <f t="shared" si="7"/>
        <v>13</v>
      </c>
      <c r="B80" s="325" t="s">
        <v>321</v>
      </c>
      <c r="C80" s="318">
        <v>10</v>
      </c>
      <c r="D80" s="318" t="s">
        <v>5</v>
      </c>
      <c r="E80" s="344">
        <v>600</v>
      </c>
      <c r="F80" s="320">
        <f t="shared" ref="F80:F94" si="8">C80*E80</f>
        <v>6000</v>
      </c>
      <c r="G80" s="315" t="s">
        <v>379</v>
      </c>
      <c r="H80" s="25"/>
      <c r="I80" s="25"/>
      <c r="J80" s="20">
        <v>10</v>
      </c>
      <c r="K80" s="20">
        <v>0</v>
      </c>
      <c r="L80" s="20"/>
      <c r="M80" s="20"/>
      <c r="N80" s="32">
        <f t="shared" ref="N80:N94" si="9">J80+K80+L80+M80</f>
        <v>10</v>
      </c>
      <c r="Q80" s="23">
        <v>10</v>
      </c>
      <c r="R80" s="20">
        <v>10</v>
      </c>
      <c r="S80" s="20">
        <v>0</v>
      </c>
      <c r="T80" s="20"/>
      <c r="U80" s="20"/>
      <c r="V80" s="23">
        <f t="shared" ref="V80:V94" si="10">R80+S80+T80+U80</f>
        <v>10</v>
      </c>
    </row>
    <row r="81" spans="1:241" ht="36" x14ac:dyDescent="0.2">
      <c r="A81" s="318">
        <f t="shared" si="7"/>
        <v>14</v>
      </c>
      <c r="B81" s="325" t="s">
        <v>416</v>
      </c>
      <c r="C81" s="318">
        <v>2</v>
      </c>
      <c r="D81" s="318" t="s">
        <v>5</v>
      </c>
      <c r="E81" s="326">
        <v>8000</v>
      </c>
      <c r="F81" s="320">
        <f t="shared" si="8"/>
        <v>16000</v>
      </c>
      <c r="G81" s="315" t="s">
        <v>379</v>
      </c>
      <c r="H81" s="25"/>
      <c r="I81" s="25"/>
      <c r="J81" s="20">
        <v>1</v>
      </c>
      <c r="K81" s="20">
        <v>1</v>
      </c>
      <c r="L81" s="20"/>
      <c r="M81" s="20"/>
      <c r="N81" s="32">
        <f t="shared" si="9"/>
        <v>2</v>
      </c>
      <c r="Q81" s="23">
        <v>2</v>
      </c>
      <c r="R81" s="20">
        <v>1</v>
      </c>
      <c r="S81" s="20">
        <v>1</v>
      </c>
      <c r="T81" s="20"/>
      <c r="U81" s="20"/>
      <c r="V81" s="23">
        <f t="shared" si="10"/>
        <v>2</v>
      </c>
    </row>
    <row r="82" spans="1:241" s="29" customFormat="1" ht="36" x14ac:dyDescent="0.2">
      <c r="A82" s="318">
        <f t="shared" si="7"/>
        <v>15</v>
      </c>
      <c r="B82" s="325" t="s">
        <v>330</v>
      </c>
      <c r="C82" s="318">
        <v>12</v>
      </c>
      <c r="D82" s="315" t="s">
        <v>178</v>
      </c>
      <c r="E82" s="326">
        <v>38350</v>
      </c>
      <c r="F82" s="320">
        <f t="shared" si="8"/>
        <v>460200</v>
      </c>
      <c r="G82" s="315" t="s">
        <v>379</v>
      </c>
      <c r="H82" s="25"/>
      <c r="I82" s="25"/>
      <c r="J82" s="20">
        <v>1</v>
      </c>
      <c r="K82" s="20">
        <v>1</v>
      </c>
      <c r="L82" s="20"/>
      <c r="M82" s="20">
        <v>1</v>
      </c>
      <c r="N82" s="32">
        <f t="shared" si="9"/>
        <v>3</v>
      </c>
      <c r="O82" s="27"/>
      <c r="P82" s="41"/>
      <c r="Q82" s="23">
        <v>3</v>
      </c>
      <c r="R82" s="20">
        <v>1</v>
      </c>
      <c r="S82" s="20">
        <v>1</v>
      </c>
      <c r="T82" s="20"/>
      <c r="U82" s="20">
        <v>1</v>
      </c>
      <c r="V82" s="23">
        <f t="shared" si="10"/>
        <v>3</v>
      </c>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41"/>
      <c r="DX82" s="41"/>
      <c r="DY82" s="41"/>
      <c r="DZ82" s="41"/>
      <c r="EA82" s="41"/>
      <c r="EB82" s="41"/>
      <c r="EC82" s="41"/>
      <c r="ED82" s="41"/>
      <c r="EE82" s="41"/>
      <c r="EF82" s="41"/>
      <c r="EG82" s="41"/>
      <c r="EH82" s="41"/>
      <c r="EI82" s="41"/>
      <c r="EJ82" s="41"/>
      <c r="EK82" s="41"/>
      <c r="EL82" s="41"/>
      <c r="EM82" s="41"/>
      <c r="EN82" s="41"/>
      <c r="EO82" s="41"/>
      <c r="EP82" s="41"/>
      <c r="EQ82" s="41"/>
      <c r="ER82" s="41"/>
      <c r="ES82" s="41"/>
      <c r="ET82" s="41"/>
      <c r="EU82" s="41"/>
      <c r="EV82" s="41"/>
      <c r="EW82" s="41"/>
      <c r="EX82" s="41"/>
      <c r="EY82" s="41"/>
      <c r="EZ82" s="41"/>
      <c r="FA82" s="41"/>
      <c r="FB82" s="41"/>
      <c r="FC82" s="41"/>
      <c r="FD82" s="41"/>
      <c r="FE82" s="41"/>
      <c r="FF82" s="41"/>
      <c r="FG82" s="41"/>
      <c r="FH82" s="41"/>
      <c r="FI82" s="41"/>
      <c r="FJ82" s="41"/>
      <c r="FK82" s="41"/>
      <c r="FL82" s="41"/>
      <c r="FM82" s="41"/>
      <c r="FN82" s="41"/>
      <c r="FO82" s="41"/>
      <c r="FP82" s="41"/>
      <c r="FQ82" s="41"/>
      <c r="FR82" s="41"/>
      <c r="FS82" s="41"/>
      <c r="FT82" s="41"/>
      <c r="FU82" s="41"/>
      <c r="FV82" s="41"/>
      <c r="FW82" s="41"/>
      <c r="FX82" s="41"/>
      <c r="FY82" s="41"/>
      <c r="FZ82" s="41"/>
      <c r="GA82" s="41"/>
      <c r="GB82" s="41"/>
      <c r="GC82" s="41"/>
      <c r="GD82" s="41"/>
      <c r="GE82" s="41"/>
      <c r="GF82" s="41"/>
      <c r="GG82" s="41"/>
      <c r="GH82" s="41"/>
      <c r="GI82" s="41"/>
      <c r="GJ82" s="41"/>
      <c r="GK82" s="41"/>
      <c r="GL82" s="41"/>
      <c r="GM82" s="41"/>
      <c r="GN82" s="41"/>
      <c r="GO82" s="41"/>
      <c r="GP82" s="41"/>
      <c r="GQ82" s="41"/>
      <c r="GR82" s="41"/>
      <c r="GS82" s="41"/>
      <c r="GT82" s="41"/>
      <c r="GU82" s="41"/>
      <c r="GV82" s="41"/>
      <c r="GW82" s="41"/>
      <c r="GX82" s="41"/>
      <c r="GY82" s="41"/>
      <c r="GZ82" s="41"/>
      <c r="HA82" s="41"/>
      <c r="HB82" s="41"/>
      <c r="HC82" s="41"/>
      <c r="HD82" s="41"/>
      <c r="HE82" s="41"/>
      <c r="HF82" s="41"/>
      <c r="HG82" s="41"/>
      <c r="HH82" s="41"/>
      <c r="HI82" s="41"/>
      <c r="HJ82" s="41"/>
      <c r="HK82" s="41"/>
      <c r="HL82" s="41"/>
      <c r="HM82" s="41"/>
      <c r="HN82" s="41"/>
      <c r="HO82" s="41"/>
      <c r="HP82" s="41"/>
      <c r="HQ82" s="41"/>
      <c r="HR82" s="41"/>
      <c r="HS82" s="41"/>
      <c r="HT82" s="41"/>
      <c r="HU82" s="41"/>
      <c r="HV82" s="41"/>
      <c r="HW82" s="41"/>
      <c r="HX82" s="41"/>
      <c r="HY82" s="41"/>
      <c r="HZ82" s="41"/>
      <c r="IA82" s="41"/>
    </row>
    <row r="83" spans="1:241" s="27" customFormat="1" ht="48" x14ac:dyDescent="0.25">
      <c r="A83" s="318">
        <f t="shared" si="7"/>
        <v>16</v>
      </c>
      <c r="B83" s="325" t="s">
        <v>331</v>
      </c>
      <c r="C83" s="318">
        <v>1</v>
      </c>
      <c r="D83" s="318" t="s">
        <v>5</v>
      </c>
      <c r="E83" s="326">
        <v>87910</v>
      </c>
      <c r="F83" s="320">
        <f t="shared" si="8"/>
        <v>87910</v>
      </c>
      <c r="G83" s="315" t="s">
        <v>379</v>
      </c>
      <c r="H83" s="25"/>
      <c r="I83" s="25"/>
      <c r="J83" s="20">
        <v>1</v>
      </c>
      <c r="K83" s="20">
        <v>0</v>
      </c>
      <c r="L83" s="20"/>
      <c r="M83" s="20"/>
      <c r="N83" s="32">
        <f t="shared" si="9"/>
        <v>1</v>
      </c>
      <c r="O83" s="297"/>
      <c r="Q83" s="23">
        <v>1</v>
      </c>
      <c r="R83" s="20">
        <v>1</v>
      </c>
      <c r="S83" s="20">
        <v>0</v>
      </c>
      <c r="T83" s="20"/>
      <c r="U83" s="20"/>
      <c r="V83" s="23">
        <f t="shared" si="10"/>
        <v>1</v>
      </c>
    </row>
    <row r="84" spans="1:241" s="297" customFormat="1" ht="72" x14ac:dyDescent="0.25">
      <c r="A84" s="318">
        <f t="shared" si="7"/>
        <v>17</v>
      </c>
      <c r="B84" s="319" t="s">
        <v>332</v>
      </c>
      <c r="C84" s="318">
        <f>1000+700</f>
        <v>1700</v>
      </c>
      <c r="D84" s="315" t="s">
        <v>333</v>
      </c>
      <c r="E84" s="345">
        <v>41.3</v>
      </c>
      <c r="F84" s="320">
        <f t="shared" si="8"/>
        <v>70210</v>
      </c>
      <c r="G84" s="315" t="s">
        <v>379</v>
      </c>
      <c r="H84" s="25"/>
      <c r="I84" s="25"/>
      <c r="J84" s="20">
        <v>400</v>
      </c>
      <c r="K84" s="289">
        <v>300</v>
      </c>
      <c r="L84" s="289"/>
      <c r="M84" s="289"/>
      <c r="N84" s="32">
        <f t="shared" si="9"/>
        <v>700</v>
      </c>
      <c r="O84" s="29"/>
      <c r="Q84" s="23">
        <v>700</v>
      </c>
      <c r="R84" s="289">
        <v>400</v>
      </c>
      <c r="S84" s="289">
        <v>300</v>
      </c>
      <c r="T84" s="289"/>
      <c r="U84" s="289"/>
      <c r="V84" s="23">
        <f t="shared" si="10"/>
        <v>700</v>
      </c>
    </row>
    <row r="85" spans="1:241" s="29" customFormat="1" ht="48" x14ac:dyDescent="0.25">
      <c r="A85" s="318">
        <f t="shared" si="7"/>
        <v>18</v>
      </c>
      <c r="B85" s="319" t="s">
        <v>334</v>
      </c>
      <c r="C85" s="318">
        <v>6</v>
      </c>
      <c r="D85" s="318" t="s">
        <v>178</v>
      </c>
      <c r="E85" s="318">
        <v>1200</v>
      </c>
      <c r="F85" s="320">
        <f t="shared" si="8"/>
        <v>7200</v>
      </c>
      <c r="G85" s="315" t="s">
        <v>379</v>
      </c>
      <c r="H85" s="25"/>
      <c r="I85" s="25"/>
      <c r="J85" s="20">
        <v>6</v>
      </c>
      <c r="K85" s="20">
        <v>0</v>
      </c>
      <c r="L85" s="20"/>
      <c r="M85" s="20"/>
      <c r="N85" s="32">
        <f t="shared" si="9"/>
        <v>6</v>
      </c>
      <c r="O85" s="25"/>
      <c r="Q85" s="23">
        <v>6</v>
      </c>
      <c r="R85" s="20">
        <v>6</v>
      </c>
      <c r="S85" s="20">
        <v>0</v>
      </c>
      <c r="T85" s="20"/>
      <c r="U85" s="20"/>
      <c r="V85" s="23">
        <f t="shared" si="10"/>
        <v>6</v>
      </c>
    </row>
    <row r="86" spans="1:241" ht="24" x14ac:dyDescent="0.2">
      <c r="A86" s="318">
        <f t="shared" si="7"/>
        <v>19</v>
      </c>
      <c r="B86" s="319" t="s">
        <v>335</v>
      </c>
      <c r="C86" s="318">
        <v>988</v>
      </c>
      <c r="D86" s="318" t="s">
        <v>178</v>
      </c>
      <c r="E86" s="318">
        <v>10.75</v>
      </c>
      <c r="F86" s="320">
        <f t="shared" si="8"/>
        <v>10621</v>
      </c>
      <c r="G86" s="315" t="s">
        <v>379</v>
      </c>
      <c r="H86" s="25"/>
      <c r="I86" s="25"/>
      <c r="J86" s="20">
        <v>500</v>
      </c>
      <c r="K86" s="20">
        <v>0</v>
      </c>
      <c r="L86" s="20">
        <v>488</v>
      </c>
      <c r="M86" s="20"/>
      <c r="N86" s="32">
        <f t="shared" si="9"/>
        <v>988</v>
      </c>
      <c r="O86" s="25"/>
      <c r="P86" s="25"/>
      <c r="Q86" s="23">
        <v>988</v>
      </c>
      <c r="R86" s="20">
        <v>500</v>
      </c>
      <c r="S86" s="20">
        <v>0</v>
      </c>
      <c r="T86" s="20">
        <v>488</v>
      </c>
      <c r="U86" s="20"/>
      <c r="V86" s="23">
        <f t="shared" si="10"/>
        <v>988</v>
      </c>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5"/>
      <c r="GA86" s="25"/>
      <c r="GB86" s="25"/>
      <c r="GC86" s="25"/>
      <c r="GD86" s="25"/>
      <c r="GE86" s="25"/>
      <c r="GF86" s="25"/>
      <c r="GG86" s="25"/>
      <c r="GH86" s="25"/>
      <c r="GI86" s="25"/>
      <c r="GJ86" s="25"/>
      <c r="GK86" s="25"/>
      <c r="GL86" s="25"/>
      <c r="GM86" s="25"/>
      <c r="GN86" s="25"/>
      <c r="GO86" s="25"/>
      <c r="GP86" s="25"/>
      <c r="GQ86" s="25"/>
      <c r="GR86" s="25"/>
      <c r="GS86" s="25"/>
      <c r="GT86" s="25"/>
      <c r="GU86" s="25"/>
      <c r="GV86" s="25"/>
      <c r="GW86" s="25"/>
      <c r="GX86" s="25"/>
      <c r="GY86" s="25"/>
      <c r="GZ86" s="25"/>
      <c r="HA86" s="25"/>
      <c r="HB86" s="25"/>
      <c r="HC86" s="25"/>
      <c r="HD86" s="25"/>
      <c r="HE86" s="25"/>
      <c r="HF86" s="25"/>
      <c r="HG86" s="25"/>
      <c r="HH86" s="25"/>
      <c r="HI86" s="25"/>
      <c r="HJ86" s="25"/>
      <c r="HK86" s="25"/>
      <c r="HL86" s="25"/>
      <c r="HM86" s="25"/>
      <c r="HN86" s="25"/>
      <c r="HO86" s="25"/>
      <c r="HP86" s="25"/>
      <c r="HQ86" s="25"/>
      <c r="HR86" s="25"/>
      <c r="HS86" s="25"/>
      <c r="HT86" s="25"/>
      <c r="HU86" s="25"/>
      <c r="HV86" s="25"/>
      <c r="HW86" s="25"/>
      <c r="HX86" s="25"/>
      <c r="HY86" s="25"/>
      <c r="HZ86" s="25"/>
      <c r="IA86" s="25"/>
      <c r="IB86" s="25"/>
      <c r="IC86" s="25"/>
      <c r="ID86" s="25"/>
      <c r="IE86" s="25"/>
      <c r="IF86" s="25"/>
      <c r="IG86" s="25"/>
    </row>
    <row r="87" spans="1:241" ht="24" x14ac:dyDescent="0.2">
      <c r="A87" s="318">
        <f t="shared" si="7"/>
        <v>20</v>
      </c>
      <c r="B87" s="319" t="s">
        <v>177</v>
      </c>
      <c r="C87" s="318">
        <v>7</v>
      </c>
      <c r="D87" s="318" t="s">
        <v>178</v>
      </c>
      <c r="E87" s="318">
        <v>545</v>
      </c>
      <c r="F87" s="320">
        <f t="shared" si="8"/>
        <v>3815</v>
      </c>
      <c r="G87" s="315" t="s">
        <v>379</v>
      </c>
      <c r="H87" s="25"/>
      <c r="I87" s="25"/>
      <c r="J87" s="20">
        <v>4</v>
      </c>
      <c r="K87" s="20">
        <v>0</v>
      </c>
      <c r="L87" s="20"/>
      <c r="M87" s="20">
        <v>3</v>
      </c>
      <c r="N87" s="32">
        <f t="shared" si="9"/>
        <v>7</v>
      </c>
      <c r="O87" s="25"/>
      <c r="P87" s="25"/>
      <c r="Q87" s="23">
        <v>7</v>
      </c>
      <c r="R87" s="20">
        <v>4</v>
      </c>
      <c r="S87" s="20">
        <v>0</v>
      </c>
      <c r="T87" s="20"/>
      <c r="U87" s="20">
        <v>3</v>
      </c>
      <c r="V87" s="23">
        <f t="shared" si="10"/>
        <v>7</v>
      </c>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25"/>
      <c r="EJ87" s="25"/>
      <c r="EK87" s="25"/>
      <c r="EL87" s="25"/>
      <c r="EM87" s="25"/>
      <c r="EN87" s="25"/>
      <c r="EO87" s="25"/>
      <c r="EP87" s="25"/>
      <c r="EQ87" s="25"/>
      <c r="ER87" s="25"/>
      <c r="ES87" s="25"/>
      <c r="ET87" s="25"/>
      <c r="EU87" s="25"/>
      <c r="EV87" s="25"/>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5"/>
      <c r="GA87" s="25"/>
      <c r="GB87" s="25"/>
      <c r="GC87" s="25"/>
      <c r="GD87" s="25"/>
      <c r="GE87" s="25"/>
      <c r="GF87" s="25"/>
      <c r="GG87" s="25"/>
      <c r="GH87" s="25"/>
      <c r="GI87" s="25"/>
      <c r="GJ87" s="25"/>
      <c r="GK87" s="25"/>
      <c r="GL87" s="25"/>
      <c r="GM87" s="25"/>
      <c r="GN87" s="25"/>
      <c r="GO87" s="25"/>
      <c r="GP87" s="25"/>
      <c r="GQ87" s="25"/>
      <c r="GR87" s="25"/>
      <c r="GS87" s="25"/>
      <c r="GT87" s="25"/>
      <c r="GU87" s="25"/>
      <c r="GV87" s="25"/>
      <c r="GW87" s="25"/>
      <c r="GX87" s="25"/>
      <c r="GY87" s="25"/>
      <c r="GZ87" s="25"/>
      <c r="HA87" s="25"/>
      <c r="HB87" s="25"/>
      <c r="HC87" s="25"/>
      <c r="HD87" s="25"/>
      <c r="HE87" s="25"/>
      <c r="HF87" s="25"/>
      <c r="HG87" s="25"/>
      <c r="HH87" s="25"/>
      <c r="HI87" s="25"/>
      <c r="HJ87" s="25"/>
      <c r="HK87" s="25"/>
      <c r="HL87" s="25"/>
      <c r="HM87" s="25"/>
      <c r="HN87" s="25"/>
      <c r="HO87" s="25"/>
      <c r="HP87" s="25"/>
      <c r="HQ87" s="25"/>
      <c r="HR87" s="25"/>
      <c r="HS87" s="25"/>
      <c r="HT87" s="25"/>
      <c r="HU87" s="25"/>
      <c r="HV87" s="25"/>
      <c r="HW87" s="25"/>
      <c r="HX87" s="25"/>
      <c r="HY87" s="25"/>
      <c r="HZ87" s="25"/>
      <c r="IA87" s="25"/>
      <c r="IB87" s="25"/>
      <c r="IC87" s="25"/>
      <c r="ID87" s="25"/>
      <c r="IE87" s="25"/>
      <c r="IF87" s="25"/>
      <c r="IG87" s="25"/>
    </row>
    <row r="88" spans="1:241" ht="24" x14ac:dyDescent="0.2">
      <c r="A88" s="318">
        <f t="shared" si="7"/>
        <v>21</v>
      </c>
      <c r="B88" s="319" t="s">
        <v>337</v>
      </c>
      <c r="C88" s="318">
        <v>4</v>
      </c>
      <c r="D88" s="318" t="s">
        <v>178</v>
      </c>
      <c r="E88" s="318">
        <v>728</v>
      </c>
      <c r="F88" s="320">
        <f t="shared" si="8"/>
        <v>2912</v>
      </c>
      <c r="G88" s="315" t="s">
        <v>379</v>
      </c>
      <c r="H88" s="25"/>
      <c r="I88" s="25"/>
      <c r="J88" s="20">
        <v>4</v>
      </c>
      <c r="K88" s="20">
        <v>0</v>
      </c>
      <c r="L88" s="20"/>
      <c r="M88" s="20"/>
      <c r="N88" s="32">
        <f t="shared" si="9"/>
        <v>4</v>
      </c>
      <c r="O88" s="20"/>
      <c r="P88" s="25"/>
      <c r="Q88" s="23">
        <v>4</v>
      </c>
      <c r="R88" s="20">
        <v>4</v>
      </c>
      <c r="S88" s="20">
        <v>0</v>
      </c>
      <c r="T88" s="20"/>
      <c r="U88" s="20"/>
      <c r="V88" s="23">
        <f t="shared" si="10"/>
        <v>4</v>
      </c>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25"/>
      <c r="EJ88" s="25"/>
      <c r="EK88" s="25"/>
      <c r="EL88" s="25"/>
      <c r="EM88" s="25"/>
      <c r="EN88" s="25"/>
      <c r="EO88" s="25"/>
      <c r="EP88" s="25"/>
      <c r="EQ88" s="25"/>
      <c r="ER88" s="25"/>
      <c r="ES88" s="25"/>
      <c r="ET88" s="25"/>
      <c r="EU88" s="25"/>
      <c r="EV88" s="25"/>
      <c r="EW88" s="25"/>
      <c r="EX88" s="25"/>
      <c r="EY88" s="25"/>
      <c r="EZ88" s="25"/>
      <c r="FA88" s="25"/>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5"/>
      <c r="GA88" s="25"/>
      <c r="GB88" s="25"/>
      <c r="GC88" s="25"/>
      <c r="GD88" s="25"/>
      <c r="GE88" s="25"/>
      <c r="GF88" s="25"/>
      <c r="GG88" s="25"/>
      <c r="GH88" s="25"/>
      <c r="GI88" s="25"/>
      <c r="GJ88" s="25"/>
      <c r="GK88" s="25"/>
      <c r="GL88" s="25"/>
      <c r="GM88" s="25"/>
      <c r="GN88" s="25"/>
      <c r="GO88" s="25"/>
      <c r="GP88" s="25"/>
      <c r="GQ88" s="25"/>
      <c r="GR88" s="25"/>
      <c r="GS88" s="25"/>
      <c r="GT88" s="25"/>
      <c r="GU88" s="25"/>
      <c r="GV88" s="25"/>
      <c r="GW88" s="25"/>
      <c r="GX88" s="25"/>
      <c r="GY88" s="25"/>
      <c r="GZ88" s="25"/>
      <c r="HA88" s="25"/>
      <c r="HB88" s="25"/>
      <c r="HC88" s="25"/>
      <c r="HD88" s="25"/>
      <c r="HE88" s="25"/>
      <c r="HF88" s="25"/>
      <c r="HG88" s="25"/>
      <c r="HH88" s="25"/>
      <c r="HI88" s="25"/>
      <c r="HJ88" s="25"/>
      <c r="HK88" s="25"/>
      <c r="HL88" s="25"/>
      <c r="HM88" s="25"/>
      <c r="HN88" s="25"/>
      <c r="HO88" s="25"/>
      <c r="HP88" s="25"/>
      <c r="HQ88" s="25"/>
      <c r="HR88" s="25"/>
      <c r="HS88" s="25"/>
      <c r="HT88" s="25"/>
      <c r="HU88" s="25"/>
      <c r="HV88" s="25"/>
      <c r="HW88" s="25"/>
      <c r="HX88" s="25"/>
      <c r="HY88" s="25"/>
      <c r="HZ88" s="25"/>
      <c r="IA88" s="25"/>
      <c r="IB88" s="25"/>
      <c r="IC88" s="25"/>
      <c r="ID88" s="25"/>
      <c r="IE88" s="25"/>
      <c r="IF88" s="25"/>
      <c r="IG88" s="25"/>
    </row>
    <row r="89" spans="1:241" s="20" customFormat="1" ht="36" x14ac:dyDescent="0.2">
      <c r="A89" s="318">
        <f t="shared" si="7"/>
        <v>22</v>
      </c>
      <c r="B89" s="319" t="s">
        <v>338</v>
      </c>
      <c r="C89" s="315">
        <v>1400</v>
      </c>
      <c r="D89" s="315" t="s">
        <v>45</v>
      </c>
      <c r="E89" s="315">
        <v>42</v>
      </c>
      <c r="F89" s="320">
        <f t="shared" si="8"/>
        <v>58800</v>
      </c>
      <c r="G89" s="315" t="s">
        <v>379</v>
      </c>
      <c r="H89" s="25"/>
      <c r="I89" s="25"/>
      <c r="J89" s="20">
        <v>400</v>
      </c>
      <c r="K89" s="20">
        <v>0</v>
      </c>
      <c r="L89" s="20">
        <v>800</v>
      </c>
      <c r="M89" s="20">
        <v>200</v>
      </c>
      <c r="N89" s="32">
        <f t="shared" si="9"/>
        <v>1400</v>
      </c>
      <c r="O89" s="41"/>
      <c r="Q89" s="20">
        <v>1400</v>
      </c>
      <c r="R89" s="20">
        <v>400</v>
      </c>
      <c r="S89" s="20">
        <v>0</v>
      </c>
      <c r="T89" s="20">
        <v>800</v>
      </c>
      <c r="U89" s="20">
        <v>200</v>
      </c>
      <c r="V89" s="20">
        <f t="shared" si="10"/>
        <v>1400</v>
      </c>
    </row>
    <row r="90" spans="1:241" s="25" customFormat="1" ht="24" x14ac:dyDescent="0.25">
      <c r="A90" s="318">
        <f t="shared" si="7"/>
        <v>23</v>
      </c>
      <c r="B90" s="319" t="s">
        <v>348</v>
      </c>
      <c r="C90" s="318">
        <v>3</v>
      </c>
      <c r="D90" s="318" t="s">
        <v>2</v>
      </c>
      <c r="E90" s="328">
        <v>2301</v>
      </c>
      <c r="F90" s="320">
        <f t="shared" si="8"/>
        <v>6903</v>
      </c>
      <c r="G90" s="315" t="s">
        <v>379</v>
      </c>
      <c r="J90" s="20">
        <v>3</v>
      </c>
      <c r="K90" s="20">
        <v>0</v>
      </c>
      <c r="L90" s="20"/>
      <c r="M90" s="20"/>
      <c r="N90" s="32">
        <f t="shared" si="9"/>
        <v>3</v>
      </c>
      <c r="Q90" s="23">
        <v>3</v>
      </c>
      <c r="R90" s="20">
        <v>3</v>
      </c>
      <c r="S90" s="20">
        <v>0</v>
      </c>
      <c r="T90" s="20"/>
      <c r="U90" s="20"/>
      <c r="V90" s="23">
        <f t="shared" si="10"/>
        <v>3</v>
      </c>
    </row>
    <row r="91" spans="1:241" s="25" customFormat="1" x14ac:dyDescent="0.25">
      <c r="A91" s="318">
        <f t="shared" si="7"/>
        <v>24</v>
      </c>
      <c r="B91" s="329" t="s">
        <v>350</v>
      </c>
      <c r="C91" s="318">
        <v>6</v>
      </c>
      <c r="D91" s="318" t="s">
        <v>5</v>
      </c>
      <c r="E91" s="328">
        <v>811</v>
      </c>
      <c r="F91" s="320">
        <f t="shared" si="8"/>
        <v>4866</v>
      </c>
      <c r="G91" s="315" t="s">
        <v>379</v>
      </c>
      <c r="J91" s="20">
        <v>6</v>
      </c>
      <c r="K91" s="20">
        <v>0</v>
      </c>
      <c r="L91" s="20"/>
      <c r="M91" s="20"/>
      <c r="N91" s="32">
        <f t="shared" si="9"/>
        <v>6</v>
      </c>
      <c r="Q91" s="23">
        <v>6</v>
      </c>
      <c r="R91" s="20">
        <v>6</v>
      </c>
      <c r="S91" s="20">
        <v>0</v>
      </c>
      <c r="T91" s="20"/>
      <c r="U91" s="20"/>
      <c r="V91" s="23">
        <f t="shared" si="10"/>
        <v>6</v>
      </c>
    </row>
    <row r="92" spans="1:241" s="25" customFormat="1" x14ac:dyDescent="0.25">
      <c r="A92" s="318">
        <f t="shared" si="7"/>
        <v>25</v>
      </c>
      <c r="B92" s="329" t="s">
        <v>351</v>
      </c>
      <c r="C92" s="318">
        <v>7</v>
      </c>
      <c r="D92" s="318" t="s">
        <v>5</v>
      </c>
      <c r="E92" s="328">
        <v>650</v>
      </c>
      <c r="F92" s="320">
        <f t="shared" si="8"/>
        <v>4550</v>
      </c>
      <c r="G92" s="315" t="s">
        <v>379</v>
      </c>
      <c r="J92" s="20">
        <v>7</v>
      </c>
      <c r="K92" s="20">
        <v>0</v>
      </c>
      <c r="L92" s="20"/>
      <c r="M92" s="20"/>
      <c r="N92" s="32">
        <f t="shared" si="9"/>
        <v>7</v>
      </c>
      <c r="O92" s="28"/>
      <c r="Q92" s="23">
        <v>7</v>
      </c>
      <c r="R92" s="20">
        <v>7</v>
      </c>
      <c r="S92" s="20">
        <v>0</v>
      </c>
      <c r="T92" s="20"/>
      <c r="U92" s="20"/>
      <c r="V92" s="23">
        <f t="shared" si="10"/>
        <v>7</v>
      </c>
    </row>
    <row r="93" spans="1:241" s="28" customFormat="1" ht="24" x14ac:dyDescent="0.25">
      <c r="A93" s="318">
        <f t="shared" si="7"/>
        <v>26</v>
      </c>
      <c r="B93" s="319" t="s">
        <v>352</v>
      </c>
      <c r="C93" s="318">
        <v>1</v>
      </c>
      <c r="D93" s="318" t="s">
        <v>5</v>
      </c>
      <c r="E93" s="328">
        <v>6100</v>
      </c>
      <c r="F93" s="320">
        <f t="shared" si="8"/>
        <v>6100</v>
      </c>
      <c r="G93" s="315" t="s">
        <v>379</v>
      </c>
      <c r="H93" s="25"/>
      <c r="I93" s="25"/>
      <c r="J93" s="20">
        <v>1</v>
      </c>
      <c r="K93" s="20">
        <v>0</v>
      </c>
      <c r="L93" s="20"/>
      <c r="M93" s="20"/>
      <c r="N93" s="32">
        <f t="shared" si="9"/>
        <v>1</v>
      </c>
      <c r="Q93" s="23">
        <v>1</v>
      </c>
      <c r="R93" s="20">
        <v>1</v>
      </c>
      <c r="S93" s="20">
        <v>0</v>
      </c>
      <c r="T93" s="20"/>
      <c r="U93" s="20"/>
      <c r="V93" s="23">
        <f t="shared" si="10"/>
        <v>1</v>
      </c>
    </row>
    <row r="94" spans="1:241" ht="36" x14ac:dyDescent="0.2">
      <c r="A94" s="318">
        <f t="shared" si="7"/>
        <v>27</v>
      </c>
      <c r="B94" s="319" t="s">
        <v>341</v>
      </c>
      <c r="C94" s="318">
        <v>260</v>
      </c>
      <c r="D94" s="315" t="s">
        <v>45</v>
      </c>
      <c r="E94" s="335">
        <v>380</v>
      </c>
      <c r="F94" s="320">
        <f t="shared" si="8"/>
        <v>98800</v>
      </c>
      <c r="G94" s="315" t="s">
        <v>379</v>
      </c>
      <c r="H94" s="25"/>
      <c r="I94" s="25"/>
      <c r="J94" s="20">
        <v>50</v>
      </c>
      <c r="K94" s="20">
        <v>30</v>
      </c>
      <c r="L94" s="20">
        <v>150</v>
      </c>
      <c r="M94" s="20">
        <v>30</v>
      </c>
      <c r="N94" s="32">
        <f t="shared" si="9"/>
        <v>260</v>
      </c>
      <c r="Q94" s="23">
        <v>260</v>
      </c>
      <c r="R94" s="20">
        <v>50</v>
      </c>
      <c r="S94" s="20">
        <v>30</v>
      </c>
      <c r="T94" s="20">
        <v>150</v>
      </c>
      <c r="U94" s="20">
        <v>30</v>
      </c>
      <c r="V94" s="23">
        <f t="shared" si="10"/>
        <v>260</v>
      </c>
    </row>
    <row r="95" spans="1:241" x14ac:dyDescent="0.2">
      <c r="A95" s="318"/>
      <c r="B95" s="319"/>
      <c r="C95" s="318"/>
      <c r="D95" s="318"/>
      <c r="E95" s="318"/>
      <c r="F95" s="320"/>
      <c r="G95" s="315"/>
      <c r="H95" s="25"/>
      <c r="I95" s="25"/>
      <c r="J95" s="20"/>
      <c r="K95" s="20"/>
      <c r="L95" s="20"/>
      <c r="M95" s="20"/>
      <c r="N95" s="32"/>
      <c r="O95" s="25"/>
      <c r="P95" s="25"/>
      <c r="R95" s="20"/>
      <c r="S95" s="20"/>
      <c r="T95" s="20"/>
      <c r="U95" s="20"/>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5"/>
      <c r="FT95" s="25"/>
      <c r="FU95" s="25"/>
      <c r="FV95" s="25"/>
      <c r="FW95" s="25"/>
      <c r="FX95" s="25"/>
      <c r="FY95" s="25"/>
      <c r="FZ95" s="25"/>
      <c r="GA95" s="25"/>
      <c r="GB95" s="25"/>
      <c r="GC95" s="25"/>
      <c r="GD95" s="25"/>
      <c r="GE95" s="25"/>
      <c r="GF95" s="25"/>
      <c r="GG95" s="25"/>
      <c r="GH95" s="25"/>
      <c r="GI95" s="25"/>
      <c r="GJ95" s="25"/>
      <c r="GK95" s="25"/>
      <c r="GL95" s="25"/>
      <c r="GM95" s="25"/>
      <c r="GN95" s="25"/>
      <c r="GO95" s="25"/>
      <c r="GP95" s="25"/>
      <c r="GQ95" s="25"/>
      <c r="GR95" s="25"/>
      <c r="GS95" s="25"/>
      <c r="GT95" s="25"/>
      <c r="GU95" s="25"/>
      <c r="GV95" s="25"/>
      <c r="GW95" s="25"/>
      <c r="GX95" s="25"/>
      <c r="GY95" s="25"/>
      <c r="GZ95" s="25"/>
      <c r="HA95" s="25"/>
      <c r="HB95" s="25"/>
      <c r="HC95" s="25"/>
      <c r="HD95" s="25"/>
      <c r="HE95" s="25"/>
      <c r="HF95" s="25"/>
      <c r="HG95" s="25"/>
      <c r="HH95" s="25"/>
      <c r="HI95" s="25"/>
      <c r="HJ95" s="25"/>
      <c r="HK95" s="25"/>
      <c r="HL95" s="25"/>
      <c r="HM95" s="25"/>
      <c r="HN95" s="25"/>
      <c r="HO95" s="25"/>
      <c r="HP95" s="25"/>
      <c r="HQ95" s="25"/>
      <c r="HR95" s="25"/>
      <c r="HS95" s="25"/>
      <c r="HT95" s="25"/>
      <c r="HU95" s="25"/>
      <c r="HV95" s="25"/>
      <c r="HW95" s="25"/>
      <c r="HX95" s="25"/>
      <c r="HY95" s="25"/>
      <c r="HZ95" s="25"/>
      <c r="IA95" s="25"/>
      <c r="IB95" s="25"/>
      <c r="IC95" s="25"/>
      <c r="ID95" s="25"/>
      <c r="IE95" s="25"/>
      <c r="IF95" s="25"/>
      <c r="IG95" s="25"/>
    </row>
    <row r="96" spans="1:241" s="296" customFormat="1" x14ac:dyDescent="0.2">
      <c r="A96" s="316"/>
      <c r="B96" s="321" t="s">
        <v>242</v>
      </c>
      <c r="C96" s="324"/>
      <c r="D96" s="316"/>
      <c r="E96" s="316"/>
      <c r="F96" s="316">
        <f>SUM(F68:F95)</f>
        <v>1892829.21</v>
      </c>
      <c r="G96" s="324"/>
      <c r="H96" s="294"/>
      <c r="I96" s="294"/>
      <c r="J96" s="46"/>
      <c r="K96" s="46"/>
      <c r="L96" s="46"/>
      <c r="M96" s="46"/>
      <c r="N96" s="31"/>
      <c r="O96" s="286"/>
      <c r="Q96" s="53"/>
      <c r="R96" s="46"/>
      <c r="S96" s="46"/>
      <c r="T96" s="46"/>
      <c r="U96" s="46"/>
      <c r="V96" s="53"/>
    </row>
    <row r="97" spans="1:241" s="290" customFormat="1" x14ac:dyDescent="0.25">
      <c r="A97" s="316" t="s">
        <v>250</v>
      </c>
      <c r="B97" s="317" t="s">
        <v>404</v>
      </c>
      <c r="C97" s="316"/>
      <c r="D97" s="316"/>
      <c r="E97" s="316"/>
      <c r="F97" s="316"/>
      <c r="G97" s="324"/>
      <c r="H97" s="294"/>
      <c r="I97" s="294"/>
      <c r="J97" s="46"/>
      <c r="K97" s="46"/>
      <c r="L97" s="46"/>
      <c r="M97" s="46"/>
      <c r="N97" s="31"/>
      <c r="O97" s="29"/>
      <c r="Q97" s="46"/>
      <c r="R97" s="46"/>
      <c r="S97" s="46"/>
      <c r="T97" s="46"/>
      <c r="U97" s="46"/>
      <c r="V97" s="46"/>
    </row>
    <row r="98" spans="1:241" x14ac:dyDescent="0.2">
      <c r="A98" s="318"/>
      <c r="B98" s="319"/>
      <c r="C98" s="318"/>
      <c r="D98" s="318"/>
      <c r="E98" s="318"/>
      <c r="F98" s="320"/>
      <c r="G98" s="315"/>
      <c r="H98" s="25"/>
      <c r="I98" s="25"/>
      <c r="J98" s="20"/>
      <c r="K98" s="20"/>
      <c r="L98" s="20"/>
      <c r="M98" s="20"/>
      <c r="N98" s="32"/>
      <c r="O98" s="25"/>
      <c r="P98" s="25"/>
      <c r="R98" s="20"/>
      <c r="S98" s="20"/>
      <c r="T98" s="20"/>
      <c r="U98" s="20"/>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5"/>
      <c r="FT98" s="25"/>
      <c r="FU98" s="25"/>
      <c r="FV98" s="25"/>
      <c r="FW98" s="25"/>
      <c r="FX98" s="25"/>
      <c r="FY98" s="25"/>
      <c r="FZ98" s="25"/>
      <c r="GA98" s="25"/>
      <c r="GB98" s="25"/>
      <c r="GC98" s="25"/>
      <c r="GD98" s="25"/>
      <c r="GE98" s="25"/>
      <c r="GF98" s="25"/>
      <c r="GG98" s="25"/>
      <c r="GH98" s="25"/>
      <c r="GI98" s="25"/>
      <c r="GJ98" s="25"/>
      <c r="GK98" s="25"/>
      <c r="GL98" s="25"/>
      <c r="GM98" s="25"/>
      <c r="GN98" s="25"/>
      <c r="GO98" s="25"/>
      <c r="GP98" s="25"/>
      <c r="GQ98" s="25"/>
      <c r="GR98" s="25"/>
      <c r="GS98" s="25"/>
      <c r="GT98" s="25"/>
      <c r="GU98" s="25"/>
      <c r="GV98" s="25"/>
      <c r="GW98" s="25"/>
      <c r="GX98" s="25"/>
      <c r="GY98" s="25"/>
      <c r="GZ98" s="25"/>
      <c r="HA98" s="25"/>
      <c r="HB98" s="25"/>
      <c r="HC98" s="25"/>
      <c r="HD98" s="25"/>
      <c r="HE98" s="25"/>
      <c r="HF98" s="25"/>
      <c r="HG98" s="25"/>
      <c r="HH98" s="25"/>
      <c r="HI98" s="25"/>
      <c r="HJ98" s="25"/>
      <c r="HK98" s="25"/>
      <c r="HL98" s="25"/>
      <c r="HM98" s="25"/>
      <c r="HN98" s="25"/>
      <c r="HO98" s="25"/>
      <c r="HP98" s="25"/>
      <c r="HQ98" s="25"/>
      <c r="HR98" s="25"/>
      <c r="HS98" s="25"/>
      <c r="HT98" s="25"/>
      <c r="HU98" s="25"/>
      <c r="HV98" s="25"/>
      <c r="HW98" s="25"/>
      <c r="HX98" s="25"/>
      <c r="HY98" s="25"/>
      <c r="HZ98" s="25"/>
      <c r="IA98" s="25"/>
      <c r="IB98" s="25"/>
      <c r="IC98" s="25"/>
      <c r="ID98" s="25"/>
      <c r="IE98" s="25"/>
      <c r="IF98" s="25"/>
      <c r="IG98" s="25"/>
    </row>
    <row r="99" spans="1:241" s="29" customFormat="1" ht="38.25" x14ac:dyDescent="0.25">
      <c r="A99" s="318">
        <v>1</v>
      </c>
      <c r="B99" s="342" t="s">
        <v>320</v>
      </c>
      <c r="C99" s="318">
        <f>60+108</f>
        <v>168</v>
      </c>
      <c r="D99" s="315" t="s">
        <v>291</v>
      </c>
      <c r="E99" s="326">
        <v>88.5</v>
      </c>
      <c r="F99" s="320">
        <f t="shared" si="4"/>
        <v>14868</v>
      </c>
      <c r="G99" s="315" t="s">
        <v>379</v>
      </c>
      <c r="H99" s="25"/>
      <c r="I99" s="25"/>
      <c r="J99" s="20">
        <v>108</v>
      </c>
      <c r="K99" s="20">
        <v>0</v>
      </c>
      <c r="L99" s="20"/>
      <c r="M99" s="20"/>
      <c r="N99" s="32">
        <f t="shared" si="5"/>
        <v>108</v>
      </c>
      <c r="Q99" s="23">
        <v>108</v>
      </c>
      <c r="R99" s="20">
        <v>108</v>
      </c>
      <c r="S99" s="20">
        <v>0</v>
      </c>
      <c r="T99" s="20"/>
      <c r="U99" s="20"/>
      <c r="V99" s="23">
        <f t="shared" si="6"/>
        <v>108</v>
      </c>
    </row>
    <row r="100" spans="1:241" ht="48" x14ac:dyDescent="0.2">
      <c r="A100" s="318">
        <f>A99+1</f>
        <v>2</v>
      </c>
      <c r="B100" s="325" t="s">
        <v>323</v>
      </c>
      <c r="C100" s="318">
        <v>68</v>
      </c>
      <c r="D100" s="315" t="s">
        <v>125</v>
      </c>
      <c r="E100" s="326">
        <v>250</v>
      </c>
      <c r="F100" s="320">
        <f t="shared" si="4"/>
        <v>17000</v>
      </c>
      <c r="G100" s="315" t="s">
        <v>379</v>
      </c>
      <c r="H100" s="25"/>
      <c r="I100" s="25"/>
      <c r="J100" s="20">
        <v>36</v>
      </c>
      <c r="K100" s="20">
        <v>4</v>
      </c>
      <c r="L100" s="20">
        <v>18</v>
      </c>
      <c r="M100" s="20">
        <v>10</v>
      </c>
      <c r="N100" s="32">
        <f t="shared" si="5"/>
        <v>68</v>
      </c>
      <c r="Q100" s="23">
        <v>68</v>
      </c>
      <c r="R100" s="20">
        <v>36</v>
      </c>
      <c r="S100" s="20">
        <v>4</v>
      </c>
      <c r="T100" s="20">
        <v>18</v>
      </c>
      <c r="U100" s="20">
        <v>10</v>
      </c>
      <c r="V100" s="23">
        <f t="shared" si="6"/>
        <v>68</v>
      </c>
    </row>
    <row r="101" spans="1:241" ht="24" x14ac:dyDescent="0.2">
      <c r="A101" s="318">
        <f t="shared" ref="A101:A159" si="11">A100+1</f>
        <v>3</v>
      </c>
      <c r="B101" s="319" t="s">
        <v>324</v>
      </c>
      <c r="C101" s="318">
        <v>1</v>
      </c>
      <c r="D101" s="315" t="s">
        <v>5</v>
      </c>
      <c r="E101" s="328">
        <v>2400</v>
      </c>
      <c r="F101" s="320">
        <f t="shared" si="4"/>
        <v>2400</v>
      </c>
      <c r="G101" s="315" t="s">
        <v>379</v>
      </c>
      <c r="H101" s="25"/>
      <c r="I101" s="25"/>
      <c r="J101" s="20">
        <v>1</v>
      </c>
      <c r="K101" s="20">
        <v>0</v>
      </c>
      <c r="L101" s="20"/>
      <c r="M101" s="20"/>
      <c r="N101" s="32">
        <f t="shared" si="5"/>
        <v>1</v>
      </c>
      <c r="Q101" s="23">
        <v>1</v>
      </c>
      <c r="R101" s="20">
        <v>1</v>
      </c>
      <c r="S101" s="20">
        <v>0</v>
      </c>
      <c r="T101" s="20"/>
      <c r="U101" s="20"/>
      <c r="V101" s="23">
        <f t="shared" si="6"/>
        <v>1</v>
      </c>
    </row>
    <row r="102" spans="1:241" ht="48" x14ac:dyDescent="0.2">
      <c r="A102" s="318">
        <f t="shared" si="11"/>
        <v>4</v>
      </c>
      <c r="B102" s="325" t="s">
        <v>406</v>
      </c>
      <c r="C102" s="318">
        <v>2</v>
      </c>
      <c r="D102" s="315" t="s">
        <v>5</v>
      </c>
      <c r="E102" s="328">
        <v>39325.769999999997</v>
      </c>
      <c r="F102" s="320">
        <f t="shared" si="4"/>
        <v>78651.539999999994</v>
      </c>
      <c r="G102" s="315" t="s">
        <v>379</v>
      </c>
      <c r="H102" s="25"/>
      <c r="I102" s="25"/>
      <c r="J102" s="20">
        <v>1</v>
      </c>
      <c r="K102" s="20">
        <v>0</v>
      </c>
      <c r="L102" s="20"/>
      <c r="M102" s="20"/>
      <c r="N102" s="32">
        <f t="shared" si="5"/>
        <v>1</v>
      </c>
      <c r="Q102" s="23">
        <v>1</v>
      </c>
      <c r="R102" s="20">
        <v>1</v>
      </c>
      <c r="S102" s="20">
        <v>0</v>
      </c>
      <c r="T102" s="20"/>
      <c r="U102" s="20"/>
      <c r="V102" s="23">
        <f t="shared" si="6"/>
        <v>1</v>
      </c>
    </row>
    <row r="103" spans="1:241" ht="24" x14ac:dyDescent="0.2">
      <c r="A103" s="318">
        <f t="shared" si="11"/>
        <v>5</v>
      </c>
      <c r="B103" s="325" t="s">
        <v>327</v>
      </c>
      <c r="C103" s="318">
        <v>2</v>
      </c>
      <c r="D103" s="315" t="s">
        <v>5</v>
      </c>
      <c r="E103" s="328">
        <v>7080</v>
      </c>
      <c r="F103" s="320">
        <f t="shared" si="4"/>
        <v>14160</v>
      </c>
      <c r="G103" s="315" t="s">
        <v>379</v>
      </c>
      <c r="H103" s="25"/>
      <c r="I103" s="25"/>
      <c r="J103" s="20">
        <v>1</v>
      </c>
      <c r="K103" s="20">
        <v>0</v>
      </c>
      <c r="L103" s="20"/>
      <c r="M103" s="20"/>
      <c r="N103" s="32">
        <f t="shared" si="5"/>
        <v>1</v>
      </c>
      <c r="O103" s="28"/>
      <c r="Q103" s="23">
        <v>1</v>
      </c>
      <c r="R103" s="20">
        <v>1</v>
      </c>
      <c r="S103" s="20">
        <v>0</v>
      </c>
      <c r="T103" s="20"/>
      <c r="U103" s="20"/>
      <c r="V103" s="23">
        <f t="shared" si="6"/>
        <v>1</v>
      </c>
    </row>
    <row r="104" spans="1:241" s="28" customFormat="1" ht="48" x14ac:dyDescent="0.25">
      <c r="A104" s="318">
        <f t="shared" si="11"/>
        <v>6</v>
      </c>
      <c r="B104" s="319" t="s">
        <v>413</v>
      </c>
      <c r="C104" s="318">
        <v>5</v>
      </c>
      <c r="D104" s="315" t="s">
        <v>5</v>
      </c>
      <c r="E104" s="315">
        <v>13800</v>
      </c>
      <c r="F104" s="320">
        <f t="shared" si="4"/>
        <v>69000</v>
      </c>
      <c r="G104" s="315" t="s">
        <v>379</v>
      </c>
      <c r="H104" s="25"/>
      <c r="I104" s="25"/>
      <c r="J104" s="20">
        <v>5</v>
      </c>
      <c r="K104" s="20">
        <v>0</v>
      </c>
      <c r="L104" s="20"/>
      <c r="M104" s="20"/>
      <c r="N104" s="32">
        <f t="shared" si="5"/>
        <v>5</v>
      </c>
      <c r="Q104" s="23">
        <v>5</v>
      </c>
      <c r="R104" s="20">
        <v>5</v>
      </c>
      <c r="S104" s="20">
        <v>0</v>
      </c>
      <c r="T104" s="20"/>
      <c r="U104" s="20"/>
      <c r="V104" s="23">
        <f t="shared" si="6"/>
        <v>5</v>
      </c>
    </row>
    <row r="105" spans="1:241" s="28" customFormat="1" ht="48" x14ac:dyDescent="0.2">
      <c r="A105" s="318">
        <f t="shared" si="11"/>
        <v>7</v>
      </c>
      <c r="B105" s="319" t="s">
        <v>414</v>
      </c>
      <c r="C105" s="318">
        <v>4</v>
      </c>
      <c r="D105" s="315" t="s">
        <v>5</v>
      </c>
      <c r="E105" s="315">
        <v>17500</v>
      </c>
      <c r="F105" s="320">
        <f t="shared" si="4"/>
        <v>70000</v>
      </c>
      <c r="G105" s="315" t="s">
        <v>379</v>
      </c>
      <c r="H105" s="25"/>
      <c r="I105" s="25"/>
      <c r="J105" s="20">
        <v>4</v>
      </c>
      <c r="K105" s="20">
        <v>0</v>
      </c>
      <c r="L105" s="20"/>
      <c r="M105" s="20"/>
      <c r="N105" s="32">
        <f t="shared" si="5"/>
        <v>4</v>
      </c>
      <c r="O105" s="41"/>
      <c r="Q105" s="23">
        <v>4</v>
      </c>
      <c r="R105" s="20">
        <v>4</v>
      </c>
      <c r="S105" s="20">
        <v>0</v>
      </c>
      <c r="T105" s="20"/>
      <c r="U105" s="20"/>
      <c r="V105" s="23">
        <f t="shared" si="6"/>
        <v>4</v>
      </c>
    </row>
    <row r="106" spans="1:241" ht="102" x14ac:dyDescent="0.2">
      <c r="A106" s="318">
        <f t="shared" si="11"/>
        <v>8</v>
      </c>
      <c r="B106" s="346" t="s">
        <v>336</v>
      </c>
      <c r="C106" s="318">
        <f>1+2</f>
        <v>3</v>
      </c>
      <c r="D106" s="318" t="s">
        <v>5</v>
      </c>
      <c r="E106" s="318">
        <v>18000</v>
      </c>
      <c r="F106" s="320">
        <f t="shared" si="4"/>
        <v>54000</v>
      </c>
      <c r="G106" s="315" t="s">
        <v>379</v>
      </c>
      <c r="H106" s="25"/>
      <c r="I106" s="25"/>
      <c r="J106" s="20">
        <v>1</v>
      </c>
      <c r="K106" s="20">
        <v>0</v>
      </c>
      <c r="L106" s="20">
        <v>1</v>
      </c>
      <c r="M106" s="20"/>
      <c r="N106" s="32">
        <f t="shared" si="5"/>
        <v>2</v>
      </c>
      <c r="O106" s="25"/>
      <c r="P106" s="25"/>
      <c r="Q106" s="23">
        <v>2</v>
      </c>
      <c r="R106" s="20">
        <v>1</v>
      </c>
      <c r="S106" s="20">
        <v>0</v>
      </c>
      <c r="T106" s="20">
        <v>1</v>
      </c>
      <c r="U106" s="20"/>
      <c r="V106" s="23">
        <f t="shared" si="6"/>
        <v>2</v>
      </c>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c r="FL106" s="25"/>
      <c r="FM106" s="25"/>
      <c r="FN106" s="25"/>
      <c r="FO106" s="25"/>
      <c r="FP106" s="25"/>
      <c r="FQ106" s="25"/>
      <c r="FR106" s="25"/>
      <c r="FS106" s="25"/>
      <c r="FT106" s="25"/>
      <c r="FU106" s="25"/>
      <c r="FV106" s="25"/>
      <c r="FW106" s="25"/>
      <c r="FX106" s="25"/>
      <c r="FY106" s="25"/>
      <c r="FZ106" s="25"/>
      <c r="GA106" s="25"/>
      <c r="GB106" s="25"/>
      <c r="GC106" s="25"/>
      <c r="GD106" s="25"/>
      <c r="GE106" s="25"/>
      <c r="GF106" s="25"/>
      <c r="GG106" s="25"/>
      <c r="GH106" s="25"/>
      <c r="GI106" s="25"/>
      <c r="GJ106" s="25"/>
      <c r="GK106" s="25"/>
      <c r="GL106" s="25"/>
      <c r="GM106" s="25"/>
      <c r="GN106" s="25"/>
      <c r="GO106" s="25"/>
      <c r="GP106" s="25"/>
      <c r="GQ106" s="25"/>
      <c r="GR106" s="25"/>
      <c r="GS106" s="25"/>
      <c r="GT106" s="25"/>
      <c r="GU106" s="25"/>
      <c r="GV106" s="25"/>
      <c r="GW106" s="25"/>
      <c r="GX106" s="25"/>
      <c r="GY106" s="25"/>
      <c r="GZ106" s="25"/>
      <c r="HA106" s="25"/>
      <c r="HB106" s="25"/>
      <c r="HC106" s="25"/>
      <c r="HD106" s="25"/>
      <c r="HE106" s="25"/>
      <c r="HF106" s="25"/>
      <c r="HG106" s="25"/>
      <c r="HH106" s="25"/>
      <c r="HI106" s="25"/>
      <c r="HJ106" s="25"/>
      <c r="HK106" s="25"/>
      <c r="HL106" s="25"/>
      <c r="HM106" s="25"/>
      <c r="HN106" s="25"/>
      <c r="HO106" s="25"/>
      <c r="HP106" s="25"/>
      <c r="HQ106" s="25"/>
      <c r="HR106" s="25"/>
      <c r="HS106" s="25"/>
      <c r="HT106" s="25"/>
      <c r="HU106" s="25"/>
      <c r="HV106" s="25"/>
      <c r="HW106" s="25"/>
      <c r="HX106" s="25"/>
      <c r="HY106" s="25"/>
      <c r="HZ106" s="25"/>
      <c r="IA106" s="25"/>
      <c r="IB106" s="25"/>
      <c r="IC106" s="25"/>
      <c r="ID106" s="25"/>
      <c r="IE106" s="25"/>
      <c r="IF106" s="25"/>
      <c r="IG106" s="25"/>
    </row>
    <row r="107" spans="1:241" ht="72" x14ac:dyDescent="0.2">
      <c r="A107" s="318">
        <f t="shared" si="11"/>
        <v>9</v>
      </c>
      <c r="B107" s="319" t="s">
        <v>339</v>
      </c>
      <c r="C107" s="318">
        <v>8</v>
      </c>
      <c r="D107" s="315" t="s">
        <v>340</v>
      </c>
      <c r="E107" s="315">
        <v>9266</v>
      </c>
      <c r="F107" s="320">
        <f t="shared" si="4"/>
        <v>74128</v>
      </c>
      <c r="G107" s="315" t="s">
        <v>379</v>
      </c>
      <c r="H107" s="25"/>
      <c r="I107" s="25"/>
      <c r="J107" s="20">
        <v>4</v>
      </c>
      <c r="K107" s="20">
        <v>0</v>
      </c>
      <c r="L107" s="20">
        <v>4</v>
      </c>
      <c r="M107" s="20"/>
      <c r="N107" s="32">
        <f t="shared" si="5"/>
        <v>8</v>
      </c>
      <c r="Q107" s="23">
        <v>8</v>
      </c>
      <c r="R107" s="20">
        <v>4</v>
      </c>
      <c r="S107" s="20">
        <v>0</v>
      </c>
      <c r="T107" s="20">
        <v>4</v>
      </c>
      <c r="U107" s="20"/>
      <c r="V107" s="23">
        <f t="shared" si="6"/>
        <v>8</v>
      </c>
    </row>
    <row r="108" spans="1:241" ht="36" x14ac:dyDescent="0.2">
      <c r="A108" s="318">
        <f t="shared" si="11"/>
        <v>10</v>
      </c>
      <c r="B108" s="319" t="s">
        <v>59</v>
      </c>
      <c r="C108" s="318">
        <v>260</v>
      </c>
      <c r="D108" s="315" t="s">
        <v>64</v>
      </c>
      <c r="E108" s="335">
        <v>85</v>
      </c>
      <c r="F108" s="320">
        <f t="shared" si="4"/>
        <v>22100</v>
      </c>
      <c r="G108" s="315" t="s">
        <v>379</v>
      </c>
      <c r="H108" s="25"/>
      <c r="I108" s="25"/>
      <c r="J108" s="20">
        <v>50</v>
      </c>
      <c r="K108" s="20">
        <v>30</v>
      </c>
      <c r="L108" s="20">
        <v>150</v>
      </c>
      <c r="M108" s="20">
        <v>30</v>
      </c>
      <c r="N108" s="32">
        <f t="shared" si="5"/>
        <v>260</v>
      </c>
      <c r="Q108" s="23">
        <v>260</v>
      </c>
      <c r="R108" s="20">
        <v>50</v>
      </c>
      <c r="S108" s="20">
        <v>30</v>
      </c>
      <c r="T108" s="20">
        <v>150</v>
      </c>
      <c r="U108" s="20">
        <v>30</v>
      </c>
      <c r="V108" s="23">
        <f t="shared" si="6"/>
        <v>260</v>
      </c>
    </row>
    <row r="109" spans="1:241" ht="48" x14ac:dyDescent="0.2">
      <c r="A109" s="318">
        <f t="shared" si="11"/>
        <v>11</v>
      </c>
      <c r="B109" s="319" t="s">
        <v>58</v>
      </c>
      <c r="C109" s="318">
        <v>48</v>
      </c>
      <c r="D109" s="318" t="s">
        <v>178</v>
      </c>
      <c r="E109" s="335">
        <v>300</v>
      </c>
      <c r="F109" s="320">
        <f t="shared" si="4"/>
        <v>14400</v>
      </c>
      <c r="G109" s="315" t="s">
        <v>379</v>
      </c>
      <c r="H109" s="25"/>
      <c r="I109" s="25"/>
      <c r="J109" s="20">
        <v>10</v>
      </c>
      <c r="K109" s="20">
        <v>10</v>
      </c>
      <c r="L109" s="20">
        <v>25</v>
      </c>
      <c r="M109" s="20">
        <v>3</v>
      </c>
      <c r="N109" s="32">
        <f t="shared" si="5"/>
        <v>48</v>
      </c>
      <c r="Q109" s="23">
        <v>48</v>
      </c>
      <c r="R109" s="20">
        <v>10</v>
      </c>
      <c r="S109" s="20">
        <v>10</v>
      </c>
      <c r="T109" s="20">
        <v>25</v>
      </c>
      <c r="U109" s="20">
        <v>3</v>
      </c>
      <c r="V109" s="23">
        <f t="shared" si="6"/>
        <v>48</v>
      </c>
    </row>
    <row r="110" spans="1:241" ht="36" x14ac:dyDescent="0.2">
      <c r="A110" s="318">
        <f t="shared" si="11"/>
        <v>12</v>
      </c>
      <c r="B110" s="319" t="s">
        <v>342</v>
      </c>
      <c r="C110" s="318">
        <v>26</v>
      </c>
      <c r="D110" s="318" t="s">
        <v>343</v>
      </c>
      <c r="E110" s="318">
        <v>7080</v>
      </c>
      <c r="F110" s="320">
        <f t="shared" si="4"/>
        <v>184080</v>
      </c>
      <c r="G110" s="315" t="s">
        <v>379</v>
      </c>
      <c r="H110" s="25"/>
      <c r="I110" s="25"/>
      <c r="J110" s="20">
        <v>22</v>
      </c>
      <c r="K110" s="20">
        <v>0</v>
      </c>
      <c r="L110" s="20">
        <v>0</v>
      </c>
      <c r="M110" s="20">
        <v>4</v>
      </c>
      <c r="N110" s="32">
        <f t="shared" si="5"/>
        <v>26</v>
      </c>
      <c r="O110" s="28"/>
      <c r="Q110" s="23">
        <v>26</v>
      </c>
      <c r="R110" s="20">
        <v>22</v>
      </c>
      <c r="S110" s="20">
        <v>0</v>
      </c>
      <c r="T110" s="20">
        <v>0</v>
      </c>
      <c r="U110" s="20">
        <v>4</v>
      </c>
      <c r="V110" s="23">
        <f t="shared" si="6"/>
        <v>26</v>
      </c>
    </row>
    <row r="111" spans="1:241" s="28" customFormat="1" ht="84" x14ac:dyDescent="0.25">
      <c r="A111" s="318">
        <f t="shared" si="11"/>
        <v>13</v>
      </c>
      <c r="B111" s="319" t="s">
        <v>344</v>
      </c>
      <c r="C111" s="318">
        <v>400</v>
      </c>
      <c r="D111" s="318" t="s">
        <v>45</v>
      </c>
      <c r="E111" s="327">
        <v>163</v>
      </c>
      <c r="F111" s="320">
        <f t="shared" si="4"/>
        <v>65200</v>
      </c>
      <c r="G111" s="315" t="s">
        <v>379</v>
      </c>
      <c r="H111" s="25"/>
      <c r="I111" s="25"/>
      <c r="J111" s="20">
        <v>200</v>
      </c>
      <c r="K111" s="20">
        <v>0</v>
      </c>
      <c r="L111" s="20">
        <v>150</v>
      </c>
      <c r="M111" s="20">
        <v>50</v>
      </c>
      <c r="N111" s="32">
        <f t="shared" si="5"/>
        <v>400</v>
      </c>
      <c r="Q111" s="23">
        <v>400</v>
      </c>
      <c r="R111" s="20">
        <v>200</v>
      </c>
      <c r="S111" s="20">
        <v>0</v>
      </c>
      <c r="T111" s="20">
        <v>150</v>
      </c>
      <c r="U111" s="20">
        <v>50</v>
      </c>
      <c r="V111" s="23">
        <f t="shared" si="6"/>
        <v>400</v>
      </c>
    </row>
    <row r="112" spans="1:241" s="28" customFormat="1" ht="84" x14ac:dyDescent="0.25">
      <c r="A112" s="318">
        <f t="shared" si="11"/>
        <v>14</v>
      </c>
      <c r="B112" s="319" t="s">
        <v>345</v>
      </c>
      <c r="C112" s="318">
        <v>700</v>
      </c>
      <c r="D112" s="318" t="s">
        <v>45</v>
      </c>
      <c r="E112" s="327">
        <v>78</v>
      </c>
      <c r="F112" s="320">
        <f t="shared" si="4"/>
        <v>54600</v>
      </c>
      <c r="G112" s="315" t="s">
        <v>379</v>
      </c>
      <c r="H112" s="25"/>
      <c r="I112" s="25"/>
      <c r="J112" s="20">
        <v>200</v>
      </c>
      <c r="K112" s="20">
        <v>0</v>
      </c>
      <c r="L112" s="20">
        <v>400</v>
      </c>
      <c r="M112" s="20">
        <v>100</v>
      </c>
      <c r="N112" s="32">
        <f t="shared" si="5"/>
        <v>700</v>
      </c>
      <c r="O112" s="25"/>
      <c r="Q112" s="23">
        <v>700</v>
      </c>
      <c r="R112" s="20">
        <v>200</v>
      </c>
      <c r="S112" s="20">
        <v>0</v>
      </c>
      <c r="T112" s="20">
        <v>400</v>
      </c>
      <c r="U112" s="20">
        <v>100</v>
      </c>
      <c r="V112" s="23">
        <f t="shared" si="6"/>
        <v>700</v>
      </c>
    </row>
    <row r="113" spans="1:219" s="25" customFormat="1" ht="24" x14ac:dyDescent="0.25">
      <c r="A113" s="318">
        <f t="shared" si="11"/>
        <v>15</v>
      </c>
      <c r="B113" s="319" t="s">
        <v>75</v>
      </c>
      <c r="C113" s="318">
        <v>350</v>
      </c>
      <c r="D113" s="318" t="s">
        <v>45</v>
      </c>
      <c r="E113" s="327">
        <v>60</v>
      </c>
      <c r="F113" s="320">
        <f t="shared" si="4"/>
        <v>21000</v>
      </c>
      <c r="G113" s="315" t="s">
        <v>379</v>
      </c>
      <c r="J113" s="20">
        <v>100</v>
      </c>
      <c r="K113" s="20">
        <v>0</v>
      </c>
      <c r="L113" s="20">
        <v>250</v>
      </c>
      <c r="M113" s="20"/>
      <c r="N113" s="32">
        <f t="shared" si="5"/>
        <v>350</v>
      </c>
      <c r="O113" s="28"/>
      <c r="Q113" s="23">
        <v>350</v>
      </c>
      <c r="R113" s="20">
        <v>100</v>
      </c>
      <c r="S113" s="20">
        <v>0</v>
      </c>
      <c r="T113" s="20">
        <v>250</v>
      </c>
      <c r="U113" s="20"/>
      <c r="V113" s="23">
        <f t="shared" si="6"/>
        <v>350</v>
      </c>
    </row>
    <row r="114" spans="1:219" s="28" customFormat="1" ht="72" x14ac:dyDescent="0.2">
      <c r="A114" s="318">
        <f t="shared" si="11"/>
        <v>16</v>
      </c>
      <c r="B114" s="319" t="s">
        <v>346</v>
      </c>
      <c r="C114" s="318">
        <v>230</v>
      </c>
      <c r="D114" s="318" t="s">
        <v>64</v>
      </c>
      <c r="E114" s="327">
        <v>100</v>
      </c>
      <c r="F114" s="320">
        <f t="shared" si="4"/>
        <v>23000</v>
      </c>
      <c r="G114" s="315" t="s">
        <v>379</v>
      </c>
      <c r="H114" s="25"/>
      <c r="I114" s="25"/>
      <c r="J114" s="20">
        <v>50</v>
      </c>
      <c r="K114" s="20">
        <v>30</v>
      </c>
      <c r="L114" s="20">
        <v>150</v>
      </c>
      <c r="M114" s="20"/>
      <c r="N114" s="32">
        <f t="shared" si="5"/>
        <v>230</v>
      </c>
      <c r="O114" s="41"/>
      <c r="Q114" s="23">
        <v>230</v>
      </c>
      <c r="R114" s="20">
        <v>50</v>
      </c>
      <c r="S114" s="20">
        <v>30</v>
      </c>
      <c r="T114" s="20">
        <v>150</v>
      </c>
      <c r="U114" s="20"/>
      <c r="V114" s="23">
        <f t="shared" si="6"/>
        <v>230</v>
      </c>
    </row>
    <row r="115" spans="1:219" s="313" customFormat="1" ht="38.25" x14ac:dyDescent="0.2">
      <c r="A115" s="347">
        <f t="shared" si="11"/>
        <v>17</v>
      </c>
      <c r="B115" s="348" t="s">
        <v>347</v>
      </c>
      <c r="C115" s="347">
        <v>6010</v>
      </c>
      <c r="D115" s="347" t="s">
        <v>64</v>
      </c>
      <c r="E115" s="349">
        <v>5</v>
      </c>
      <c r="F115" s="350">
        <f t="shared" si="4"/>
        <v>30050</v>
      </c>
      <c r="G115" s="351" t="s">
        <v>379</v>
      </c>
      <c r="H115" s="312"/>
      <c r="I115" s="312"/>
      <c r="J115" s="311">
        <v>6010</v>
      </c>
      <c r="K115" s="311">
        <v>0</v>
      </c>
      <c r="L115" s="311"/>
      <c r="M115" s="311"/>
      <c r="N115" s="310">
        <f t="shared" si="5"/>
        <v>6010</v>
      </c>
      <c r="O115" s="312"/>
      <c r="Q115" s="309">
        <v>6010</v>
      </c>
      <c r="R115" s="311">
        <v>6010</v>
      </c>
      <c r="S115" s="311">
        <v>0</v>
      </c>
      <c r="T115" s="311"/>
      <c r="U115" s="311"/>
      <c r="V115" s="309">
        <f t="shared" si="6"/>
        <v>6010</v>
      </c>
    </row>
    <row r="116" spans="1:219" s="28" customFormat="1" ht="48" x14ac:dyDescent="0.25">
      <c r="A116" s="318">
        <f t="shared" si="11"/>
        <v>18</v>
      </c>
      <c r="B116" s="319" t="s">
        <v>407</v>
      </c>
      <c r="C116" s="318">
        <v>4</v>
      </c>
      <c r="D116" s="318" t="s">
        <v>5</v>
      </c>
      <c r="E116" s="328">
        <v>32300</v>
      </c>
      <c r="F116" s="320">
        <f t="shared" si="4"/>
        <v>129200</v>
      </c>
      <c r="G116" s="315" t="s">
        <v>379</v>
      </c>
      <c r="H116" s="25"/>
      <c r="I116" s="25"/>
      <c r="J116" s="20">
        <v>2</v>
      </c>
      <c r="K116" s="20">
        <v>0</v>
      </c>
      <c r="L116" s="20">
        <v>2</v>
      </c>
      <c r="M116" s="20"/>
      <c r="N116" s="32">
        <f t="shared" si="5"/>
        <v>4</v>
      </c>
      <c r="Q116" s="23">
        <v>4</v>
      </c>
      <c r="R116" s="20">
        <v>2</v>
      </c>
      <c r="S116" s="20">
        <v>0</v>
      </c>
      <c r="T116" s="20">
        <v>2</v>
      </c>
      <c r="U116" s="20"/>
      <c r="V116" s="23">
        <f t="shared" si="6"/>
        <v>4</v>
      </c>
    </row>
    <row r="117" spans="1:219" s="28" customFormat="1" ht="204" x14ac:dyDescent="0.25">
      <c r="A117" s="318">
        <f t="shared" si="11"/>
        <v>19</v>
      </c>
      <c r="B117" s="352" t="s">
        <v>354</v>
      </c>
      <c r="C117" s="318">
        <v>5</v>
      </c>
      <c r="D117" s="318" t="s">
        <v>5</v>
      </c>
      <c r="E117" s="328">
        <v>27022</v>
      </c>
      <c r="F117" s="320">
        <f t="shared" si="4"/>
        <v>135110</v>
      </c>
      <c r="G117" s="315" t="s">
        <v>379</v>
      </c>
      <c r="H117" s="25"/>
      <c r="I117" s="25"/>
      <c r="J117" s="20">
        <v>1</v>
      </c>
      <c r="K117" s="20">
        <v>0</v>
      </c>
      <c r="L117" s="20">
        <v>3</v>
      </c>
      <c r="M117" s="20">
        <v>1</v>
      </c>
      <c r="N117" s="32">
        <f t="shared" si="5"/>
        <v>5</v>
      </c>
      <c r="Q117" s="23">
        <v>5</v>
      </c>
      <c r="R117" s="20">
        <v>1</v>
      </c>
      <c r="S117" s="20">
        <v>0</v>
      </c>
      <c r="T117" s="20">
        <v>3</v>
      </c>
      <c r="U117" s="20">
        <v>1</v>
      </c>
      <c r="V117" s="23">
        <f t="shared" si="6"/>
        <v>5</v>
      </c>
    </row>
    <row r="118" spans="1:219" s="28" customFormat="1" ht="60" x14ac:dyDescent="0.25">
      <c r="A118" s="318">
        <f t="shared" si="11"/>
        <v>20</v>
      </c>
      <c r="B118" s="352" t="s">
        <v>355</v>
      </c>
      <c r="C118" s="318">
        <v>5</v>
      </c>
      <c r="D118" s="318" t="s">
        <v>5</v>
      </c>
      <c r="E118" s="328">
        <v>11776</v>
      </c>
      <c r="F118" s="320">
        <f t="shared" si="4"/>
        <v>58880</v>
      </c>
      <c r="G118" s="315" t="s">
        <v>379</v>
      </c>
      <c r="H118" s="25"/>
      <c r="I118" s="25"/>
      <c r="J118" s="20">
        <v>1</v>
      </c>
      <c r="K118" s="20">
        <v>0</v>
      </c>
      <c r="L118" s="20">
        <v>3</v>
      </c>
      <c r="M118" s="20">
        <v>1</v>
      </c>
      <c r="N118" s="32">
        <f t="shared" si="5"/>
        <v>5</v>
      </c>
      <c r="Q118" s="23">
        <v>5</v>
      </c>
      <c r="R118" s="20">
        <v>1</v>
      </c>
      <c r="S118" s="20">
        <v>0</v>
      </c>
      <c r="T118" s="20">
        <v>3</v>
      </c>
      <c r="U118" s="20">
        <v>1</v>
      </c>
      <c r="V118" s="23">
        <f t="shared" si="6"/>
        <v>5</v>
      </c>
    </row>
    <row r="119" spans="1:219" s="28" customFormat="1" ht="36" x14ac:dyDescent="0.25">
      <c r="A119" s="318">
        <f t="shared" si="11"/>
        <v>21</v>
      </c>
      <c r="B119" s="352" t="s">
        <v>356</v>
      </c>
      <c r="C119" s="318">
        <v>5</v>
      </c>
      <c r="D119" s="318" t="s">
        <v>5</v>
      </c>
      <c r="E119" s="328">
        <v>1770</v>
      </c>
      <c r="F119" s="320">
        <f t="shared" si="4"/>
        <v>8850</v>
      </c>
      <c r="G119" s="315" t="s">
        <v>379</v>
      </c>
      <c r="H119" s="25"/>
      <c r="I119" s="25"/>
      <c r="J119" s="20">
        <v>1</v>
      </c>
      <c r="K119" s="20">
        <v>0</v>
      </c>
      <c r="L119" s="20">
        <v>3</v>
      </c>
      <c r="M119" s="20">
        <v>1</v>
      </c>
      <c r="N119" s="32">
        <f t="shared" si="5"/>
        <v>5</v>
      </c>
      <c r="O119" s="27"/>
      <c r="Q119" s="23">
        <v>5</v>
      </c>
      <c r="R119" s="20">
        <v>1</v>
      </c>
      <c r="S119" s="20">
        <v>0</v>
      </c>
      <c r="T119" s="20">
        <v>3</v>
      </c>
      <c r="U119" s="20">
        <v>1</v>
      </c>
      <c r="V119" s="23">
        <f t="shared" si="6"/>
        <v>5</v>
      </c>
    </row>
    <row r="120" spans="1:219" ht="24" x14ac:dyDescent="0.2">
      <c r="A120" s="318">
        <f t="shared" si="11"/>
        <v>22</v>
      </c>
      <c r="B120" s="319" t="s">
        <v>357</v>
      </c>
      <c r="C120" s="318">
        <v>1</v>
      </c>
      <c r="D120" s="315" t="s">
        <v>5</v>
      </c>
      <c r="E120" s="327">
        <v>6529</v>
      </c>
      <c r="F120" s="320">
        <f t="shared" si="4"/>
        <v>6529</v>
      </c>
      <c r="G120" s="315" t="s">
        <v>379</v>
      </c>
      <c r="H120" s="25"/>
      <c r="I120" s="25"/>
      <c r="J120" s="20">
        <v>1</v>
      </c>
      <c r="K120" s="20">
        <v>0</v>
      </c>
      <c r="L120" s="20"/>
      <c r="M120" s="20"/>
      <c r="N120" s="32">
        <f t="shared" si="5"/>
        <v>1</v>
      </c>
      <c r="P120" s="27"/>
      <c r="Q120" s="23">
        <v>1</v>
      </c>
      <c r="R120" s="20">
        <v>1</v>
      </c>
      <c r="S120" s="20">
        <v>0</v>
      </c>
      <c r="T120" s="20"/>
      <c r="U120" s="20"/>
      <c r="V120" s="23">
        <f t="shared" si="6"/>
        <v>1</v>
      </c>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c r="DI120" s="27"/>
      <c r="DJ120" s="27"/>
      <c r="DK120" s="27"/>
      <c r="DL120" s="27"/>
      <c r="DM120" s="27"/>
      <c r="DN120" s="27"/>
      <c r="DO120" s="27"/>
      <c r="DP120" s="27"/>
      <c r="DQ120" s="27"/>
      <c r="DR120" s="27"/>
      <c r="DS120" s="27"/>
      <c r="DT120" s="27"/>
      <c r="DU120" s="27"/>
      <c r="DV120" s="27"/>
      <c r="DW120" s="27"/>
      <c r="DX120" s="27"/>
      <c r="DY120" s="27"/>
      <c r="DZ120" s="27"/>
      <c r="EA120" s="27"/>
      <c r="EB120" s="27"/>
      <c r="EC120" s="27"/>
      <c r="ED120" s="27"/>
      <c r="EE120" s="27"/>
      <c r="EF120" s="27"/>
      <c r="EG120" s="27"/>
      <c r="EH120" s="27"/>
      <c r="EI120" s="27"/>
      <c r="EJ120" s="27"/>
      <c r="EK120" s="27"/>
      <c r="EL120" s="27"/>
      <c r="EM120" s="27"/>
      <c r="EN120" s="27"/>
      <c r="EO120" s="27"/>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c r="FY120" s="27"/>
      <c r="FZ120" s="27"/>
      <c r="GA120" s="27"/>
      <c r="GB120" s="27"/>
      <c r="GC120" s="27"/>
      <c r="GD120" s="27"/>
      <c r="GE120" s="27"/>
      <c r="GF120" s="27"/>
      <c r="GG120" s="27"/>
      <c r="GH120" s="27"/>
      <c r="GI120" s="27"/>
      <c r="GJ120" s="27"/>
      <c r="GK120" s="27"/>
      <c r="GL120" s="27"/>
      <c r="GM120" s="27"/>
      <c r="GN120" s="27"/>
      <c r="GO120" s="27"/>
      <c r="GP120" s="27"/>
      <c r="GQ120" s="27"/>
      <c r="GR120" s="27"/>
      <c r="GS120" s="27"/>
      <c r="GT120" s="27"/>
      <c r="GU120" s="27"/>
      <c r="GV120" s="27"/>
      <c r="GW120" s="27"/>
      <c r="GX120" s="27"/>
      <c r="GY120" s="27"/>
      <c r="GZ120" s="27"/>
      <c r="HA120" s="27"/>
      <c r="HB120" s="27"/>
      <c r="HC120" s="27"/>
      <c r="HD120" s="27"/>
      <c r="HE120" s="27"/>
      <c r="HF120" s="27"/>
      <c r="HG120" s="27"/>
      <c r="HH120" s="27"/>
      <c r="HI120" s="27"/>
      <c r="HJ120" s="27"/>
      <c r="HK120" s="27"/>
    </row>
    <row r="121" spans="1:219" ht="60" x14ac:dyDescent="0.2">
      <c r="A121" s="318">
        <f t="shared" si="11"/>
        <v>23</v>
      </c>
      <c r="B121" s="325" t="s">
        <v>358</v>
      </c>
      <c r="C121" s="318">
        <v>1</v>
      </c>
      <c r="D121" s="326" t="s">
        <v>5</v>
      </c>
      <c r="E121" s="334">
        <v>391040</v>
      </c>
      <c r="F121" s="320">
        <f t="shared" si="4"/>
        <v>391040</v>
      </c>
      <c r="G121" s="315" t="s">
        <v>379</v>
      </c>
      <c r="H121" s="25"/>
      <c r="I121" s="25"/>
      <c r="J121" s="45"/>
      <c r="K121" s="45">
        <v>1</v>
      </c>
      <c r="L121" s="45"/>
      <c r="M121" s="45"/>
      <c r="N121" s="32">
        <f t="shared" si="5"/>
        <v>1</v>
      </c>
      <c r="Q121" s="23">
        <v>1</v>
      </c>
      <c r="R121" s="45"/>
      <c r="S121" s="45">
        <v>1</v>
      </c>
      <c r="T121" s="45"/>
      <c r="U121" s="45"/>
      <c r="V121" s="23">
        <f t="shared" si="6"/>
        <v>1</v>
      </c>
    </row>
    <row r="122" spans="1:219" ht="36" x14ac:dyDescent="0.2">
      <c r="A122" s="318">
        <f t="shared" si="11"/>
        <v>24</v>
      </c>
      <c r="B122" s="319" t="s">
        <v>360</v>
      </c>
      <c r="C122" s="318">
        <v>1</v>
      </c>
      <c r="D122" s="318" t="s">
        <v>5</v>
      </c>
      <c r="E122" s="337">
        <v>41647</v>
      </c>
      <c r="F122" s="320">
        <f t="shared" si="4"/>
        <v>41647</v>
      </c>
      <c r="G122" s="315" t="s">
        <v>379</v>
      </c>
      <c r="H122" s="25"/>
      <c r="I122" s="25"/>
      <c r="J122" s="23">
        <v>0</v>
      </c>
      <c r="K122" s="23">
        <v>1</v>
      </c>
      <c r="N122" s="32">
        <f t="shared" si="5"/>
        <v>1</v>
      </c>
      <c r="O122" s="38"/>
      <c r="Q122" s="23">
        <v>1</v>
      </c>
      <c r="R122" s="23">
        <v>0</v>
      </c>
      <c r="S122" s="23">
        <v>1</v>
      </c>
      <c r="V122" s="23">
        <f t="shared" si="6"/>
        <v>1</v>
      </c>
    </row>
    <row r="123" spans="1:219" s="38" customFormat="1" ht="36" x14ac:dyDescent="0.25">
      <c r="A123" s="318">
        <f t="shared" si="11"/>
        <v>25</v>
      </c>
      <c r="B123" s="319" t="s">
        <v>361</v>
      </c>
      <c r="C123" s="315">
        <v>15</v>
      </c>
      <c r="D123" s="326" t="s">
        <v>5</v>
      </c>
      <c r="E123" s="337">
        <v>2229</v>
      </c>
      <c r="F123" s="320">
        <f t="shared" ref="F123:F159" si="12">C123*E123</f>
        <v>33435</v>
      </c>
      <c r="G123" s="315" t="s">
        <v>379</v>
      </c>
      <c r="H123" s="25"/>
      <c r="I123" s="25"/>
      <c r="J123" s="39">
        <v>0</v>
      </c>
      <c r="K123" s="39">
        <v>15</v>
      </c>
      <c r="L123" s="39"/>
      <c r="M123" s="39"/>
      <c r="N123" s="32">
        <f t="shared" si="5"/>
        <v>15</v>
      </c>
      <c r="O123" s="290">
        <f>F123-N123</f>
        <v>33420</v>
      </c>
      <c r="Q123" s="20">
        <v>15</v>
      </c>
      <c r="R123" s="39">
        <v>0</v>
      </c>
      <c r="S123" s="39">
        <v>15</v>
      </c>
      <c r="T123" s="39"/>
      <c r="U123" s="39"/>
      <c r="V123" s="20">
        <f t="shared" si="6"/>
        <v>15</v>
      </c>
    </row>
    <row r="124" spans="1:219" ht="36" x14ac:dyDescent="0.2">
      <c r="A124" s="318">
        <f t="shared" si="11"/>
        <v>26</v>
      </c>
      <c r="B124" s="319" t="s">
        <v>384</v>
      </c>
      <c r="C124" s="318">
        <v>1</v>
      </c>
      <c r="D124" s="318" t="s">
        <v>1</v>
      </c>
      <c r="E124" s="318">
        <v>159987</v>
      </c>
      <c r="F124" s="320">
        <f t="shared" si="12"/>
        <v>159987</v>
      </c>
      <c r="G124" s="315" t="s">
        <v>379</v>
      </c>
      <c r="H124" s="25"/>
      <c r="I124" s="25"/>
      <c r="J124" s="20"/>
      <c r="K124" s="20"/>
      <c r="L124" s="23">
        <v>1</v>
      </c>
      <c r="M124" s="41"/>
      <c r="N124" s="32">
        <f t="shared" ref="N124:N159" si="13">J124+K124+L124+M124</f>
        <v>1</v>
      </c>
      <c r="O124" s="28"/>
      <c r="Q124" s="23">
        <v>1</v>
      </c>
      <c r="R124" s="20"/>
      <c r="S124" s="20"/>
      <c r="T124" s="23">
        <v>1</v>
      </c>
      <c r="U124" s="41"/>
      <c r="V124" s="23">
        <f t="shared" ref="V124:V159" si="14">R124+S124+T124+U124</f>
        <v>1</v>
      </c>
    </row>
    <row r="125" spans="1:219" ht="24" x14ac:dyDescent="0.2">
      <c r="A125" s="318">
        <f t="shared" si="11"/>
        <v>27</v>
      </c>
      <c r="B125" s="319" t="s">
        <v>129</v>
      </c>
      <c r="C125" s="318">
        <v>7</v>
      </c>
      <c r="D125" s="318" t="s">
        <v>1</v>
      </c>
      <c r="E125" s="318">
        <v>7200</v>
      </c>
      <c r="F125" s="320">
        <f t="shared" si="12"/>
        <v>50400</v>
      </c>
      <c r="G125" s="315" t="s">
        <v>379</v>
      </c>
      <c r="H125" s="25"/>
      <c r="I125" s="25"/>
      <c r="J125" s="20"/>
      <c r="K125" s="20"/>
      <c r="L125" s="20">
        <v>7</v>
      </c>
      <c r="M125" s="20"/>
      <c r="N125" s="32">
        <f t="shared" si="13"/>
        <v>7</v>
      </c>
      <c r="O125" s="28"/>
      <c r="Q125" s="23">
        <v>7</v>
      </c>
      <c r="R125" s="20"/>
      <c r="S125" s="20"/>
      <c r="T125" s="20">
        <v>7</v>
      </c>
      <c r="U125" s="20"/>
      <c r="V125" s="23">
        <f t="shared" si="14"/>
        <v>7</v>
      </c>
    </row>
    <row r="126" spans="1:219" s="313" customFormat="1" ht="24" x14ac:dyDescent="0.2">
      <c r="A126" s="347">
        <f t="shared" si="11"/>
        <v>28</v>
      </c>
      <c r="B126" s="353" t="s">
        <v>395</v>
      </c>
      <c r="C126" s="347">
        <v>7625</v>
      </c>
      <c r="D126" s="347" t="s">
        <v>41</v>
      </c>
      <c r="E126" s="347">
        <v>37</v>
      </c>
      <c r="F126" s="350">
        <f t="shared" si="12"/>
        <v>282125</v>
      </c>
      <c r="G126" s="351" t="s">
        <v>379</v>
      </c>
      <c r="H126" s="312"/>
      <c r="I126" s="312"/>
      <c r="J126" s="311"/>
      <c r="K126" s="311"/>
      <c r="L126" s="309">
        <f>25*305</f>
        <v>7625</v>
      </c>
      <c r="M126" s="309">
        <v>0</v>
      </c>
      <c r="N126" s="310">
        <f t="shared" si="13"/>
        <v>7625</v>
      </c>
      <c r="O126" s="314"/>
      <c r="Q126" s="309">
        <v>7625</v>
      </c>
      <c r="R126" s="311"/>
      <c r="S126" s="311"/>
      <c r="T126" s="309">
        <f>25*305</f>
        <v>7625</v>
      </c>
      <c r="U126" s="309">
        <v>0</v>
      </c>
      <c r="V126" s="309">
        <f t="shared" si="14"/>
        <v>7625</v>
      </c>
    </row>
    <row r="127" spans="1:219" ht="60" x14ac:dyDescent="0.2">
      <c r="A127" s="318">
        <f t="shared" si="11"/>
        <v>29</v>
      </c>
      <c r="B127" s="319" t="s">
        <v>94</v>
      </c>
      <c r="C127" s="318">
        <v>2</v>
      </c>
      <c r="D127" s="318" t="s">
        <v>5</v>
      </c>
      <c r="E127" s="328">
        <v>26485</v>
      </c>
      <c r="F127" s="320">
        <f t="shared" si="12"/>
        <v>52970</v>
      </c>
      <c r="G127" s="315" t="s">
        <v>379</v>
      </c>
      <c r="H127" s="20" t="s">
        <v>93</v>
      </c>
      <c r="I127" s="25"/>
      <c r="J127" s="20"/>
      <c r="K127" s="20"/>
      <c r="L127" s="20">
        <v>2</v>
      </c>
      <c r="M127" s="20"/>
      <c r="N127" s="32">
        <f t="shared" si="13"/>
        <v>2</v>
      </c>
      <c r="O127" s="28"/>
      <c r="Q127" s="23">
        <v>2</v>
      </c>
      <c r="R127" s="20"/>
      <c r="S127" s="20"/>
      <c r="T127" s="20">
        <v>2</v>
      </c>
      <c r="U127" s="20"/>
      <c r="V127" s="23">
        <f t="shared" si="14"/>
        <v>2</v>
      </c>
    </row>
    <row r="128" spans="1:219" ht="36" x14ac:dyDescent="0.2">
      <c r="A128" s="318">
        <f t="shared" si="11"/>
        <v>30</v>
      </c>
      <c r="B128" s="319" t="s">
        <v>381</v>
      </c>
      <c r="C128" s="318">
        <v>1</v>
      </c>
      <c r="D128" s="318" t="s">
        <v>1</v>
      </c>
      <c r="E128" s="318">
        <v>168000</v>
      </c>
      <c r="F128" s="320">
        <f t="shared" si="12"/>
        <v>168000</v>
      </c>
      <c r="G128" s="315" t="s">
        <v>379</v>
      </c>
      <c r="H128" s="23" t="s">
        <v>88</v>
      </c>
      <c r="I128" s="25"/>
      <c r="J128" s="20"/>
      <c r="K128" s="20"/>
      <c r="L128" s="20">
        <v>1</v>
      </c>
      <c r="M128" s="20"/>
      <c r="N128" s="32">
        <f t="shared" si="13"/>
        <v>1</v>
      </c>
      <c r="O128" s="28"/>
      <c r="Q128" s="23">
        <v>1</v>
      </c>
      <c r="R128" s="20"/>
      <c r="S128" s="20"/>
      <c r="T128" s="20">
        <v>1</v>
      </c>
      <c r="U128" s="20"/>
      <c r="V128" s="23">
        <f t="shared" si="14"/>
        <v>1</v>
      </c>
    </row>
    <row r="129" spans="1:22" ht="36" x14ac:dyDescent="0.2">
      <c r="A129" s="318">
        <f t="shared" si="11"/>
        <v>31</v>
      </c>
      <c r="B129" s="319" t="s">
        <v>408</v>
      </c>
      <c r="C129" s="318">
        <v>1</v>
      </c>
      <c r="D129" s="318" t="s">
        <v>1</v>
      </c>
      <c r="E129" s="318">
        <v>72000</v>
      </c>
      <c r="F129" s="320">
        <f t="shared" si="12"/>
        <v>72000</v>
      </c>
      <c r="G129" s="315" t="s">
        <v>379</v>
      </c>
      <c r="H129" s="20" t="s">
        <v>103</v>
      </c>
      <c r="I129" s="25"/>
      <c r="J129" s="20"/>
      <c r="K129" s="20"/>
      <c r="L129" s="20">
        <v>1</v>
      </c>
      <c r="M129" s="20"/>
      <c r="N129" s="32">
        <f t="shared" si="13"/>
        <v>1</v>
      </c>
      <c r="O129" s="28"/>
      <c r="Q129" s="23">
        <v>1</v>
      </c>
      <c r="R129" s="20"/>
      <c r="S129" s="20"/>
      <c r="T129" s="20">
        <v>1</v>
      </c>
      <c r="U129" s="20"/>
      <c r="V129" s="23">
        <f t="shared" si="14"/>
        <v>1</v>
      </c>
    </row>
    <row r="130" spans="1:22" ht="24" x14ac:dyDescent="0.2">
      <c r="A130" s="318">
        <f t="shared" si="11"/>
        <v>32</v>
      </c>
      <c r="B130" s="319" t="s">
        <v>380</v>
      </c>
      <c r="C130" s="318">
        <v>1</v>
      </c>
      <c r="D130" s="318" t="s">
        <v>1</v>
      </c>
      <c r="E130" s="318">
        <v>32000</v>
      </c>
      <c r="F130" s="320">
        <f t="shared" si="12"/>
        <v>32000</v>
      </c>
      <c r="G130" s="315" t="s">
        <v>379</v>
      </c>
      <c r="H130" s="23" t="s">
        <v>88</v>
      </c>
      <c r="I130" s="25"/>
      <c r="J130" s="20"/>
      <c r="K130" s="20"/>
      <c r="L130" s="20">
        <v>1</v>
      </c>
      <c r="M130" s="20"/>
      <c r="N130" s="32">
        <f t="shared" si="13"/>
        <v>1</v>
      </c>
      <c r="O130" s="28"/>
      <c r="Q130" s="23">
        <v>1</v>
      </c>
      <c r="R130" s="20"/>
      <c r="S130" s="20"/>
      <c r="T130" s="20">
        <v>1</v>
      </c>
      <c r="U130" s="20"/>
      <c r="V130" s="23">
        <f t="shared" si="14"/>
        <v>1</v>
      </c>
    </row>
    <row r="131" spans="1:22" ht="60" x14ac:dyDescent="0.2">
      <c r="A131" s="318">
        <f t="shared" si="11"/>
        <v>33</v>
      </c>
      <c r="B131" s="319" t="s">
        <v>95</v>
      </c>
      <c r="C131" s="318">
        <v>8</v>
      </c>
      <c r="D131" s="318" t="s">
        <v>5</v>
      </c>
      <c r="E131" s="354">
        <v>12117.125</v>
      </c>
      <c r="F131" s="320">
        <f t="shared" si="12"/>
        <v>96937</v>
      </c>
      <c r="G131" s="315" t="s">
        <v>379</v>
      </c>
      <c r="H131" s="20" t="s">
        <v>96</v>
      </c>
      <c r="I131" s="25"/>
      <c r="J131" s="20"/>
      <c r="K131" s="20"/>
      <c r="L131" s="20">
        <v>8</v>
      </c>
      <c r="M131" s="20"/>
      <c r="N131" s="32">
        <f t="shared" si="13"/>
        <v>8</v>
      </c>
      <c r="O131" s="28"/>
      <c r="Q131" s="23">
        <v>8</v>
      </c>
      <c r="R131" s="20"/>
      <c r="S131" s="20"/>
      <c r="T131" s="20">
        <v>8</v>
      </c>
      <c r="U131" s="20"/>
      <c r="V131" s="23">
        <f t="shared" si="14"/>
        <v>8</v>
      </c>
    </row>
    <row r="132" spans="1:22" ht="60" x14ac:dyDescent="0.2">
      <c r="A132" s="318">
        <f t="shared" si="11"/>
        <v>34</v>
      </c>
      <c r="B132" s="319" t="s">
        <v>14</v>
      </c>
      <c r="C132" s="318">
        <v>1</v>
      </c>
      <c r="D132" s="315" t="s">
        <v>13</v>
      </c>
      <c r="E132" s="318">
        <v>380000</v>
      </c>
      <c r="F132" s="320">
        <f t="shared" si="12"/>
        <v>380000</v>
      </c>
      <c r="G132" s="315" t="s">
        <v>379</v>
      </c>
      <c r="H132" s="23" t="s">
        <v>88</v>
      </c>
      <c r="I132" s="25"/>
      <c r="J132" s="20"/>
      <c r="K132" s="20"/>
      <c r="L132" s="20">
        <v>1</v>
      </c>
      <c r="M132" s="20"/>
      <c r="N132" s="32">
        <f t="shared" si="13"/>
        <v>1</v>
      </c>
      <c r="O132" s="28"/>
      <c r="Q132" s="23">
        <v>1</v>
      </c>
      <c r="R132" s="20"/>
      <c r="S132" s="20"/>
      <c r="T132" s="20">
        <v>1</v>
      </c>
      <c r="U132" s="20"/>
      <c r="V132" s="23">
        <f t="shared" si="14"/>
        <v>1</v>
      </c>
    </row>
    <row r="133" spans="1:22" ht="48" x14ac:dyDescent="0.2">
      <c r="A133" s="318">
        <f t="shared" si="11"/>
        <v>35</v>
      </c>
      <c r="B133" s="319" t="s">
        <v>15</v>
      </c>
      <c r="C133" s="318">
        <v>1</v>
      </c>
      <c r="D133" s="318" t="s">
        <v>1</v>
      </c>
      <c r="E133" s="355">
        <v>110000</v>
      </c>
      <c r="F133" s="320">
        <f t="shared" si="12"/>
        <v>110000</v>
      </c>
      <c r="G133" s="315" t="s">
        <v>379</v>
      </c>
      <c r="H133" s="20" t="s">
        <v>153</v>
      </c>
      <c r="I133" s="25"/>
      <c r="J133" s="20"/>
      <c r="K133" s="20"/>
      <c r="L133" s="20">
        <v>1</v>
      </c>
      <c r="M133" s="20"/>
      <c r="N133" s="32">
        <f t="shared" si="13"/>
        <v>1</v>
      </c>
      <c r="O133" s="28"/>
      <c r="Q133" s="23">
        <v>1</v>
      </c>
      <c r="R133" s="20"/>
      <c r="S133" s="20"/>
      <c r="T133" s="20">
        <v>1</v>
      </c>
      <c r="U133" s="20"/>
      <c r="V133" s="23">
        <f t="shared" si="14"/>
        <v>1</v>
      </c>
    </row>
    <row r="134" spans="1:22" ht="48" x14ac:dyDescent="0.2">
      <c r="A134" s="318">
        <f t="shared" si="11"/>
        <v>36</v>
      </c>
      <c r="B134" s="319" t="s">
        <v>101</v>
      </c>
      <c r="C134" s="318">
        <v>2</v>
      </c>
      <c r="D134" s="318" t="s">
        <v>1</v>
      </c>
      <c r="E134" s="328">
        <v>193849.22</v>
      </c>
      <c r="F134" s="320">
        <f t="shared" si="12"/>
        <v>387698.44</v>
      </c>
      <c r="G134" s="315" t="s">
        <v>379</v>
      </c>
      <c r="H134" s="20" t="s">
        <v>102</v>
      </c>
      <c r="I134" s="25"/>
      <c r="J134" s="20"/>
      <c r="K134" s="20"/>
      <c r="L134" s="20">
        <v>2</v>
      </c>
      <c r="M134" s="20"/>
      <c r="N134" s="32">
        <f t="shared" si="13"/>
        <v>2</v>
      </c>
      <c r="O134" s="28"/>
      <c r="Q134" s="23">
        <v>2</v>
      </c>
      <c r="R134" s="20"/>
      <c r="S134" s="20"/>
      <c r="T134" s="20">
        <v>2</v>
      </c>
      <c r="U134" s="20"/>
      <c r="V134" s="23">
        <f t="shared" si="14"/>
        <v>2</v>
      </c>
    </row>
    <row r="135" spans="1:22" ht="24" x14ac:dyDescent="0.2">
      <c r="A135" s="318">
        <f t="shared" si="11"/>
        <v>37</v>
      </c>
      <c r="B135" s="319" t="s">
        <v>382</v>
      </c>
      <c r="C135" s="318">
        <v>1</v>
      </c>
      <c r="D135" s="318" t="s">
        <v>1</v>
      </c>
      <c r="E135" s="318">
        <v>38000</v>
      </c>
      <c r="F135" s="320">
        <f t="shared" si="12"/>
        <v>38000</v>
      </c>
      <c r="G135" s="315" t="s">
        <v>379</v>
      </c>
      <c r="H135" s="23" t="s">
        <v>88</v>
      </c>
      <c r="I135" s="25"/>
      <c r="J135" s="20"/>
      <c r="K135" s="20"/>
      <c r="L135" s="20">
        <v>1</v>
      </c>
      <c r="M135" s="20"/>
      <c r="N135" s="32">
        <f t="shared" si="13"/>
        <v>1</v>
      </c>
      <c r="O135" s="28"/>
      <c r="Q135" s="23">
        <v>1</v>
      </c>
      <c r="R135" s="20"/>
      <c r="S135" s="20"/>
      <c r="T135" s="20">
        <v>1</v>
      </c>
      <c r="U135" s="20"/>
      <c r="V135" s="23">
        <f t="shared" si="14"/>
        <v>1</v>
      </c>
    </row>
    <row r="136" spans="1:22" ht="36" x14ac:dyDescent="0.2">
      <c r="A136" s="318">
        <f t="shared" si="11"/>
        <v>38</v>
      </c>
      <c r="B136" s="325" t="s">
        <v>388</v>
      </c>
      <c r="C136" s="318">
        <v>1</v>
      </c>
      <c r="D136" s="318" t="s">
        <v>1</v>
      </c>
      <c r="E136" s="341">
        <v>20100</v>
      </c>
      <c r="F136" s="320">
        <f t="shared" si="12"/>
        <v>20100</v>
      </c>
      <c r="G136" s="315" t="s">
        <v>379</v>
      </c>
      <c r="H136" s="23"/>
      <c r="I136" s="25"/>
      <c r="J136" s="20"/>
      <c r="K136" s="20"/>
      <c r="L136" s="20">
        <v>1</v>
      </c>
      <c r="M136" s="20"/>
      <c r="N136" s="32">
        <f t="shared" si="13"/>
        <v>1</v>
      </c>
      <c r="O136" s="28"/>
      <c r="Q136" s="23">
        <v>1</v>
      </c>
      <c r="R136" s="20"/>
      <c r="S136" s="20"/>
      <c r="T136" s="20">
        <v>1</v>
      </c>
      <c r="U136" s="20"/>
      <c r="V136" s="23">
        <f t="shared" si="14"/>
        <v>1</v>
      </c>
    </row>
    <row r="137" spans="1:22" ht="48" x14ac:dyDescent="0.2">
      <c r="A137" s="318">
        <f t="shared" si="11"/>
        <v>39</v>
      </c>
      <c r="B137" s="325" t="s">
        <v>387</v>
      </c>
      <c r="C137" s="318">
        <v>1</v>
      </c>
      <c r="D137" s="318" t="s">
        <v>11</v>
      </c>
      <c r="E137" s="341">
        <v>130000</v>
      </c>
      <c r="F137" s="320">
        <f t="shared" si="12"/>
        <v>130000</v>
      </c>
      <c r="G137" s="315" t="s">
        <v>379</v>
      </c>
      <c r="H137" s="23"/>
      <c r="I137" s="25"/>
      <c r="J137" s="20"/>
      <c r="K137" s="20"/>
      <c r="L137" s="20">
        <v>1</v>
      </c>
      <c r="M137" s="20"/>
      <c r="N137" s="32">
        <f t="shared" si="13"/>
        <v>1</v>
      </c>
      <c r="O137" s="28"/>
      <c r="Q137" s="23">
        <v>1</v>
      </c>
      <c r="R137" s="20"/>
      <c r="S137" s="20"/>
      <c r="T137" s="20">
        <v>1</v>
      </c>
      <c r="U137" s="20"/>
      <c r="V137" s="23">
        <f t="shared" si="14"/>
        <v>1</v>
      </c>
    </row>
    <row r="138" spans="1:22" ht="36" x14ac:dyDescent="0.2">
      <c r="A138" s="318">
        <f t="shared" si="11"/>
        <v>40</v>
      </c>
      <c r="B138" s="325" t="s">
        <v>386</v>
      </c>
      <c r="C138" s="318">
        <v>1</v>
      </c>
      <c r="D138" s="318" t="s">
        <v>1</v>
      </c>
      <c r="E138" s="341">
        <v>86000</v>
      </c>
      <c r="F138" s="320">
        <f t="shared" si="12"/>
        <v>86000</v>
      </c>
      <c r="G138" s="315" t="s">
        <v>379</v>
      </c>
      <c r="H138" s="23"/>
      <c r="I138" s="25"/>
      <c r="J138" s="20"/>
      <c r="K138" s="20"/>
      <c r="L138" s="20">
        <v>1</v>
      </c>
      <c r="M138" s="20"/>
      <c r="N138" s="32">
        <f t="shared" si="13"/>
        <v>1</v>
      </c>
      <c r="O138" s="28"/>
      <c r="Q138" s="23">
        <v>1</v>
      </c>
      <c r="R138" s="20"/>
      <c r="S138" s="20"/>
      <c r="T138" s="20">
        <v>1</v>
      </c>
      <c r="U138" s="20"/>
      <c r="V138" s="23">
        <f t="shared" si="14"/>
        <v>1</v>
      </c>
    </row>
    <row r="139" spans="1:22" ht="24" x14ac:dyDescent="0.2">
      <c r="A139" s="318">
        <f t="shared" si="11"/>
        <v>41</v>
      </c>
      <c r="B139" s="319" t="s">
        <v>410</v>
      </c>
      <c r="C139" s="318">
        <v>2</v>
      </c>
      <c r="D139" s="315" t="s">
        <v>2</v>
      </c>
      <c r="E139" s="315">
        <v>18900</v>
      </c>
      <c r="F139" s="320">
        <f t="shared" si="12"/>
        <v>37800</v>
      </c>
      <c r="G139" s="315" t="s">
        <v>379</v>
      </c>
      <c r="H139" s="23"/>
      <c r="I139" s="25"/>
      <c r="J139" s="20"/>
      <c r="K139" s="20"/>
      <c r="L139" s="20">
        <v>2</v>
      </c>
      <c r="M139" s="20"/>
      <c r="N139" s="32">
        <f t="shared" si="13"/>
        <v>2</v>
      </c>
      <c r="O139" s="28"/>
      <c r="Q139" s="23">
        <v>2</v>
      </c>
      <c r="R139" s="20"/>
      <c r="S139" s="20"/>
      <c r="T139" s="20">
        <v>2</v>
      </c>
      <c r="U139" s="20"/>
      <c r="V139" s="23">
        <f t="shared" si="14"/>
        <v>2</v>
      </c>
    </row>
    <row r="140" spans="1:22" ht="24" x14ac:dyDescent="0.2">
      <c r="A140" s="318">
        <f t="shared" si="11"/>
        <v>42</v>
      </c>
      <c r="B140" s="319" t="s">
        <v>411</v>
      </c>
      <c r="C140" s="318">
        <v>1</v>
      </c>
      <c r="D140" s="315" t="s">
        <v>2</v>
      </c>
      <c r="E140" s="315">
        <v>23000</v>
      </c>
      <c r="F140" s="320">
        <f t="shared" si="12"/>
        <v>23000</v>
      </c>
      <c r="G140" s="315" t="s">
        <v>379</v>
      </c>
      <c r="H140" s="23"/>
      <c r="I140" s="25"/>
      <c r="J140" s="20"/>
      <c r="K140" s="20"/>
      <c r="L140" s="20">
        <v>1</v>
      </c>
      <c r="M140" s="20"/>
      <c r="N140" s="32">
        <f t="shared" si="13"/>
        <v>1</v>
      </c>
      <c r="O140" s="28"/>
      <c r="Q140" s="23">
        <v>1</v>
      </c>
      <c r="R140" s="20"/>
      <c r="S140" s="20"/>
      <c r="T140" s="20">
        <v>1</v>
      </c>
      <c r="U140" s="20"/>
      <c r="V140" s="23">
        <f t="shared" si="14"/>
        <v>1</v>
      </c>
    </row>
    <row r="141" spans="1:22" ht="36" x14ac:dyDescent="0.2">
      <c r="A141" s="318">
        <f t="shared" si="11"/>
        <v>43</v>
      </c>
      <c r="B141" s="319" t="s">
        <v>112</v>
      </c>
      <c r="C141" s="318">
        <v>1</v>
      </c>
      <c r="D141" s="318" t="s">
        <v>1</v>
      </c>
      <c r="E141" s="341">
        <v>96116</v>
      </c>
      <c r="F141" s="320">
        <f t="shared" si="12"/>
        <v>96116</v>
      </c>
      <c r="G141" s="315" t="s">
        <v>379</v>
      </c>
      <c r="H141" s="23"/>
      <c r="I141" s="25"/>
      <c r="J141" s="20"/>
      <c r="K141" s="20"/>
      <c r="L141" s="20">
        <v>1</v>
      </c>
      <c r="M141" s="20"/>
      <c r="N141" s="32">
        <f t="shared" si="13"/>
        <v>1</v>
      </c>
      <c r="O141" s="28"/>
      <c r="Q141" s="23">
        <v>1</v>
      </c>
      <c r="R141" s="20"/>
      <c r="S141" s="20"/>
      <c r="T141" s="20">
        <v>1</v>
      </c>
      <c r="U141" s="20"/>
      <c r="V141" s="23">
        <f t="shared" si="14"/>
        <v>1</v>
      </c>
    </row>
    <row r="142" spans="1:22" ht="36" x14ac:dyDescent="0.2">
      <c r="A142" s="318">
        <f t="shared" si="11"/>
        <v>44</v>
      </c>
      <c r="B142" s="319" t="s">
        <v>113</v>
      </c>
      <c r="C142" s="318">
        <v>1</v>
      </c>
      <c r="D142" s="318" t="s">
        <v>2</v>
      </c>
      <c r="E142" s="341">
        <v>28300</v>
      </c>
      <c r="F142" s="320">
        <f>C142*E142</f>
        <v>28300</v>
      </c>
      <c r="G142" s="315" t="s">
        <v>379</v>
      </c>
      <c r="H142" s="23"/>
      <c r="I142" s="25"/>
      <c r="J142" s="20"/>
      <c r="K142" s="20"/>
      <c r="L142" s="20">
        <v>1</v>
      </c>
      <c r="M142" s="20"/>
      <c r="N142" s="32">
        <f t="shared" si="13"/>
        <v>1</v>
      </c>
      <c r="O142" s="28"/>
      <c r="Q142" s="23">
        <v>1</v>
      </c>
      <c r="R142" s="20"/>
      <c r="S142" s="20"/>
      <c r="T142" s="20">
        <v>1</v>
      </c>
      <c r="U142" s="20"/>
      <c r="V142" s="23">
        <f t="shared" si="14"/>
        <v>1</v>
      </c>
    </row>
    <row r="143" spans="1:22" ht="24" x14ac:dyDescent="0.2">
      <c r="A143" s="318">
        <f t="shared" si="11"/>
        <v>45</v>
      </c>
      <c r="B143" s="319" t="s">
        <v>114</v>
      </c>
      <c r="C143" s="318">
        <v>1</v>
      </c>
      <c r="D143" s="318" t="s">
        <v>5</v>
      </c>
      <c r="E143" s="341">
        <v>20000</v>
      </c>
      <c r="F143" s="320">
        <f t="shared" si="12"/>
        <v>20000</v>
      </c>
      <c r="G143" s="315" t="s">
        <v>379</v>
      </c>
      <c r="H143" s="23"/>
      <c r="I143" s="25"/>
      <c r="J143" s="20"/>
      <c r="K143" s="20"/>
      <c r="L143" s="20">
        <v>1</v>
      </c>
      <c r="M143" s="20"/>
      <c r="N143" s="32">
        <f t="shared" si="13"/>
        <v>1</v>
      </c>
      <c r="O143" s="28"/>
      <c r="Q143" s="23">
        <v>1</v>
      </c>
      <c r="R143" s="20"/>
      <c r="S143" s="20"/>
      <c r="T143" s="20">
        <v>1</v>
      </c>
      <c r="U143" s="20"/>
      <c r="V143" s="23">
        <f t="shared" si="14"/>
        <v>1</v>
      </c>
    </row>
    <row r="144" spans="1:22" ht="24" x14ac:dyDescent="0.2">
      <c r="A144" s="318">
        <f t="shared" si="11"/>
        <v>46</v>
      </c>
      <c r="B144" s="319" t="s">
        <v>115</v>
      </c>
      <c r="C144" s="318">
        <v>3</v>
      </c>
      <c r="D144" s="318" t="s">
        <v>5</v>
      </c>
      <c r="E144" s="341">
        <v>3500</v>
      </c>
      <c r="F144" s="320">
        <f t="shared" si="12"/>
        <v>10500</v>
      </c>
      <c r="G144" s="315" t="s">
        <v>379</v>
      </c>
      <c r="H144" s="23"/>
      <c r="I144" s="25"/>
      <c r="J144" s="20"/>
      <c r="K144" s="20"/>
      <c r="L144" s="20">
        <v>3</v>
      </c>
      <c r="M144" s="20"/>
      <c r="N144" s="32">
        <f t="shared" si="13"/>
        <v>3</v>
      </c>
      <c r="O144" s="28"/>
      <c r="Q144" s="23">
        <v>3</v>
      </c>
      <c r="R144" s="20"/>
      <c r="S144" s="20"/>
      <c r="T144" s="20">
        <v>3</v>
      </c>
      <c r="U144" s="20"/>
      <c r="V144" s="23">
        <f t="shared" si="14"/>
        <v>3</v>
      </c>
    </row>
    <row r="145" spans="1:22" ht="24" x14ac:dyDescent="0.2">
      <c r="A145" s="318">
        <f t="shared" si="11"/>
        <v>47</v>
      </c>
      <c r="B145" s="319" t="s">
        <v>116</v>
      </c>
      <c r="C145" s="318">
        <v>6</v>
      </c>
      <c r="D145" s="318" t="s">
        <v>5</v>
      </c>
      <c r="E145" s="341">
        <v>1800</v>
      </c>
      <c r="F145" s="320">
        <f t="shared" si="12"/>
        <v>10800</v>
      </c>
      <c r="G145" s="315" t="s">
        <v>379</v>
      </c>
      <c r="H145" s="23"/>
      <c r="I145" s="25"/>
      <c r="J145" s="20"/>
      <c r="K145" s="20"/>
      <c r="L145" s="20">
        <v>6</v>
      </c>
      <c r="M145" s="20"/>
      <c r="N145" s="32">
        <f t="shared" si="13"/>
        <v>6</v>
      </c>
      <c r="O145" s="28"/>
      <c r="Q145" s="23">
        <v>6</v>
      </c>
      <c r="R145" s="20"/>
      <c r="S145" s="20"/>
      <c r="T145" s="20">
        <v>6</v>
      </c>
      <c r="U145" s="20"/>
      <c r="V145" s="23">
        <f t="shared" si="14"/>
        <v>6</v>
      </c>
    </row>
    <row r="146" spans="1:22" ht="24" x14ac:dyDescent="0.2">
      <c r="A146" s="318">
        <f t="shared" si="11"/>
        <v>48</v>
      </c>
      <c r="B146" s="319" t="s">
        <v>117</v>
      </c>
      <c r="C146" s="318">
        <v>4</v>
      </c>
      <c r="D146" s="315" t="s">
        <v>2</v>
      </c>
      <c r="E146" s="315">
        <v>2396</v>
      </c>
      <c r="F146" s="320">
        <f t="shared" si="12"/>
        <v>9584</v>
      </c>
      <c r="G146" s="315" t="s">
        <v>379</v>
      </c>
      <c r="H146" s="23"/>
      <c r="I146" s="25"/>
      <c r="J146" s="20"/>
      <c r="K146" s="20"/>
      <c r="L146" s="20">
        <v>4</v>
      </c>
      <c r="M146" s="20"/>
      <c r="N146" s="32">
        <f t="shared" si="13"/>
        <v>4</v>
      </c>
      <c r="O146" s="28"/>
      <c r="Q146" s="23">
        <v>4</v>
      </c>
      <c r="R146" s="20"/>
      <c r="S146" s="20"/>
      <c r="T146" s="20">
        <v>4</v>
      </c>
      <c r="U146" s="20"/>
      <c r="V146" s="23">
        <f t="shared" si="14"/>
        <v>4</v>
      </c>
    </row>
    <row r="147" spans="1:22" x14ac:dyDescent="0.2">
      <c r="A147" s="318">
        <f t="shared" si="11"/>
        <v>49</v>
      </c>
      <c r="B147" s="319" t="s">
        <v>118</v>
      </c>
      <c r="C147" s="318">
        <v>6</v>
      </c>
      <c r="D147" s="315" t="s">
        <v>2</v>
      </c>
      <c r="E147" s="315">
        <v>2500</v>
      </c>
      <c r="F147" s="320">
        <f t="shared" si="12"/>
        <v>15000</v>
      </c>
      <c r="G147" s="315" t="s">
        <v>379</v>
      </c>
      <c r="H147" s="23"/>
      <c r="I147" s="25"/>
      <c r="J147" s="20"/>
      <c r="K147" s="20"/>
      <c r="L147" s="20">
        <v>4</v>
      </c>
      <c r="M147" s="20">
        <v>2</v>
      </c>
      <c r="N147" s="32">
        <f t="shared" si="13"/>
        <v>6</v>
      </c>
      <c r="O147" s="28"/>
      <c r="Q147" s="23">
        <v>6</v>
      </c>
      <c r="R147" s="20"/>
      <c r="S147" s="20"/>
      <c r="T147" s="20">
        <v>4</v>
      </c>
      <c r="U147" s="20">
        <v>2</v>
      </c>
      <c r="V147" s="23">
        <f t="shared" si="14"/>
        <v>6</v>
      </c>
    </row>
    <row r="148" spans="1:22" ht="48" x14ac:dyDescent="0.2">
      <c r="A148" s="318">
        <f t="shared" si="11"/>
        <v>50</v>
      </c>
      <c r="B148" s="319" t="s">
        <v>126</v>
      </c>
      <c r="C148" s="318">
        <v>6</v>
      </c>
      <c r="D148" s="318" t="s">
        <v>5</v>
      </c>
      <c r="E148" s="315">
        <v>31707</v>
      </c>
      <c r="F148" s="320">
        <f t="shared" si="12"/>
        <v>190242</v>
      </c>
      <c r="G148" s="315" t="s">
        <v>379</v>
      </c>
      <c r="H148" s="23"/>
      <c r="I148" s="25"/>
      <c r="J148" s="20"/>
      <c r="K148" s="20"/>
      <c r="L148" s="20">
        <v>6</v>
      </c>
      <c r="M148" s="20"/>
      <c r="N148" s="32">
        <f t="shared" si="13"/>
        <v>6</v>
      </c>
      <c r="O148" s="28"/>
      <c r="Q148" s="23">
        <v>6</v>
      </c>
      <c r="R148" s="20"/>
      <c r="S148" s="20"/>
      <c r="T148" s="20">
        <v>6</v>
      </c>
      <c r="U148" s="20"/>
      <c r="V148" s="23">
        <f t="shared" si="14"/>
        <v>6</v>
      </c>
    </row>
    <row r="149" spans="1:22" ht="36" x14ac:dyDescent="0.2">
      <c r="A149" s="318">
        <f t="shared" si="11"/>
        <v>51</v>
      </c>
      <c r="B149" s="319" t="s">
        <v>120</v>
      </c>
      <c r="C149" s="318">
        <v>4</v>
      </c>
      <c r="D149" s="315" t="s">
        <v>119</v>
      </c>
      <c r="E149" s="315">
        <v>8914</v>
      </c>
      <c r="F149" s="320">
        <f t="shared" si="12"/>
        <v>35656</v>
      </c>
      <c r="G149" s="315" t="s">
        <v>379</v>
      </c>
      <c r="H149" s="23"/>
      <c r="I149" s="25"/>
      <c r="J149" s="20"/>
      <c r="K149" s="20"/>
      <c r="L149" s="20">
        <v>4</v>
      </c>
      <c r="M149" s="20"/>
      <c r="N149" s="32">
        <f t="shared" si="13"/>
        <v>4</v>
      </c>
      <c r="O149" s="28"/>
      <c r="Q149" s="23">
        <v>4</v>
      </c>
      <c r="R149" s="20"/>
      <c r="S149" s="20"/>
      <c r="T149" s="20">
        <v>4</v>
      </c>
      <c r="U149" s="20"/>
      <c r="V149" s="23">
        <f t="shared" si="14"/>
        <v>4</v>
      </c>
    </row>
    <row r="150" spans="1:22" ht="36" x14ac:dyDescent="0.2">
      <c r="A150" s="318">
        <f t="shared" si="11"/>
        <v>52</v>
      </c>
      <c r="B150" s="319" t="s">
        <v>121</v>
      </c>
      <c r="C150" s="318">
        <v>4</v>
      </c>
      <c r="D150" s="315" t="s">
        <v>119</v>
      </c>
      <c r="E150" s="315">
        <v>7680</v>
      </c>
      <c r="F150" s="320">
        <f t="shared" si="12"/>
        <v>30720</v>
      </c>
      <c r="G150" s="315" t="s">
        <v>379</v>
      </c>
      <c r="H150" s="23"/>
      <c r="I150" s="25"/>
      <c r="J150" s="20"/>
      <c r="K150" s="20"/>
      <c r="L150" s="20">
        <v>4</v>
      </c>
      <c r="M150" s="20"/>
      <c r="N150" s="32">
        <f t="shared" si="13"/>
        <v>4</v>
      </c>
      <c r="O150" s="28"/>
      <c r="Q150" s="23">
        <v>4</v>
      </c>
      <c r="R150" s="20"/>
      <c r="S150" s="20"/>
      <c r="T150" s="20">
        <v>4</v>
      </c>
      <c r="U150" s="20"/>
      <c r="V150" s="23">
        <f t="shared" si="14"/>
        <v>4</v>
      </c>
    </row>
    <row r="151" spans="1:22" ht="24" x14ac:dyDescent="0.2">
      <c r="A151" s="318">
        <f t="shared" si="11"/>
        <v>53</v>
      </c>
      <c r="B151" s="319" t="s">
        <v>123</v>
      </c>
      <c r="C151" s="318">
        <v>200</v>
      </c>
      <c r="D151" s="315" t="s">
        <v>1</v>
      </c>
      <c r="E151" s="315">
        <v>30</v>
      </c>
      <c r="F151" s="320">
        <f t="shared" si="12"/>
        <v>6000</v>
      </c>
      <c r="G151" s="315" t="s">
        <v>379</v>
      </c>
      <c r="H151" s="23"/>
      <c r="I151" s="25"/>
      <c r="J151" s="20"/>
      <c r="K151" s="20"/>
      <c r="L151" s="20">
        <v>200</v>
      </c>
      <c r="M151" s="20"/>
      <c r="N151" s="32">
        <f t="shared" si="13"/>
        <v>200</v>
      </c>
      <c r="O151" s="28"/>
      <c r="Q151" s="23">
        <v>200</v>
      </c>
      <c r="R151" s="20"/>
      <c r="S151" s="20"/>
      <c r="T151" s="20">
        <v>200</v>
      </c>
      <c r="U151" s="20"/>
      <c r="V151" s="23">
        <f t="shared" si="14"/>
        <v>200</v>
      </c>
    </row>
    <row r="152" spans="1:22" ht="36" x14ac:dyDescent="0.2">
      <c r="A152" s="318">
        <f t="shared" si="11"/>
        <v>54</v>
      </c>
      <c r="B152" s="325" t="s">
        <v>180</v>
      </c>
      <c r="C152" s="318">
        <v>1</v>
      </c>
      <c r="D152" s="335" t="s">
        <v>178</v>
      </c>
      <c r="E152" s="318">
        <v>7000</v>
      </c>
      <c r="F152" s="320">
        <f t="shared" si="12"/>
        <v>7000</v>
      </c>
      <c r="G152" s="315" t="s">
        <v>379</v>
      </c>
      <c r="H152" s="23"/>
      <c r="I152" s="25"/>
      <c r="J152" s="20"/>
      <c r="K152" s="20"/>
      <c r="L152" s="20"/>
      <c r="M152" s="20">
        <v>1</v>
      </c>
      <c r="N152" s="32">
        <f t="shared" si="13"/>
        <v>1</v>
      </c>
      <c r="O152" s="295"/>
      <c r="Q152" s="23">
        <v>1</v>
      </c>
      <c r="R152" s="20"/>
      <c r="S152" s="20"/>
      <c r="T152" s="20"/>
      <c r="U152" s="20">
        <v>1</v>
      </c>
      <c r="V152" s="23">
        <f t="shared" si="14"/>
        <v>1</v>
      </c>
    </row>
    <row r="153" spans="1:22" s="295" customFormat="1" ht="24" x14ac:dyDescent="0.25">
      <c r="A153" s="318">
        <f t="shared" si="11"/>
        <v>55</v>
      </c>
      <c r="B153" s="332" t="s">
        <v>402</v>
      </c>
      <c r="C153" s="315">
        <v>1</v>
      </c>
      <c r="D153" s="315" t="s">
        <v>5</v>
      </c>
      <c r="E153" s="331">
        <v>38000</v>
      </c>
      <c r="F153" s="320">
        <f t="shared" si="12"/>
        <v>38000</v>
      </c>
      <c r="G153" s="315" t="s">
        <v>379</v>
      </c>
      <c r="H153" s="23"/>
      <c r="I153" s="25"/>
      <c r="J153" s="20">
        <v>0</v>
      </c>
      <c r="K153" s="20">
        <v>0</v>
      </c>
      <c r="L153" s="20"/>
      <c r="M153" s="20">
        <v>1</v>
      </c>
      <c r="N153" s="32">
        <f t="shared" si="13"/>
        <v>1</v>
      </c>
      <c r="O153" s="28"/>
      <c r="Q153" s="20">
        <v>1</v>
      </c>
      <c r="R153" s="20">
        <v>0</v>
      </c>
      <c r="S153" s="20">
        <v>0</v>
      </c>
      <c r="T153" s="20"/>
      <c r="U153" s="20">
        <v>1</v>
      </c>
      <c r="V153" s="20">
        <f t="shared" si="14"/>
        <v>1</v>
      </c>
    </row>
    <row r="154" spans="1:22" ht="24" x14ac:dyDescent="0.2">
      <c r="A154" s="318">
        <f t="shared" si="11"/>
        <v>56</v>
      </c>
      <c r="B154" s="325" t="s">
        <v>183</v>
      </c>
      <c r="C154" s="318">
        <v>1</v>
      </c>
      <c r="D154" s="315" t="s">
        <v>5</v>
      </c>
      <c r="E154" s="315">
        <v>17200</v>
      </c>
      <c r="F154" s="320">
        <f t="shared" si="12"/>
        <v>17200</v>
      </c>
      <c r="G154" s="315" t="s">
        <v>379</v>
      </c>
      <c r="H154" s="23"/>
      <c r="I154" s="25"/>
      <c r="J154" s="20"/>
      <c r="K154" s="20"/>
      <c r="L154" s="41"/>
      <c r="M154" s="20">
        <v>1</v>
      </c>
      <c r="N154" s="32">
        <f t="shared" si="13"/>
        <v>1</v>
      </c>
      <c r="O154" s="28"/>
      <c r="Q154" s="23">
        <v>1</v>
      </c>
      <c r="R154" s="20"/>
      <c r="S154" s="20"/>
      <c r="T154" s="41"/>
      <c r="U154" s="20">
        <v>1</v>
      </c>
      <c r="V154" s="23">
        <f t="shared" si="14"/>
        <v>1</v>
      </c>
    </row>
    <row r="155" spans="1:22" ht="63.75" x14ac:dyDescent="0.2">
      <c r="A155" s="318">
        <f t="shared" si="11"/>
        <v>57</v>
      </c>
      <c r="B155" s="356" t="s">
        <v>397</v>
      </c>
      <c r="C155" s="318">
        <v>30</v>
      </c>
      <c r="D155" s="357" t="s">
        <v>45</v>
      </c>
      <c r="E155" s="357">
        <v>250</v>
      </c>
      <c r="F155" s="320">
        <f t="shared" si="12"/>
        <v>7500</v>
      </c>
      <c r="G155" s="315"/>
      <c r="H155" s="19"/>
      <c r="I155" s="25"/>
      <c r="J155" s="20"/>
      <c r="K155" s="20"/>
      <c r="L155" s="20"/>
      <c r="M155" s="20">
        <v>30</v>
      </c>
      <c r="N155" s="32">
        <f t="shared" si="13"/>
        <v>30</v>
      </c>
      <c r="O155" s="28"/>
      <c r="Q155" s="23">
        <v>30</v>
      </c>
      <c r="R155" s="20"/>
      <c r="S155" s="20"/>
      <c r="T155" s="20"/>
      <c r="U155" s="20">
        <v>30</v>
      </c>
      <c r="V155" s="23">
        <f t="shared" si="14"/>
        <v>30</v>
      </c>
    </row>
    <row r="156" spans="1:22" ht="38.25" x14ac:dyDescent="0.2">
      <c r="A156" s="318">
        <f t="shared" si="11"/>
        <v>58</v>
      </c>
      <c r="B156" s="358" t="s">
        <v>419</v>
      </c>
      <c r="C156" s="318">
        <v>100</v>
      </c>
      <c r="D156" s="315" t="s">
        <v>4</v>
      </c>
      <c r="E156" s="359">
        <v>100</v>
      </c>
      <c r="F156" s="320">
        <f t="shared" si="12"/>
        <v>10000</v>
      </c>
      <c r="G156" s="315" t="s">
        <v>379</v>
      </c>
      <c r="H156" s="298" t="s">
        <v>209</v>
      </c>
      <c r="I156" s="25"/>
      <c r="J156" s="20"/>
      <c r="K156" s="20"/>
      <c r="L156" s="20"/>
      <c r="M156" s="20">
        <v>100</v>
      </c>
      <c r="N156" s="32">
        <f t="shared" si="13"/>
        <v>100</v>
      </c>
      <c r="O156" s="28"/>
      <c r="Q156" s="23">
        <v>100</v>
      </c>
      <c r="R156" s="20"/>
      <c r="S156" s="20"/>
      <c r="T156" s="20"/>
      <c r="U156" s="20">
        <v>100</v>
      </c>
      <c r="V156" s="23">
        <f t="shared" si="14"/>
        <v>100</v>
      </c>
    </row>
    <row r="157" spans="1:22" ht="36" x14ac:dyDescent="0.2">
      <c r="A157" s="318">
        <f t="shared" si="11"/>
        <v>59</v>
      </c>
      <c r="B157" s="358" t="s">
        <v>398</v>
      </c>
      <c r="C157" s="318">
        <v>1</v>
      </c>
      <c r="D157" s="315" t="s">
        <v>399</v>
      </c>
      <c r="E157" s="359">
        <v>29500</v>
      </c>
      <c r="F157" s="320">
        <f t="shared" si="12"/>
        <v>29500</v>
      </c>
      <c r="G157" s="315"/>
      <c r="H157" s="23"/>
      <c r="I157" s="25"/>
      <c r="J157" s="20"/>
      <c r="K157" s="20"/>
      <c r="L157" s="20"/>
      <c r="M157" s="20">
        <v>1</v>
      </c>
      <c r="N157" s="32">
        <f t="shared" si="13"/>
        <v>1</v>
      </c>
      <c r="O157" s="28"/>
      <c r="Q157" s="23">
        <v>1</v>
      </c>
      <c r="R157" s="20"/>
      <c r="S157" s="20"/>
      <c r="T157" s="20"/>
      <c r="U157" s="20">
        <v>1</v>
      </c>
      <c r="V157" s="23">
        <f t="shared" si="14"/>
        <v>1</v>
      </c>
    </row>
    <row r="158" spans="1:22" ht="24" x14ac:dyDescent="0.2">
      <c r="A158" s="318">
        <f t="shared" si="11"/>
        <v>60</v>
      </c>
      <c r="B158" s="358" t="s">
        <v>213</v>
      </c>
      <c r="C158" s="318">
        <v>1</v>
      </c>
      <c r="D158" s="315" t="s">
        <v>2</v>
      </c>
      <c r="E158" s="359">
        <v>43223</v>
      </c>
      <c r="F158" s="320">
        <f t="shared" si="12"/>
        <v>43223</v>
      </c>
      <c r="G158" s="315" t="s">
        <v>379</v>
      </c>
      <c r="H158" s="23"/>
      <c r="I158" s="25"/>
      <c r="J158" s="20"/>
      <c r="K158" s="20"/>
      <c r="L158" s="20"/>
      <c r="M158" s="20">
        <v>1</v>
      </c>
      <c r="N158" s="32">
        <f t="shared" si="13"/>
        <v>1</v>
      </c>
      <c r="O158" s="28"/>
      <c r="Q158" s="23">
        <v>1</v>
      </c>
      <c r="R158" s="20"/>
      <c r="S158" s="20"/>
      <c r="T158" s="20"/>
      <c r="U158" s="20">
        <v>1</v>
      </c>
      <c r="V158" s="23">
        <f t="shared" si="14"/>
        <v>1</v>
      </c>
    </row>
    <row r="159" spans="1:22" x14ac:dyDescent="0.2">
      <c r="A159" s="318">
        <f t="shared" si="11"/>
        <v>61</v>
      </c>
      <c r="B159" s="358" t="s">
        <v>417</v>
      </c>
      <c r="C159" s="318">
        <v>1</v>
      </c>
      <c r="D159" s="315" t="s">
        <v>2</v>
      </c>
      <c r="E159" s="359">
        <v>9853</v>
      </c>
      <c r="F159" s="320">
        <f t="shared" si="12"/>
        <v>9853</v>
      </c>
      <c r="G159" s="315" t="s">
        <v>379</v>
      </c>
      <c r="H159" s="23"/>
      <c r="I159" s="25"/>
      <c r="J159" s="20"/>
      <c r="K159" s="20"/>
      <c r="L159" s="20"/>
      <c r="M159" s="20">
        <v>1</v>
      </c>
      <c r="N159" s="32">
        <f t="shared" si="13"/>
        <v>1</v>
      </c>
      <c r="O159" s="28"/>
      <c r="Q159" s="23">
        <v>1</v>
      </c>
      <c r="R159" s="20"/>
      <c r="S159" s="20"/>
      <c r="T159" s="20"/>
      <c r="U159" s="20">
        <v>1</v>
      </c>
      <c r="V159" s="23">
        <f t="shared" si="14"/>
        <v>1</v>
      </c>
    </row>
    <row r="160" spans="1:22" s="289" customFormat="1" ht="12.75" thickBot="1" x14ac:dyDescent="0.3">
      <c r="A160" s="315"/>
      <c r="B160" s="440"/>
      <c r="C160" s="440"/>
      <c r="D160" s="315"/>
      <c r="E160" s="315"/>
      <c r="F160" s="320"/>
      <c r="G160" s="360"/>
      <c r="H160" s="23"/>
      <c r="I160" s="25"/>
      <c r="J160" s="299"/>
      <c r="K160" s="300"/>
      <c r="L160" s="299"/>
      <c r="M160" s="299"/>
      <c r="N160" s="301"/>
      <c r="O160" s="290"/>
      <c r="Q160" s="20"/>
      <c r="V160" s="20"/>
    </row>
    <row r="161" spans="1:22" s="290" customFormat="1" x14ac:dyDescent="0.2">
      <c r="A161" s="316"/>
      <c r="B161" s="361" t="s">
        <v>251</v>
      </c>
      <c r="C161" s="316"/>
      <c r="D161" s="362"/>
      <c r="E161" s="362"/>
      <c r="F161" s="363">
        <f>SUM(F99:F160)</f>
        <v>4355539.9800000004</v>
      </c>
      <c r="G161" s="316"/>
      <c r="J161" s="46"/>
      <c r="N161" s="31"/>
      <c r="O161" s="41"/>
      <c r="Q161" s="46"/>
      <c r="V161" s="46"/>
    </row>
    <row r="162" spans="1:22" x14ac:dyDescent="0.2">
      <c r="A162" s="318"/>
      <c r="B162" s="364"/>
      <c r="C162" s="318"/>
      <c r="D162" s="315"/>
      <c r="E162" s="318"/>
      <c r="F162" s="318"/>
      <c r="G162" s="318"/>
      <c r="O162" s="290">
        <f>F162-N162</f>
        <v>0</v>
      </c>
    </row>
    <row r="163" spans="1:22" x14ac:dyDescent="0.2">
      <c r="A163" s="318"/>
      <c r="B163" s="365" t="s">
        <v>390</v>
      </c>
      <c r="C163" s="318"/>
      <c r="D163" s="315"/>
      <c r="E163" s="318"/>
      <c r="F163" s="366">
        <f>F161+F66+F8+F96</f>
        <v>16631362.006000001</v>
      </c>
      <c r="G163" s="318"/>
      <c r="H163" s="56">
        <f>'PCEE+PFA+PCSTE+PCOM COMB SCH '!J183-'PCEE+PFA+PCSTE+PCOM COMB SCh F'!F163</f>
        <v>0</v>
      </c>
      <c r="I163" s="56"/>
    </row>
    <row r="165" spans="1:22" x14ac:dyDescent="0.2">
      <c r="I165" s="41" t="s">
        <v>374</v>
      </c>
    </row>
    <row r="167" spans="1:22" s="29" customFormat="1" x14ac:dyDescent="0.25"/>
    <row r="168" spans="1:22" s="296" customFormat="1" x14ac:dyDescent="0.2">
      <c r="A168" s="53"/>
      <c r="B168" s="54" t="s">
        <v>420</v>
      </c>
      <c r="C168" s="46"/>
      <c r="D168" s="46"/>
      <c r="E168" s="53"/>
      <c r="F168" s="53"/>
      <c r="G168" s="53"/>
    </row>
    <row r="170" spans="1:22" ht="12.75" x14ac:dyDescent="0.2">
      <c r="E170" s="302"/>
      <c r="F170" s="302"/>
    </row>
    <row r="174" spans="1:22" ht="12.75" x14ac:dyDescent="0.2">
      <c r="E174" s="302" t="s">
        <v>362</v>
      </c>
      <c r="F174" s="303">
        <f>F8</f>
        <v>185832.6</v>
      </c>
    </row>
    <row r="175" spans="1:22" ht="12.75" x14ac:dyDescent="0.2">
      <c r="E175" s="302" t="s">
        <v>363</v>
      </c>
      <c r="F175" s="302">
        <f>F66</f>
        <v>10197160.216</v>
      </c>
    </row>
    <row r="176" spans="1:22" ht="12.75" x14ac:dyDescent="0.2">
      <c r="E176" s="302" t="s">
        <v>364</v>
      </c>
      <c r="F176" s="303" t="e">
        <f>#REF!</f>
        <v>#REF!</v>
      </c>
    </row>
    <row r="177" spans="1:22" ht="12.75" x14ac:dyDescent="0.2">
      <c r="E177" s="302" t="s">
        <v>365</v>
      </c>
      <c r="F177" s="303">
        <f>F161</f>
        <v>4355539.9800000004</v>
      </c>
    </row>
    <row r="178" spans="1:22" ht="12.75" x14ac:dyDescent="0.2">
      <c r="E178" s="302" t="s">
        <v>366</v>
      </c>
      <c r="F178" s="303">
        <f>F66</f>
        <v>10197160.216</v>
      </c>
    </row>
    <row r="179" spans="1:22" ht="12.75" x14ac:dyDescent="0.2">
      <c r="E179" s="302" t="s">
        <v>239</v>
      </c>
      <c r="F179" s="303" t="e">
        <f>SUM(F174:F178)</f>
        <v>#REF!</v>
      </c>
    </row>
    <row r="182" spans="1:22" x14ac:dyDescent="0.2">
      <c r="B182" s="29" t="s">
        <v>238</v>
      </c>
    </row>
    <row r="183" spans="1:22" ht="36" x14ac:dyDescent="0.2">
      <c r="A183" s="23">
        <f t="shared" ref="A183:A184" si="15">A182+1</f>
        <v>1</v>
      </c>
      <c r="B183" s="19" t="s">
        <v>341</v>
      </c>
      <c r="C183" s="23">
        <v>30</v>
      </c>
      <c r="D183" s="20" t="s">
        <v>45</v>
      </c>
      <c r="E183" s="39">
        <f>(410-380)</f>
        <v>30</v>
      </c>
      <c r="F183" s="32">
        <f>C183*E183</f>
        <v>900</v>
      </c>
      <c r="H183" s="25"/>
      <c r="I183" s="25"/>
      <c r="Q183" s="23">
        <v>30</v>
      </c>
      <c r="R183" s="20">
        <v>0</v>
      </c>
      <c r="S183" s="20">
        <v>30</v>
      </c>
      <c r="T183" s="20">
        <v>0</v>
      </c>
      <c r="U183" s="20">
        <v>0</v>
      </c>
      <c r="V183" s="23">
        <f t="shared" ref="V183:V186" si="16">R183+S183+T183+U183</f>
        <v>30</v>
      </c>
    </row>
    <row r="184" spans="1:22" s="29" customFormat="1" ht="72" x14ac:dyDescent="0.25">
      <c r="A184" s="23">
        <f t="shared" si="15"/>
        <v>2</v>
      </c>
      <c r="B184" s="38" t="s">
        <v>255</v>
      </c>
      <c r="C184" s="23">
        <v>4</v>
      </c>
      <c r="D184" s="21" t="s">
        <v>5</v>
      </c>
      <c r="E184" s="22">
        <f>(89856-87840)</f>
        <v>2016</v>
      </c>
      <c r="F184" s="32">
        <f>C184*E184</f>
        <v>8064</v>
      </c>
      <c r="G184" s="23"/>
      <c r="H184" s="25"/>
      <c r="I184" s="25"/>
      <c r="J184" s="20">
        <v>0</v>
      </c>
      <c r="K184" s="20">
        <v>30</v>
      </c>
      <c r="L184" s="20">
        <v>0</v>
      </c>
      <c r="M184" s="20">
        <v>0</v>
      </c>
      <c r="N184" s="32">
        <f t="shared" ref="N184:N187" si="17">J184+K184+L184+M184</f>
        <v>30</v>
      </c>
      <c r="Q184" s="23">
        <v>4</v>
      </c>
      <c r="R184" s="20">
        <v>0</v>
      </c>
      <c r="S184" s="20">
        <v>4</v>
      </c>
      <c r="T184" s="20"/>
      <c r="U184" s="20"/>
      <c r="V184" s="23">
        <f t="shared" si="16"/>
        <v>4</v>
      </c>
    </row>
    <row r="185" spans="1:22" s="29" customFormat="1" ht="48" x14ac:dyDescent="0.25">
      <c r="A185" s="23">
        <f>A189+1</f>
        <v>1</v>
      </c>
      <c r="B185" s="19" t="s">
        <v>259</v>
      </c>
      <c r="C185" s="23">
        <v>1</v>
      </c>
      <c r="D185" s="23" t="s">
        <v>5</v>
      </c>
      <c r="E185" s="22">
        <f>(47258.9-47251.92)</f>
        <v>6.9800000000032014</v>
      </c>
      <c r="F185" s="32">
        <f>C185*E185</f>
        <v>6.9800000000032014</v>
      </c>
      <c r="G185" s="23"/>
      <c r="H185" s="25"/>
      <c r="I185" s="25"/>
      <c r="J185" s="20">
        <v>0</v>
      </c>
      <c r="K185" s="20">
        <v>4</v>
      </c>
      <c r="L185" s="20"/>
      <c r="M185" s="20"/>
      <c r="N185" s="32">
        <f t="shared" si="17"/>
        <v>4</v>
      </c>
      <c r="Q185" s="23">
        <v>1</v>
      </c>
      <c r="R185" s="20">
        <v>0</v>
      </c>
      <c r="S185" s="20">
        <v>1</v>
      </c>
      <c r="T185" s="20"/>
      <c r="U185" s="20"/>
      <c r="V185" s="23">
        <f t="shared" si="16"/>
        <v>1</v>
      </c>
    </row>
    <row r="186" spans="1:22" s="29" customFormat="1" ht="24" x14ac:dyDescent="0.25">
      <c r="A186" s="23">
        <f t="shared" ref="A186" si="18">A185+1</f>
        <v>2</v>
      </c>
      <c r="B186" s="19" t="s">
        <v>270</v>
      </c>
      <c r="C186" s="23">
        <v>10</v>
      </c>
      <c r="D186" s="23" t="s">
        <v>5</v>
      </c>
      <c r="E186" s="22">
        <f>(33187.5-33187)</f>
        <v>0.5</v>
      </c>
      <c r="F186" s="32">
        <f>C186*E186</f>
        <v>5</v>
      </c>
      <c r="G186" s="23"/>
      <c r="H186" s="25"/>
      <c r="I186" s="25"/>
      <c r="J186" s="20">
        <v>0</v>
      </c>
      <c r="K186" s="20">
        <v>1</v>
      </c>
      <c r="L186" s="20"/>
      <c r="M186" s="20"/>
      <c r="N186" s="32">
        <f t="shared" si="17"/>
        <v>1</v>
      </c>
      <c r="Q186" s="23">
        <v>10</v>
      </c>
      <c r="R186" s="20">
        <v>0</v>
      </c>
      <c r="S186" s="20">
        <v>10</v>
      </c>
      <c r="T186" s="20"/>
      <c r="U186" s="20"/>
      <c r="V186" s="23">
        <f t="shared" si="16"/>
        <v>10</v>
      </c>
    </row>
    <row r="187" spans="1:22" x14ac:dyDescent="0.2">
      <c r="J187" s="20">
        <v>0</v>
      </c>
      <c r="K187" s="20">
        <v>10</v>
      </c>
      <c r="L187" s="20"/>
      <c r="M187" s="20"/>
      <c r="N187" s="32">
        <f t="shared" si="17"/>
        <v>10</v>
      </c>
    </row>
    <row r="189" spans="1:22" x14ac:dyDescent="0.2">
      <c r="B189" s="29" t="s">
        <v>375</v>
      </c>
    </row>
    <row r="191" spans="1:22" ht="24" x14ac:dyDescent="0.2">
      <c r="A191" s="20">
        <v>18</v>
      </c>
      <c r="B191" s="19" t="s">
        <v>78</v>
      </c>
      <c r="C191" s="23">
        <v>30</v>
      </c>
      <c r="D191" s="23" t="s">
        <v>79</v>
      </c>
      <c r="E191" s="22">
        <f>5007-E6-(460*2.2)</f>
        <v>1909.79</v>
      </c>
      <c r="F191" s="32">
        <f>C191*E191</f>
        <v>57293.7</v>
      </c>
      <c r="H191" s="25"/>
      <c r="I191" s="25"/>
      <c r="O191" s="28"/>
      <c r="Q191" s="23">
        <v>30</v>
      </c>
      <c r="R191" s="20"/>
      <c r="S191" s="20"/>
      <c r="T191" s="20">
        <v>30</v>
      </c>
      <c r="U191" s="20"/>
      <c r="V191" s="23">
        <f t="shared" ref="V191" si="19">R191+S191+T191+U191</f>
        <v>30</v>
      </c>
    </row>
    <row r="192" spans="1:22" x14ac:dyDescent="0.2">
      <c r="J192" s="20"/>
      <c r="K192" s="20"/>
      <c r="L192" s="20">
        <v>30</v>
      </c>
      <c r="M192" s="20"/>
      <c r="N192" s="32">
        <f t="shared" ref="N192" si="20">J192+K192+L192+M192</f>
        <v>30</v>
      </c>
    </row>
    <row r="193" spans="1:22" ht="24" x14ac:dyDescent="0.2">
      <c r="A193" s="20">
        <v>18</v>
      </c>
      <c r="B193" s="19" t="s">
        <v>78</v>
      </c>
      <c r="C193" s="23">
        <v>0</v>
      </c>
      <c r="D193" s="23" t="s">
        <v>79</v>
      </c>
      <c r="E193" s="22">
        <v>5007</v>
      </c>
      <c r="F193" s="32">
        <f>C193*E193</f>
        <v>0</v>
      </c>
      <c r="H193" s="25"/>
      <c r="I193" s="25"/>
      <c r="O193" s="28"/>
      <c r="Q193" s="23">
        <v>0</v>
      </c>
      <c r="R193" s="20"/>
      <c r="S193" s="20"/>
      <c r="T193" s="20">
        <v>0</v>
      </c>
      <c r="U193" s="20"/>
      <c r="V193" s="23">
        <f t="shared" ref="V193" si="21">R193+S193+T193+U193</f>
        <v>0</v>
      </c>
    </row>
  </sheetData>
  <mergeCells count="8">
    <mergeCell ref="B160:C160"/>
    <mergeCell ref="A1:G1"/>
    <mergeCell ref="A2:G2"/>
    <mergeCell ref="A3:A4"/>
    <mergeCell ref="B3:B4"/>
    <mergeCell ref="D3:D4"/>
    <mergeCell ref="E3:E4"/>
    <mergeCell ref="F3:F4"/>
  </mergeCells>
  <printOptions gridLines="1"/>
  <pageMargins left="0.7" right="0.7" top="0.63" bottom="0.75" header="0.3" footer="0.3"/>
  <pageSetup paperSize="9" scale="95" orientation="portrait" r:id="rId1"/>
  <headerFooter>
    <oddFooter>&amp;Z&amp;F&amp;RPage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Z161"/>
  <sheetViews>
    <sheetView workbookViewId="0">
      <selection activeCell="J12" sqref="J12"/>
    </sheetView>
  </sheetViews>
  <sheetFormatPr defaultRowHeight="12" x14ac:dyDescent="0.2"/>
  <cols>
    <col min="1" max="1" width="5.28515625" style="5" customWidth="1"/>
    <col min="2" max="2" width="23.5703125" style="144" customWidth="1"/>
    <col min="3" max="4" width="6.140625" style="5" customWidth="1"/>
    <col min="5" max="5" width="5.5703125" style="5" bestFit="1" customWidth="1"/>
    <col min="6" max="7" width="6.140625" style="5" customWidth="1"/>
    <col min="8" max="8" width="6.140625" style="13" customWidth="1"/>
    <col min="9" max="9" width="9.140625" style="5" customWidth="1"/>
    <col min="10" max="10" width="10" style="5" customWidth="1"/>
    <col min="11" max="16384" width="9.140625" style="8"/>
  </cols>
  <sheetData>
    <row r="1" spans="1:10" s="81" customFormat="1" x14ac:dyDescent="0.2">
      <c r="A1" s="444" t="s">
        <v>155</v>
      </c>
      <c r="B1" s="444"/>
      <c r="C1" s="444"/>
      <c r="D1" s="444"/>
      <c r="E1" s="444"/>
      <c r="F1" s="444"/>
      <c r="G1" s="444"/>
      <c r="H1" s="444"/>
      <c r="I1" s="444"/>
      <c r="J1" s="444"/>
    </row>
    <row r="2" spans="1:10" s="6" customFormat="1" ht="36.75" customHeight="1" x14ac:dyDescent="0.25">
      <c r="A2" s="445" t="s">
        <v>367</v>
      </c>
      <c r="B2" s="445"/>
      <c r="C2" s="445"/>
      <c r="D2" s="445"/>
      <c r="E2" s="445"/>
      <c r="F2" s="445"/>
      <c r="G2" s="445"/>
      <c r="H2" s="445"/>
      <c r="I2" s="445"/>
      <c r="J2" s="445"/>
    </row>
    <row r="3" spans="1:10" s="137" customFormat="1" x14ac:dyDescent="0.25">
      <c r="A3" s="446" t="s">
        <v>19</v>
      </c>
      <c r="B3" s="446" t="s">
        <v>20</v>
      </c>
      <c r="C3" s="368"/>
      <c r="D3" s="368"/>
      <c r="E3" s="368"/>
      <c r="F3" s="368"/>
      <c r="G3" s="368"/>
      <c r="H3" s="447" t="s">
        <v>0</v>
      </c>
      <c r="I3" s="447" t="s">
        <v>22</v>
      </c>
      <c r="J3" s="447" t="s">
        <v>23</v>
      </c>
    </row>
    <row r="4" spans="1:10" s="137" customFormat="1" ht="24" x14ac:dyDescent="0.25">
      <c r="A4" s="446"/>
      <c r="B4" s="446"/>
      <c r="C4" s="368" t="s">
        <v>237</v>
      </c>
      <c r="D4" s="368" t="s">
        <v>238</v>
      </c>
      <c r="E4" s="368" t="s">
        <v>157</v>
      </c>
      <c r="F4" s="368" t="s">
        <v>158</v>
      </c>
      <c r="G4" s="368" t="s">
        <v>239</v>
      </c>
      <c r="H4" s="447"/>
      <c r="I4" s="447"/>
      <c r="J4" s="447"/>
    </row>
    <row r="5" spans="1:10" s="80" customFormat="1" x14ac:dyDescent="0.25">
      <c r="A5" s="369" t="s">
        <v>240</v>
      </c>
      <c r="B5" s="370" t="s">
        <v>244</v>
      </c>
      <c r="C5" s="369"/>
      <c r="D5" s="369"/>
      <c r="E5" s="369"/>
      <c r="F5" s="369"/>
      <c r="G5" s="371"/>
      <c r="H5" s="369"/>
      <c r="I5" s="369"/>
      <c r="J5" s="369"/>
    </row>
    <row r="6" spans="1:10" ht="24.95" customHeight="1" x14ac:dyDescent="0.2">
      <c r="A6" s="372">
        <v>1</v>
      </c>
      <c r="B6" s="367" t="s">
        <v>245</v>
      </c>
      <c r="C6" s="368">
        <v>30</v>
      </c>
      <c r="D6" s="368">
        <v>0</v>
      </c>
      <c r="E6" s="368">
        <v>30</v>
      </c>
      <c r="F6" s="368"/>
      <c r="G6" s="373">
        <f>C6+D6+E6+F6</f>
        <v>60</v>
      </c>
      <c r="H6" s="373" t="s">
        <v>246</v>
      </c>
      <c r="I6" s="373">
        <v>2085.21</v>
      </c>
      <c r="J6" s="373">
        <f t="shared" ref="J6:J7" si="0">G6*I6</f>
        <v>125112.6</v>
      </c>
    </row>
    <row r="7" spans="1:10" ht="24.95" customHeight="1" x14ac:dyDescent="0.2">
      <c r="A7" s="372">
        <v>2</v>
      </c>
      <c r="B7" s="367" t="s">
        <v>247</v>
      </c>
      <c r="C7" s="368">
        <v>66</v>
      </c>
      <c r="D7" s="368">
        <v>0</v>
      </c>
      <c r="E7" s="368">
        <v>66</v>
      </c>
      <c r="F7" s="368"/>
      <c r="G7" s="373">
        <f>C7+D7+E7+F7</f>
        <v>132</v>
      </c>
      <c r="H7" s="373" t="s">
        <v>248</v>
      </c>
      <c r="I7" s="373">
        <v>460</v>
      </c>
      <c r="J7" s="373">
        <f t="shared" si="0"/>
        <v>60720</v>
      </c>
    </row>
    <row r="8" spans="1:10" s="170" customFormat="1" ht="24.95" customHeight="1" x14ac:dyDescent="0.2">
      <c r="A8" s="369"/>
      <c r="B8" s="374" t="s">
        <v>368</v>
      </c>
      <c r="C8" s="375"/>
      <c r="D8" s="375"/>
      <c r="E8" s="375"/>
      <c r="F8" s="375"/>
      <c r="G8" s="371"/>
      <c r="H8" s="376"/>
      <c r="I8" s="369"/>
      <c r="J8" s="376">
        <f>SUM(J6:J7)</f>
        <v>185832.6</v>
      </c>
    </row>
    <row r="9" spans="1:10" s="81" customFormat="1" ht="15" customHeight="1" x14ac:dyDescent="0.2">
      <c r="A9" s="368"/>
      <c r="B9" s="377"/>
      <c r="C9" s="377"/>
      <c r="D9" s="377"/>
      <c r="E9" s="377"/>
      <c r="F9" s="377"/>
      <c r="G9" s="377"/>
      <c r="H9" s="377"/>
      <c r="I9" s="377"/>
      <c r="J9" s="377"/>
    </row>
    <row r="10" spans="1:10" s="128" customFormat="1" ht="18.75" customHeight="1" x14ac:dyDescent="0.25">
      <c r="A10" s="369" t="s">
        <v>241</v>
      </c>
      <c r="B10" s="370" t="s">
        <v>252</v>
      </c>
      <c r="C10" s="369"/>
      <c r="D10" s="369"/>
      <c r="E10" s="369"/>
      <c r="F10" s="369"/>
      <c r="G10" s="371"/>
      <c r="H10" s="369"/>
      <c r="I10" s="369"/>
      <c r="J10" s="369"/>
    </row>
    <row r="11" spans="1:10" s="137" customFormat="1" ht="24.95" customHeight="1" x14ac:dyDescent="0.25">
      <c r="A11" s="372">
        <v>1</v>
      </c>
      <c r="B11" s="378" t="s">
        <v>253</v>
      </c>
      <c r="C11" s="368">
        <v>1</v>
      </c>
      <c r="D11" s="368">
        <v>0</v>
      </c>
      <c r="E11" s="368"/>
      <c r="F11" s="368"/>
      <c r="G11" s="373">
        <f t="shared" ref="G11:G62" si="1">C11+D11+E11+F11</f>
        <v>1</v>
      </c>
      <c r="H11" s="379" t="s">
        <v>5</v>
      </c>
      <c r="I11" s="368">
        <v>104800</v>
      </c>
      <c r="J11" s="373">
        <f>G11*I11</f>
        <v>104800</v>
      </c>
    </row>
    <row r="12" spans="1:10" s="144" customFormat="1" ht="24.95" customHeight="1" x14ac:dyDescent="0.25">
      <c r="A12" s="372">
        <f>A11+1</f>
        <v>2</v>
      </c>
      <c r="B12" s="378" t="s">
        <v>254</v>
      </c>
      <c r="C12" s="368">
        <v>2</v>
      </c>
      <c r="D12" s="368">
        <v>0</v>
      </c>
      <c r="E12" s="368"/>
      <c r="F12" s="368"/>
      <c r="G12" s="373">
        <f t="shared" si="1"/>
        <v>2</v>
      </c>
      <c r="H12" s="379" t="s">
        <v>5</v>
      </c>
      <c r="I12" s="380">
        <v>125440</v>
      </c>
      <c r="J12" s="373">
        <f t="shared" ref="J12:J62" si="2">G12*I12</f>
        <v>250880</v>
      </c>
    </row>
    <row r="13" spans="1:10" s="144" customFormat="1" ht="24.95" customHeight="1" x14ac:dyDescent="0.25">
      <c r="A13" s="372">
        <f t="shared" ref="A13:A31" si="3">A12+1</f>
        <v>3</v>
      </c>
      <c r="B13" s="378" t="s">
        <v>255</v>
      </c>
      <c r="C13" s="368">
        <v>2</v>
      </c>
      <c r="D13" s="368">
        <v>4</v>
      </c>
      <c r="E13" s="368"/>
      <c r="F13" s="368"/>
      <c r="G13" s="373">
        <f t="shared" si="1"/>
        <v>6</v>
      </c>
      <c r="H13" s="379" t="s">
        <v>5</v>
      </c>
      <c r="I13" s="381">
        <v>87840</v>
      </c>
      <c r="J13" s="373">
        <f t="shared" si="2"/>
        <v>527040</v>
      </c>
    </row>
    <row r="14" spans="1:10" s="144" customFormat="1" ht="24.95" customHeight="1" x14ac:dyDescent="0.25">
      <c r="A14" s="372">
        <f t="shared" si="3"/>
        <v>4</v>
      </c>
      <c r="B14" s="378" t="s">
        <v>256</v>
      </c>
      <c r="C14" s="368">
        <v>1</v>
      </c>
      <c r="D14" s="368">
        <v>0</v>
      </c>
      <c r="E14" s="368"/>
      <c r="F14" s="368"/>
      <c r="G14" s="373">
        <f t="shared" si="1"/>
        <v>1</v>
      </c>
      <c r="H14" s="379" t="s">
        <v>5</v>
      </c>
      <c r="I14" s="381">
        <v>11431.84</v>
      </c>
      <c r="J14" s="373">
        <f t="shared" si="2"/>
        <v>11431.84</v>
      </c>
    </row>
    <row r="15" spans="1:10" s="144" customFormat="1" ht="24.95" customHeight="1" x14ac:dyDescent="0.25">
      <c r="A15" s="372">
        <f t="shared" si="3"/>
        <v>5</v>
      </c>
      <c r="B15" s="367" t="s">
        <v>257</v>
      </c>
      <c r="C15" s="368">
        <v>13</v>
      </c>
      <c r="D15" s="368">
        <v>0</v>
      </c>
      <c r="E15" s="368"/>
      <c r="F15" s="368"/>
      <c r="G15" s="373">
        <f t="shared" si="1"/>
        <v>13</v>
      </c>
      <c r="H15" s="372" t="s">
        <v>5</v>
      </c>
      <c r="I15" s="381">
        <v>32611.66</v>
      </c>
      <c r="J15" s="373">
        <f t="shared" si="2"/>
        <v>423951.58</v>
      </c>
    </row>
    <row r="16" spans="1:10" s="144" customFormat="1" ht="24.95" customHeight="1" x14ac:dyDescent="0.25">
      <c r="A16" s="372">
        <f t="shared" si="3"/>
        <v>6</v>
      </c>
      <c r="B16" s="367" t="s">
        <v>258</v>
      </c>
      <c r="C16" s="368">
        <v>13</v>
      </c>
      <c r="D16" s="368">
        <v>0</v>
      </c>
      <c r="E16" s="368"/>
      <c r="F16" s="368"/>
      <c r="G16" s="373">
        <f t="shared" si="1"/>
        <v>13</v>
      </c>
      <c r="H16" s="372" t="s">
        <v>5</v>
      </c>
      <c r="I16" s="381">
        <v>1180</v>
      </c>
      <c r="J16" s="373">
        <f t="shared" si="2"/>
        <v>15340</v>
      </c>
    </row>
    <row r="17" spans="1:10" s="144" customFormat="1" ht="24.95" customHeight="1" x14ac:dyDescent="0.25">
      <c r="A17" s="372">
        <f t="shared" si="3"/>
        <v>7</v>
      </c>
      <c r="B17" s="367" t="s">
        <v>259</v>
      </c>
      <c r="C17" s="368">
        <v>2</v>
      </c>
      <c r="D17" s="368">
        <v>1</v>
      </c>
      <c r="E17" s="368"/>
      <c r="F17" s="368"/>
      <c r="G17" s="373">
        <f t="shared" si="1"/>
        <v>3</v>
      </c>
      <c r="H17" s="372" t="s">
        <v>5</v>
      </c>
      <c r="I17" s="381">
        <v>47251.92</v>
      </c>
      <c r="J17" s="373">
        <f t="shared" si="2"/>
        <v>141755.76</v>
      </c>
    </row>
    <row r="18" spans="1:10" s="144" customFormat="1" ht="24.95" customHeight="1" x14ac:dyDescent="0.25">
      <c r="A18" s="372">
        <f t="shared" si="3"/>
        <v>8</v>
      </c>
      <c r="B18" s="367" t="s">
        <v>260</v>
      </c>
      <c r="C18" s="368">
        <v>1</v>
      </c>
      <c r="D18" s="368">
        <v>0</v>
      </c>
      <c r="E18" s="368"/>
      <c r="F18" s="368"/>
      <c r="G18" s="373">
        <f t="shared" si="1"/>
        <v>1</v>
      </c>
      <c r="H18" s="372" t="s">
        <v>5</v>
      </c>
      <c r="I18" s="381">
        <v>54077.04</v>
      </c>
      <c r="J18" s="373">
        <f t="shared" si="2"/>
        <v>54077.04</v>
      </c>
    </row>
    <row r="19" spans="1:10" s="147" customFormat="1" ht="24.95" customHeight="1" x14ac:dyDescent="0.25">
      <c r="A19" s="372">
        <f t="shared" si="3"/>
        <v>9</v>
      </c>
      <c r="B19" s="367" t="s">
        <v>261</v>
      </c>
      <c r="C19" s="368">
        <v>1</v>
      </c>
      <c r="D19" s="368">
        <v>0</v>
      </c>
      <c r="E19" s="368"/>
      <c r="F19" s="368"/>
      <c r="G19" s="373">
        <f t="shared" si="1"/>
        <v>1</v>
      </c>
      <c r="H19" s="368" t="s">
        <v>5</v>
      </c>
      <c r="I19" s="379">
        <v>224937.5</v>
      </c>
      <c r="J19" s="373">
        <f t="shared" si="2"/>
        <v>224937.5</v>
      </c>
    </row>
    <row r="20" spans="1:10" s="144" customFormat="1" ht="24.95" customHeight="1" x14ac:dyDescent="0.25">
      <c r="A20" s="372">
        <f t="shared" si="3"/>
        <v>10</v>
      </c>
      <c r="B20" s="367" t="s">
        <v>262</v>
      </c>
      <c r="C20" s="368">
        <v>14</v>
      </c>
      <c r="D20" s="368">
        <v>0</v>
      </c>
      <c r="E20" s="368"/>
      <c r="F20" s="368"/>
      <c r="G20" s="373">
        <f t="shared" si="1"/>
        <v>14</v>
      </c>
      <c r="H20" s="368" t="s">
        <v>5</v>
      </c>
      <c r="I20" s="379">
        <v>46093.75</v>
      </c>
      <c r="J20" s="373">
        <f t="shared" si="2"/>
        <v>645312.5</v>
      </c>
    </row>
    <row r="21" spans="1:10" s="144" customFormat="1" ht="24.95" customHeight="1" x14ac:dyDescent="0.25">
      <c r="A21" s="372">
        <f t="shared" si="3"/>
        <v>11</v>
      </c>
      <c r="B21" s="367" t="s">
        <v>263</v>
      </c>
      <c r="C21" s="368">
        <v>1</v>
      </c>
      <c r="D21" s="368">
        <v>0</v>
      </c>
      <c r="E21" s="368"/>
      <c r="F21" s="368"/>
      <c r="G21" s="373">
        <f t="shared" si="1"/>
        <v>1</v>
      </c>
      <c r="H21" s="368" t="s">
        <v>5</v>
      </c>
      <c r="I21" s="379">
        <v>46093.16</v>
      </c>
      <c r="J21" s="373">
        <f t="shared" si="2"/>
        <v>46093.16</v>
      </c>
    </row>
    <row r="22" spans="1:10" s="147" customFormat="1" ht="24.95" customHeight="1" x14ac:dyDescent="0.25">
      <c r="A22" s="372">
        <f t="shared" si="3"/>
        <v>12</v>
      </c>
      <c r="B22" s="382" t="s">
        <v>264</v>
      </c>
      <c r="C22" s="368">
        <v>2</v>
      </c>
      <c r="D22" s="368">
        <v>0</v>
      </c>
      <c r="E22" s="368"/>
      <c r="F22" s="368"/>
      <c r="G22" s="373">
        <f t="shared" si="1"/>
        <v>2</v>
      </c>
      <c r="H22" s="368" t="s">
        <v>5</v>
      </c>
      <c r="I22" s="379">
        <v>8260</v>
      </c>
      <c r="J22" s="373">
        <f t="shared" si="2"/>
        <v>16520</v>
      </c>
    </row>
    <row r="23" spans="1:10" s="147" customFormat="1" ht="24.95" customHeight="1" x14ac:dyDescent="0.25">
      <c r="A23" s="372">
        <f t="shared" si="3"/>
        <v>13</v>
      </c>
      <c r="B23" s="382" t="s">
        <v>265</v>
      </c>
      <c r="C23" s="368">
        <v>2</v>
      </c>
      <c r="D23" s="368">
        <v>0</v>
      </c>
      <c r="E23" s="368"/>
      <c r="F23" s="368"/>
      <c r="G23" s="373">
        <f t="shared" si="1"/>
        <v>2</v>
      </c>
      <c r="H23" s="368" t="s">
        <v>5</v>
      </c>
      <c r="I23" s="379">
        <v>16520</v>
      </c>
      <c r="J23" s="373">
        <f t="shared" si="2"/>
        <v>33040</v>
      </c>
    </row>
    <row r="24" spans="1:10" s="144" customFormat="1" ht="24.95" customHeight="1" x14ac:dyDescent="0.25">
      <c r="A24" s="372">
        <f t="shared" si="3"/>
        <v>14</v>
      </c>
      <c r="B24" s="367" t="s">
        <v>266</v>
      </c>
      <c r="C24" s="368">
        <v>1</v>
      </c>
      <c r="D24" s="368">
        <v>0</v>
      </c>
      <c r="E24" s="368"/>
      <c r="F24" s="368"/>
      <c r="G24" s="373">
        <f t="shared" si="1"/>
        <v>1</v>
      </c>
      <c r="H24" s="368" t="s">
        <v>5</v>
      </c>
      <c r="I24" s="379">
        <v>88500</v>
      </c>
      <c r="J24" s="373">
        <f t="shared" si="2"/>
        <v>88500</v>
      </c>
    </row>
    <row r="25" spans="1:10" s="144" customFormat="1" ht="24.95" customHeight="1" x14ac:dyDescent="0.25">
      <c r="A25" s="372">
        <f t="shared" si="3"/>
        <v>15</v>
      </c>
      <c r="B25" s="382" t="s">
        <v>267</v>
      </c>
      <c r="C25" s="368">
        <v>3</v>
      </c>
      <c r="D25" s="368">
        <v>0</v>
      </c>
      <c r="E25" s="368"/>
      <c r="F25" s="368"/>
      <c r="G25" s="373">
        <f t="shared" si="1"/>
        <v>3</v>
      </c>
      <c r="H25" s="372" t="s">
        <v>268</v>
      </c>
      <c r="I25" s="381">
        <v>24827.200000000001</v>
      </c>
      <c r="J25" s="373">
        <f t="shared" si="2"/>
        <v>74481.600000000006</v>
      </c>
    </row>
    <row r="26" spans="1:10" s="144" customFormat="1" ht="24.95" customHeight="1" x14ac:dyDescent="0.25">
      <c r="A26" s="372">
        <v>16</v>
      </c>
      <c r="B26" s="367" t="s">
        <v>269</v>
      </c>
      <c r="C26" s="368">
        <v>1</v>
      </c>
      <c r="D26" s="368">
        <v>1</v>
      </c>
      <c r="E26" s="368"/>
      <c r="F26" s="368"/>
      <c r="G26" s="373">
        <f t="shared" si="1"/>
        <v>2</v>
      </c>
      <c r="H26" s="372" t="s">
        <v>5</v>
      </c>
      <c r="I26" s="381">
        <v>241900</v>
      </c>
      <c r="J26" s="373">
        <f t="shared" si="2"/>
        <v>483800</v>
      </c>
    </row>
    <row r="27" spans="1:10" s="144" customFormat="1" ht="24.95" customHeight="1" x14ac:dyDescent="0.25">
      <c r="A27" s="372">
        <f t="shared" si="3"/>
        <v>17</v>
      </c>
      <c r="B27" s="367" t="s">
        <v>270</v>
      </c>
      <c r="C27" s="368">
        <v>14</v>
      </c>
      <c r="D27" s="368">
        <v>10</v>
      </c>
      <c r="E27" s="368"/>
      <c r="F27" s="368"/>
      <c r="G27" s="373">
        <f t="shared" si="1"/>
        <v>24</v>
      </c>
      <c r="H27" s="372" t="s">
        <v>5</v>
      </c>
      <c r="I27" s="381">
        <v>33187</v>
      </c>
      <c r="J27" s="373">
        <f t="shared" si="2"/>
        <v>796488</v>
      </c>
    </row>
    <row r="28" spans="1:10" s="144" customFormat="1" ht="24.95" customHeight="1" x14ac:dyDescent="0.25">
      <c r="A28" s="372">
        <f t="shared" si="3"/>
        <v>18</v>
      </c>
      <c r="B28" s="378" t="s">
        <v>271</v>
      </c>
      <c r="C28" s="368">
        <v>2</v>
      </c>
      <c r="D28" s="368">
        <v>0</v>
      </c>
      <c r="E28" s="368"/>
      <c r="F28" s="368"/>
      <c r="G28" s="373">
        <f t="shared" si="1"/>
        <v>2</v>
      </c>
      <c r="H28" s="368" t="s">
        <v>5</v>
      </c>
      <c r="I28" s="379">
        <v>194238.62</v>
      </c>
      <c r="J28" s="373">
        <f t="shared" si="2"/>
        <v>388477.24</v>
      </c>
    </row>
    <row r="29" spans="1:10" s="144" customFormat="1" ht="24.95" customHeight="1" x14ac:dyDescent="0.25">
      <c r="A29" s="372">
        <f t="shared" si="3"/>
        <v>19</v>
      </c>
      <c r="B29" s="383" t="s">
        <v>272</v>
      </c>
      <c r="C29" s="368">
        <v>2</v>
      </c>
      <c r="D29" s="368">
        <v>0</v>
      </c>
      <c r="E29" s="368"/>
      <c r="F29" s="368"/>
      <c r="G29" s="373">
        <f t="shared" si="1"/>
        <v>2</v>
      </c>
      <c r="H29" s="368" t="s">
        <v>5</v>
      </c>
      <c r="I29" s="379">
        <v>5712.4980000000005</v>
      </c>
      <c r="J29" s="403">
        <f t="shared" si="2"/>
        <v>11424.996000000001</v>
      </c>
    </row>
    <row r="30" spans="1:10" s="147" customFormat="1" ht="24.95" customHeight="1" x14ac:dyDescent="0.25">
      <c r="A30" s="372">
        <f t="shared" si="3"/>
        <v>20</v>
      </c>
      <c r="B30" s="384" t="s">
        <v>273</v>
      </c>
      <c r="C30" s="368">
        <v>1</v>
      </c>
      <c r="D30" s="368">
        <v>0</v>
      </c>
      <c r="E30" s="368"/>
      <c r="F30" s="368"/>
      <c r="G30" s="373">
        <f t="shared" si="1"/>
        <v>1</v>
      </c>
      <c r="H30" s="368" t="s">
        <v>5</v>
      </c>
      <c r="I30" s="385">
        <v>3540</v>
      </c>
      <c r="J30" s="373">
        <f t="shared" si="2"/>
        <v>3540</v>
      </c>
    </row>
    <row r="31" spans="1:10" s="147" customFormat="1" ht="24.95" customHeight="1" x14ac:dyDescent="0.25">
      <c r="A31" s="372">
        <f t="shared" si="3"/>
        <v>21</v>
      </c>
      <c r="B31" s="384" t="s">
        <v>377</v>
      </c>
      <c r="C31" s="368">
        <v>2</v>
      </c>
      <c r="D31" s="368">
        <v>0</v>
      </c>
      <c r="E31" s="368"/>
      <c r="F31" s="368"/>
      <c r="G31" s="373">
        <f t="shared" si="1"/>
        <v>2</v>
      </c>
      <c r="H31" s="368" t="s">
        <v>5</v>
      </c>
      <c r="I31" s="385">
        <v>68948.58</v>
      </c>
      <c r="J31" s="373">
        <f t="shared" si="2"/>
        <v>137897.16</v>
      </c>
    </row>
    <row r="32" spans="1:10" s="147" customFormat="1" ht="24.95" customHeight="1" x14ac:dyDescent="0.25">
      <c r="A32" s="372">
        <v>22</v>
      </c>
      <c r="B32" s="378" t="s">
        <v>274</v>
      </c>
      <c r="C32" s="368">
        <v>300</v>
      </c>
      <c r="D32" s="368">
        <v>0</v>
      </c>
      <c r="E32" s="368"/>
      <c r="F32" s="368"/>
      <c r="G32" s="373">
        <f t="shared" si="1"/>
        <v>300</v>
      </c>
      <c r="H32" s="368" t="s">
        <v>41</v>
      </c>
      <c r="I32" s="379">
        <v>138.65</v>
      </c>
      <c r="J32" s="373">
        <f t="shared" si="2"/>
        <v>41595</v>
      </c>
    </row>
    <row r="33" spans="1:10" s="147" customFormat="1" ht="24.95" customHeight="1" x14ac:dyDescent="0.25">
      <c r="A33" s="372">
        <f>A32+1</f>
        <v>23</v>
      </c>
      <c r="B33" s="383" t="s">
        <v>275</v>
      </c>
      <c r="C33" s="368">
        <v>120</v>
      </c>
      <c r="D33" s="368">
        <v>0</v>
      </c>
      <c r="E33" s="368"/>
      <c r="F33" s="368"/>
      <c r="G33" s="373">
        <f t="shared" si="1"/>
        <v>120</v>
      </c>
      <c r="H33" s="368" t="s">
        <v>41</v>
      </c>
      <c r="I33" s="379">
        <v>172.87</v>
      </c>
      <c r="J33" s="373">
        <f t="shared" si="2"/>
        <v>20744.400000000001</v>
      </c>
    </row>
    <row r="34" spans="1:10" s="147" customFormat="1" ht="24.95" customHeight="1" x14ac:dyDescent="0.25">
      <c r="A34" s="372">
        <f>A33+1</f>
        <v>24</v>
      </c>
      <c r="B34" s="383" t="s">
        <v>276</v>
      </c>
      <c r="C34" s="368">
        <v>3</v>
      </c>
      <c r="D34" s="368">
        <v>0</v>
      </c>
      <c r="E34" s="368"/>
      <c r="F34" s="368"/>
      <c r="G34" s="373">
        <f t="shared" si="1"/>
        <v>3</v>
      </c>
      <c r="H34" s="368" t="s">
        <v>5</v>
      </c>
      <c r="I34" s="379">
        <v>7237</v>
      </c>
      <c r="J34" s="373">
        <f t="shared" si="2"/>
        <v>21711</v>
      </c>
    </row>
    <row r="35" spans="1:10" s="147" customFormat="1" ht="24.95" customHeight="1" x14ac:dyDescent="0.25">
      <c r="A35" s="372">
        <f>A34+1</f>
        <v>25</v>
      </c>
      <c r="B35" s="383" t="s">
        <v>277</v>
      </c>
      <c r="C35" s="368">
        <v>3</v>
      </c>
      <c r="D35" s="368">
        <v>0</v>
      </c>
      <c r="E35" s="368"/>
      <c r="F35" s="368"/>
      <c r="G35" s="373">
        <f t="shared" si="1"/>
        <v>3</v>
      </c>
      <c r="H35" s="368" t="s">
        <v>5</v>
      </c>
      <c r="I35" s="379">
        <v>9521</v>
      </c>
      <c r="J35" s="373">
        <f t="shared" si="2"/>
        <v>28563</v>
      </c>
    </row>
    <row r="36" spans="1:10" s="147" customFormat="1" ht="24.95" customHeight="1" x14ac:dyDescent="0.25">
      <c r="A36" s="372">
        <f>A35+1</f>
        <v>26</v>
      </c>
      <c r="B36" s="367" t="s">
        <v>278</v>
      </c>
      <c r="C36" s="368">
        <v>4</v>
      </c>
      <c r="D36" s="368">
        <v>0</v>
      </c>
      <c r="E36" s="368"/>
      <c r="F36" s="368"/>
      <c r="G36" s="373">
        <f t="shared" si="1"/>
        <v>4</v>
      </c>
      <c r="H36" s="368" t="s">
        <v>5</v>
      </c>
      <c r="I36" s="379">
        <v>1180</v>
      </c>
      <c r="J36" s="373">
        <f t="shared" si="2"/>
        <v>4720</v>
      </c>
    </row>
    <row r="37" spans="1:10" s="144" customFormat="1" ht="24.95" customHeight="1" x14ac:dyDescent="0.25">
      <c r="A37" s="372">
        <v>27</v>
      </c>
      <c r="B37" s="367" t="s">
        <v>279</v>
      </c>
      <c r="C37" s="368">
        <v>1</v>
      </c>
      <c r="D37" s="368">
        <v>0</v>
      </c>
      <c r="E37" s="368"/>
      <c r="F37" s="368"/>
      <c r="G37" s="373">
        <f t="shared" si="1"/>
        <v>1</v>
      </c>
      <c r="H37" s="372" t="s">
        <v>5</v>
      </c>
      <c r="I37" s="381">
        <v>37760</v>
      </c>
      <c r="J37" s="373">
        <f t="shared" si="2"/>
        <v>37760</v>
      </c>
    </row>
    <row r="38" spans="1:10" s="144" customFormat="1" ht="24.95" customHeight="1" x14ac:dyDescent="0.25">
      <c r="A38" s="372">
        <f>A37+1</f>
        <v>28</v>
      </c>
      <c r="B38" s="367" t="s">
        <v>280</v>
      </c>
      <c r="C38" s="368">
        <v>1</v>
      </c>
      <c r="D38" s="368">
        <v>0</v>
      </c>
      <c r="E38" s="368"/>
      <c r="F38" s="368"/>
      <c r="G38" s="373">
        <f t="shared" si="1"/>
        <v>1</v>
      </c>
      <c r="H38" s="372" t="s">
        <v>5</v>
      </c>
      <c r="I38" s="386">
        <v>144550</v>
      </c>
      <c r="J38" s="373">
        <f t="shared" si="2"/>
        <v>144550</v>
      </c>
    </row>
    <row r="39" spans="1:10" s="144" customFormat="1" ht="24.95" customHeight="1" x14ac:dyDescent="0.25">
      <c r="A39" s="372">
        <v>29</v>
      </c>
      <c r="B39" s="367" t="s">
        <v>281</v>
      </c>
      <c r="C39" s="368">
        <v>1</v>
      </c>
      <c r="D39" s="368">
        <v>0</v>
      </c>
      <c r="E39" s="368"/>
      <c r="F39" s="368"/>
      <c r="G39" s="373">
        <f t="shared" si="1"/>
        <v>1</v>
      </c>
      <c r="H39" s="372" t="s">
        <v>282</v>
      </c>
      <c r="I39" s="387">
        <v>236000</v>
      </c>
      <c r="J39" s="373">
        <f t="shared" si="2"/>
        <v>236000</v>
      </c>
    </row>
    <row r="40" spans="1:10" s="14" customFormat="1" ht="24.95" customHeight="1" x14ac:dyDescent="0.25">
      <c r="A40" s="372">
        <v>30</v>
      </c>
      <c r="B40" s="367" t="s">
        <v>67</v>
      </c>
      <c r="C40" s="368">
        <v>50</v>
      </c>
      <c r="D40" s="368">
        <v>0</v>
      </c>
      <c r="E40" s="368">
        <v>100</v>
      </c>
      <c r="F40" s="368">
        <v>16</v>
      </c>
      <c r="G40" s="373">
        <f t="shared" si="1"/>
        <v>166</v>
      </c>
      <c r="H40" s="372" t="s">
        <v>178</v>
      </c>
      <c r="I40" s="368">
        <v>1480</v>
      </c>
      <c r="J40" s="373">
        <f t="shared" si="2"/>
        <v>245680</v>
      </c>
    </row>
    <row r="41" spans="1:10" s="14" customFormat="1" ht="24.95" customHeight="1" x14ac:dyDescent="0.25">
      <c r="A41" s="372">
        <v>31</v>
      </c>
      <c r="B41" s="391" t="s">
        <v>283</v>
      </c>
      <c r="C41" s="368">
        <v>4</v>
      </c>
      <c r="D41" s="368">
        <v>0</v>
      </c>
      <c r="E41" s="368">
        <v>6</v>
      </c>
      <c r="F41" s="368"/>
      <c r="G41" s="373">
        <f t="shared" si="1"/>
        <v>10</v>
      </c>
      <c r="H41" s="372" t="s">
        <v>5</v>
      </c>
      <c r="I41" s="372">
        <v>69390</v>
      </c>
      <c r="J41" s="373">
        <f t="shared" si="2"/>
        <v>693900</v>
      </c>
    </row>
    <row r="42" spans="1:10" ht="24.95" customHeight="1" x14ac:dyDescent="0.2">
      <c r="A42" s="372">
        <v>32</v>
      </c>
      <c r="B42" s="367" t="s">
        <v>284</v>
      </c>
      <c r="C42" s="372">
        <v>0</v>
      </c>
      <c r="D42" s="372">
        <v>1</v>
      </c>
      <c r="E42" s="372"/>
      <c r="F42" s="372"/>
      <c r="G42" s="373">
        <f t="shared" si="1"/>
        <v>1</v>
      </c>
      <c r="H42" s="372" t="s">
        <v>5</v>
      </c>
      <c r="I42" s="392">
        <v>41300</v>
      </c>
      <c r="J42" s="373">
        <f t="shared" si="2"/>
        <v>41300</v>
      </c>
    </row>
    <row r="43" spans="1:10" ht="24.95" customHeight="1" x14ac:dyDescent="0.2">
      <c r="A43" s="372">
        <f t="shared" ref="A43:A57" si="4">A42+1</f>
        <v>33</v>
      </c>
      <c r="B43" s="367" t="s">
        <v>285</v>
      </c>
      <c r="C43" s="372">
        <v>0</v>
      </c>
      <c r="D43" s="372">
        <v>1</v>
      </c>
      <c r="E43" s="372"/>
      <c r="F43" s="372"/>
      <c r="G43" s="373">
        <f t="shared" si="1"/>
        <v>1</v>
      </c>
      <c r="H43" s="372" t="s">
        <v>5</v>
      </c>
      <c r="I43" s="392">
        <v>6637.5</v>
      </c>
      <c r="J43" s="373">
        <f t="shared" si="2"/>
        <v>6637.5</v>
      </c>
    </row>
    <row r="44" spans="1:10" ht="24.95" customHeight="1" x14ac:dyDescent="0.2">
      <c r="A44" s="372">
        <f t="shared" si="4"/>
        <v>34</v>
      </c>
      <c r="B44" s="367" t="s">
        <v>286</v>
      </c>
      <c r="C44" s="372">
        <v>0</v>
      </c>
      <c r="D44" s="372">
        <v>1</v>
      </c>
      <c r="E44" s="372"/>
      <c r="F44" s="372"/>
      <c r="G44" s="373">
        <f t="shared" si="1"/>
        <v>1</v>
      </c>
      <c r="H44" s="372" t="s">
        <v>5</v>
      </c>
      <c r="I44" s="392">
        <v>27582.5</v>
      </c>
      <c r="J44" s="373">
        <f t="shared" si="2"/>
        <v>27582.5</v>
      </c>
    </row>
    <row r="45" spans="1:10" ht="24.95" customHeight="1" x14ac:dyDescent="0.2">
      <c r="A45" s="372">
        <f t="shared" si="4"/>
        <v>35</v>
      </c>
      <c r="B45" s="367" t="s">
        <v>287</v>
      </c>
      <c r="C45" s="372">
        <v>0</v>
      </c>
      <c r="D45" s="372">
        <v>2</v>
      </c>
      <c r="E45" s="372"/>
      <c r="F45" s="372"/>
      <c r="G45" s="373">
        <f t="shared" si="1"/>
        <v>2</v>
      </c>
      <c r="H45" s="372" t="s">
        <v>5</v>
      </c>
      <c r="I45" s="393">
        <v>144550</v>
      </c>
      <c r="J45" s="373">
        <f t="shared" si="2"/>
        <v>289100</v>
      </c>
    </row>
    <row r="46" spans="1:10" ht="24.95" customHeight="1" x14ac:dyDescent="0.2">
      <c r="A46" s="372">
        <v>36</v>
      </c>
      <c r="B46" s="367" t="s">
        <v>288</v>
      </c>
      <c r="C46" s="372">
        <v>0</v>
      </c>
      <c r="D46" s="372">
        <v>1</v>
      </c>
      <c r="E46" s="372"/>
      <c r="F46" s="372"/>
      <c r="G46" s="373">
        <f t="shared" si="1"/>
        <v>1</v>
      </c>
      <c r="H46" s="372" t="s">
        <v>5</v>
      </c>
      <c r="I46" s="393">
        <v>142662</v>
      </c>
      <c r="J46" s="373">
        <f t="shared" si="2"/>
        <v>142662</v>
      </c>
    </row>
    <row r="47" spans="1:10" ht="24.95" customHeight="1" x14ac:dyDescent="0.2">
      <c r="A47" s="372">
        <f t="shared" si="4"/>
        <v>37</v>
      </c>
      <c r="B47" s="367" t="s">
        <v>289</v>
      </c>
      <c r="C47" s="372">
        <v>0</v>
      </c>
      <c r="D47" s="372">
        <v>1</v>
      </c>
      <c r="E47" s="372"/>
      <c r="F47" s="372"/>
      <c r="G47" s="373">
        <f t="shared" si="1"/>
        <v>1</v>
      </c>
      <c r="H47" s="372" t="s">
        <v>5</v>
      </c>
      <c r="I47" s="392">
        <v>28072.2</v>
      </c>
      <c r="J47" s="373">
        <f t="shared" si="2"/>
        <v>28072.2</v>
      </c>
    </row>
    <row r="48" spans="1:10" ht="24.95" customHeight="1" x14ac:dyDescent="0.2">
      <c r="A48" s="372">
        <f t="shared" si="4"/>
        <v>38</v>
      </c>
      <c r="B48" s="367" t="s">
        <v>290</v>
      </c>
      <c r="C48" s="372">
        <v>0</v>
      </c>
      <c r="D48" s="372">
        <v>1</v>
      </c>
      <c r="E48" s="372"/>
      <c r="F48" s="372"/>
      <c r="G48" s="373">
        <f t="shared" si="1"/>
        <v>1</v>
      </c>
      <c r="H48" s="372" t="s">
        <v>291</v>
      </c>
      <c r="I48" s="392">
        <v>87025</v>
      </c>
      <c r="J48" s="373">
        <f t="shared" si="2"/>
        <v>87025</v>
      </c>
    </row>
    <row r="49" spans="1:10" ht="24.95" customHeight="1" x14ac:dyDescent="0.2">
      <c r="A49" s="372">
        <f t="shared" si="4"/>
        <v>39</v>
      </c>
      <c r="B49" s="367" t="s">
        <v>292</v>
      </c>
      <c r="C49" s="372">
        <v>0</v>
      </c>
      <c r="D49" s="372">
        <v>4</v>
      </c>
      <c r="E49" s="372"/>
      <c r="F49" s="372"/>
      <c r="G49" s="373">
        <f t="shared" si="1"/>
        <v>4</v>
      </c>
      <c r="H49" s="372" t="s">
        <v>291</v>
      </c>
      <c r="I49" s="392">
        <v>27287.5</v>
      </c>
      <c r="J49" s="373">
        <f t="shared" si="2"/>
        <v>109150</v>
      </c>
    </row>
    <row r="50" spans="1:10" ht="24.95" customHeight="1" x14ac:dyDescent="0.2">
      <c r="A50" s="372">
        <f t="shared" si="4"/>
        <v>40</v>
      </c>
      <c r="B50" s="367" t="s">
        <v>293</v>
      </c>
      <c r="C50" s="372">
        <v>0</v>
      </c>
      <c r="D50" s="372">
        <v>2</v>
      </c>
      <c r="E50" s="372"/>
      <c r="F50" s="372"/>
      <c r="G50" s="373">
        <f t="shared" si="1"/>
        <v>2</v>
      </c>
      <c r="H50" s="372" t="s">
        <v>5</v>
      </c>
      <c r="I50" s="392">
        <v>230100</v>
      </c>
      <c r="J50" s="373">
        <f t="shared" si="2"/>
        <v>460200</v>
      </c>
    </row>
    <row r="51" spans="1:10" ht="24.95" customHeight="1" x14ac:dyDescent="0.2">
      <c r="A51" s="372">
        <f t="shared" si="4"/>
        <v>41</v>
      </c>
      <c r="B51" s="367" t="s">
        <v>294</v>
      </c>
      <c r="C51" s="368">
        <v>0</v>
      </c>
      <c r="D51" s="368">
        <v>14</v>
      </c>
      <c r="E51" s="368"/>
      <c r="F51" s="368"/>
      <c r="G51" s="373">
        <f t="shared" si="1"/>
        <v>14</v>
      </c>
      <c r="H51" s="367" t="s">
        <v>5</v>
      </c>
      <c r="I51" s="394">
        <v>29990</v>
      </c>
      <c r="J51" s="373">
        <f t="shared" si="2"/>
        <v>419860</v>
      </c>
    </row>
    <row r="52" spans="1:10" ht="24.95" customHeight="1" x14ac:dyDescent="0.2">
      <c r="A52" s="372">
        <f t="shared" si="4"/>
        <v>42</v>
      </c>
      <c r="B52" s="367" t="s">
        <v>295</v>
      </c>
      <c r="C52" s="368">
        <v>0</v>
      </c>
      <c r="D52" s="368">
        <v>2</v>
      </c>
      <c r="E52" s="368"/>
      <c r="F52" s="368"/>
      <c r="G52" s="373">
        <f t="shared" si="1"/>
        <v>2</v>
      </c>
      <c r="H52" s="367" t="s">
        <v>5</v>
      </c>
      <c r="I52" s="394">
        <v>19666</v>
      </c>
      <c r="J52" s="373">
        <f t="shared" si="2"/>
        <v>39332</v>
      </c>
    </row>
    <row r="53" spans="1:10" ht="24.95" customHeight="1" x14ac:dyDescent="0.2">
      <c r="A53" s="372">
        <f t="shared" si="4"/>
        <v>43</v>
      </c>
      <c r="B53" s="367" t="s">
        <v>296</v>
      </c>
      <c r="C53" s="372">
        <v>0</v>
      </c>
      <c r="D53" s="372">
        <v>3</v>
      </c>
      <c r="E53" s="372"/>
      <c r="F53" s="372"/>
      <c r="G53" s="373">
        <f t="shared" si="1"/>
        <v>3</v>
      </c>
      <c r="H53" s="372" t="s">
        <v>5</v>
      </c>
      <c r="I53" s="395">
        <v>86000</v>
      </c>
      <c r="J53" s="373">
        <f t="shared" si="2"/>
        <v>258000</v>
      </c>
    </row>
    <row r="54" spans="1:10" ht="24.95" customHeight="1" x14ac:dyDescent="0.2">
      <c r="A54" s="372">
        <f t="shared" si="4"/>
        <v>44</v>
      </c>
      <c r="B54" s="367" t="s">
        <v>297</v>
      </c>
      <c r="C54" s="372">
        <v>0</v>
      </c>
      <c r="D54" s="372">
        <v>3</v>
      </c>
      <c r="E54" s="372"/>
      <c r="F54" s="372"/>
      <c r="G54" s="373">
        <f t="shared" si="1"/>
        <v>3</v>
      </c>
      <c r="H54" s="372" t="s">
        <v>5</v>
      </c>
      <c r="I54" s="392">
        <v>21387.5</v>
      </c>
      <c r="J54" s="373">
        <f t="shared" si="2"/>
        <v>64162.5</v>
      </c>
    </row>
    <row r="55" spans="1:10" ht="24.95" customHeight="1" x14ac:dyDescent="0.2">
      <c r="A55" s="372">
        <f t="shared" si="4"/>
        <v>45</v>
      </c>
      <c r="B55" s="367" t="s">
        <v>298</v>
      </c>
      <c r="C55" s="372">
        <v>0</v>
      </c>
      <c r="D55" s="372">
        <v>3</v>
      </c>
      <c r="E55" s="372"/>
      <c r="F55" s="372"/>
      <c r="G55" s="373">
        <f t="shared" si="1"/>
        <v>3</v>
      </c>
      <c r="H55" s="372" t="s">
        <v>5</v>
      </c>
      <c r="I55" s="392">
        <v>27287.5</v>
      </c>
      <c r="J55" s="373">
        <f t="shared" si="2"/>
        <v>81862.5</v>
      </c>
    </row>
    <row r="56" spans="1:10" ht="24.95" customHeight="1" x14ac:dyDescent="0.2">
      <c r="A56" s="372">
        <f t="shared" si="4"/>
        <v>46</v>
      </c>
      <c r="B56" s="367" t="s">
        <v>299</v>
      </c>
      <c r="C56" s="372">
        <v>0</v>
      </c>
      <c r="D56" s="372">
        <v>2</v>
      </c>
      <c r="E56" s="372"/>
      <c r="F56" s="372"/>
      <c r="G56" s="373">
        <f t="shared" si="1"/>
        <v>2</v>
      </c>
      <c r="H56" s="372" t="s">
        <v>5</v>
      </c>
      <c r="I56" s="392">
        <v>369576</v>
      </c>
      <c r="J56" s="373">
        <f t="shared" si="2"/>
        <v>739152</v>
      </c>
    </row>
    <row r="57" spans="1:10" ht="24.95" customHeight="1" x14ac:dyDescent="0.2">
      <c r="A57" s="372">
        <f t="shared" si="4"/>
        <v>47</v>
      </c>
      <c r="B57" s="367" t="s">
        <v>300</v>
      </c>
      <c r="C57" s="372">
        <v>0</v>
      </c>
      <c r="D57" s="372">
        <v>1</v>
      </c>
      <c r="E57" s="372"/>
      <c r="F57" s="372"/>
      <c r="G57" s="373">
        <f t="shared" si="1"/>
        <v>1</v>
      </c>
      <c r="H57" s="372" t="s">
        <v>5</v>
      </c>
      <c r="I57" s="392">
        <v>204140</v>
      </c>
      <c r="J57" s="373">
        <f t="shared" si="2"/>
        <v>204140</v>
      </c>
    </row>
    <row r="58" spans="1:10" ht="24.95" customHeight="1" x14ac:dyDescent="0.2">
      <c r="A58" s="372">
        <v>48</v>
      </c>
      <c r="B58" s="367" t="s">
        <v>301</v>
      </c>
      <c r="C58" s="372">
        <v>0</v>
      </c>
      <c r="D58" s="372">
        <v>1</v>
      </c>
      <c r="E58" s="372"/>
      <c r="F58" s="372"/>
      <c r="G58" s="373">
        <f t="shared" si="1"/>
        <v>1</v>
      </c>
      <c r="H58" s="372" t="s">
        <v>302</v>
      </c>
      <c r="I58" s="392">
        <v>54280</v>
      </c>
      <c r="J58" s="373">
        <f t="shared" si="2"/>
        <v>54280</v>
      </c>
    </row>
    <row r="59" spans="1:10" ht="24.95" customHeight="1" x14ac:dyDescent="0.2">
      <c r="A59" s="372">
        <f>A58+1</f>
        <v>49</v>
      </c>
      <c r="B59" s="367" t="s">
        <v>303</v>
      </c>
      <c r="C59" s="372">
        <v>0</v>
      </c>
      <c r="D59" s="372">
        <v>4</v>
      </c>
      <c r="E59" s="372"/>
      <c r="F59" s="372"/>
      <c r="G59" s="373">
        <f t="shared" si="1"/>
        <v>4</v>
      </c>
      <c r="H59" s="372" t="s">
        <v>5</v>
      </c>
      <c r="I59" s="392">
        <v>16189.599999999999</v>
      </c>
      <c r="J59" s="373">
        <f t="shared" si="2"/>
        <v>64758.399999999994</v>
      </c>
    </row>
    <row r="60" spans="1:10" ht="24.95" customHeight="1" x14ac:dyDescent="0.2">
      <c r="A60" s="372">
        <f>A59+1</f>
        <v>50</v>
      </c>
      <c r="B60" s="367" t="s">
        <v>304</v>
      </c>
      <c r="C60" s="372">
        <v>0</v>
      </c>
      <c r="D60" s="372">
        <v>100</v>
      </c>
      <c r="E60" s="372"/>
      <c r="F60" s="372"/>
      <c r="G60" s="373">
        <f t="shared" si="1"/>
        <v>100</v>
      </c>
      <c r="H60" s="372" t="s">
        <v>4</v>
      </c>
      <c r="I60" s="392">
        <v>49.559999999999995</v>
      </c>
      <c r="J60" s="373">
        <f t="shared" si="2"/>
        <v>4955.9999999999991</v>
      </c>
    </row>
    <row r="61" spans="1:10" s="6" customFormat="1" ht="24.95" customHeight="1" x14ac:dyDescent="0.25">
      <c r="A61" s="372">
        <v>51</v>
      </c>
      <c r="B61" s="367" t="s">
        <v>372</v>
      </c>
      <c r="C61" s="387">
        <v>0</v>
      </c>
      <c r="D61" s="387">
        <v>1</v>
      </c>
      <c r="E61" s="387"/>
      <c r="F61" s="387"/>
      <c r="G61" s="373">
        <f t="shared" si="1"/>
        <v>1</v>
      </c>
      <c r="H61" s="379" t="s">
        <v>5</v>
      </c>
      <c r="I61" s="396">
        <v>140000</v>
      </c>
      <c r="J61" s="373">
        <f t="shared" si="2"/>
        <v>140000</v>
      </c>
    </row>
    <row r="62" spans="1:10" ht="24.95" customHeight="1" x14ac:dyDescent="0.2">
      <c r="A62" s="372">
        <f>A61+1</f>
        <v>52</v>
      </c>
      <c r="B62" s="378" t="s">
        <v>305</v>
      </c>
      <c r="C62" s="379">
        <v>0</v>
      </c>
      <c r="D62" s="387">
        <v>1</v>
      </c>
      <c r="E62" s="387"/>
      <c r="F62" s="387"/>
      <c r="G62" s="373">
        <f t="shared" si="1"/>
        <v>1</v>
      </c>
      <c r="H62" s="379" t="s">
        <v>302</v>
      </c>
      <c r="I62" s="396">
        <v>153400</v>
      </c>
      <c r="J62" s="373">
        <f t="shared" si="2"/>
        <v>153400</v>
      </c>
    </row>
    <row r="63" spans="1:10" ht="24.95" customHeight="1" x14ac:dyDescent="0.2">
      <c r="A63" s="372">
        <v>53</v>
      </c>
      <c r="B63" s="367" t="s">
        <v>322</v>
      </c>
      <c r="C63" s="368">
        <v>2</v>
      </c>
      <c r="D63" s="368">
        <v>2</v>
      </c>
      <c r="E63" s="368"/>
      <c r="F63" s="368">
        <v>2</v>
      </c>
      <c r="G63" s="373">
        <f>C63+D63+E63+F63</f>
        <v>6</v>
      </c>
      <c r="H63" s="368" t="s">
        <v>178</v>
      </c>
      <c r="I63" s="379">
        <v>15443</v>
      </c>
      <c r="J63" s="373">
        <f>G63*I63</f>
        <v>92658</v>
      </c>
    </row>
    <row r="64" spans="1:10" ht="24.95" customHeight="1" x14ac:dyDescent="0.2">
      <c r="A64" s="368">
        <v>54</v>
      </c>
      <c r="B64" s="367" t="s">
        <v>111</v>
      </c>
      <c r="C64" s="368"/>
      <c r="D64" s="368"/>
      <c r="E64" s="368">
        <v>3</v>
      </c>
      <c r="F64" s="368"/>
      <c r="G64" s="373">
        <f>C64+D64+E64+F64</f>
        <v>3</v>
      </c>
      <c r="H64" s="372" t="s">
        <v>1</v>
      </c>
      <c r="I64" s="372">
        <v>83200</v>
      </c>
      <c r="J64" s="373">
        <f>G64*I64</f>
        <v>249600</v>
      </c>
    </row>
    <row r="65" spans="1:10" ht="24.95" customHeight="1" x14ac:dyDescent="0.2">
      <c r="A65" s="368">
        <v>55</v>
      </c>
      <c r="B65" s="367" t="s">
        <v>6</v>
      </c>
      <c r="C65" s="368"/>
      <c r="D65" s="368"/>
      <c r="E65" s="368">
        <v>5</v>
      </c>
      <c r="F65" s="368">
        <v>1</v>
      </c>
      <c r="G65" s="373">
        <f>C65+D65+E65+F65</f>
        <v>6</v>
      </c>
      <c r="H65" s="368" t="s">
        <v>1</v>
      </c>
      <c r="I65" s="381">
        <v>80709.64</v>
      </c>
      <c r="J65" s="373">
        <f>G65*I65</f>
        <v>484257.83999999997</v>
      </c>
    </row>
    <row r="66" spans="1:10" s="145" customFormat="1" ht="16.5" customHeight="1" x14ac:dyDescent="0.2">
      <c r="A66" s="369"/>
      <c r="B66" s="374" t="s">
        <v>242</v>
      </c>
      <c r="C66" s="369"/>
      <c r="D66" s="369"/>
      <c r="E66" s="369"/>
      <c r="F66" s="369"/>
      <c r="G66" s="371"/>
      <c r="H66" s="369"/>
      <c r="I66" s="369"/>
      <c r="J66" s="369">
        <f>SUM(J11:J65)</f>
        <v>10197160.216</v>
      </c>
    </row>
    <row r="67" spans="1:10" s="81" customFormat="1" ht="18" customHeight="1" x14ac:dyDescent="0.2">
      <c r="A67" s="368"/>
      <c r="B67" s="377"/>
      <c r="C67" s="377"/>
      <c r="D67" s="377"/>
      <c r="E67" s="377"/>
      <c r="F67" s="377"/>
      <c r="G67" s="377"/>
      <c r="H67" s="377"/>
      <c r="I67" s="377"/>
      <c r="J67" s="377"/>
    </row>
    <row r="68" spans="1:10" s="128" customFormat="1" ht="15.75" customHeight="1" x14ac:dyDescent="0.25">
      <c r="A68" s="369" t="s">
        <v>243</v>
      </c>
      <c r="B68" s="370" t="s">
        <v>307</v>
      </c>
      <c r="C68" s="369"/>
      <c r="D68" s="369"/>
      <c r="E68" s="369"/>
      <c r="F68" s="369"/>
      <c r="G68" s="371"/>
      <c r="H68" s="369"/>
      <c r="I68" s="369"/>
      <c r="J68" s="369"/>
    </row>
    <row r="69" spans="1:10" s="144" customFormat="1" ht="24.95" customHeight="1" x14ac:dyDescent="0.25">
      <c r="A69" s="372">
        <v>1</v>
      </c>
      <c r="B69" s="367" t="s">
        <v>308</v>
      </c>
      <c r="C69" s="368">
        <v>1</v>
      </c>
      <c r="D69" s="368">
        <v>0</v>
      </c>
      <c r="E69" s="368"/>
      <c r="F69" s="368"/>
      <c r="G69" s="373">
        <f t="shared" ref="G69:G122" si="5">C69+D69+E69+F69</f>
        <v>1</v>
      </c>
      <c r="H69" s="372" t="s">
        <v>309</v>
      </c>
      <c r="I69" s="381">
        <v>50995.43</v>
      </c>
      <c r="J69" s="373">
        <f t="shared" ref="J69:J122" si="6">G69*I69</f>
        <v>50995.43</v>
      </c>
    </row>
    <row r="70" spans="1:10" s="144" customFormat="1" ht="24.95" customHeight="1" x14ac:dyDescent="0.25">
      <c r="A70" s="372">
        <f>A69+1</f>
        <v>2</v>
      </c>
      <c r="B70" s="367" t="s">
        <v>310</v>
      </c>
      <c r="C70" s="368">
        <v>2</v>
      </c>
      <c r="D70" s="368">
        <v>0</v>
      </c>
      <c r="E70" s="368"/>
      <c r="F70" s="368"/>
      <c r="G70" s="373">
        <f t="shared" si="5"/>
        <v>2</v>
      </c>
      <c r="H70" s="368" t="s">
        <v>178</v>
      </c>
      <c r="I70" s="379">
        <v>83294.11</v>
      </c>
      <c r="J70" s="373">
        <f t="shared" si="6"/>
        <v>166588.22</v>
      </c>
    </row>
    <row r="71" spans="1:10" s="144" customFormat="1" ht="24.95" customHeight="1" x14ac:dyDescent="0.25">
      <c r="A71" s="372">
        <v>3</v>
      </c>
      <c r="B71" s="367" t="s">
        <v>311</v>
      </c>
      <c r="C71" s="368">
        <v>1</v>
      </c>
      <c r="D71" s="368">
        <v>0</v>
      </c>
      <c r="E71" s="368"/>
      <c r="F71" s="368"/>
      <c r="G71" s="373">
        <f t="shared" si="5"/>
        <v>1</v>
      </c>
      <c r="H71" s="372" t="s">
        <v>5</v>
      </c>
      <c r="I71" s="381">
        <v>26937.31</v>
      </c>
      <c r="J71" s="373">
        <f t="shared" si="6"/>
        <v>26937.31</v>
      </c>
    </row>
    <row r="72" spans="1:10" s="144" customFormat="1" ht="24.95" customHeight="1" x14ac:dyDescent="0.25">
      <c r="A72" s="372">
        <f t="shared" ref="A72:A119" si="7">A71+1</f>
        <v>4</v>
      </c>
      <c r="B72" s="397" t="s">
        <v>312</v>
      </c>
      <c r="C72" s="368">
        <v>1</v>
      </c>
      <c r="D72" s="368">
        <v>0</v>
      </c>
      <c r="E72" s="368"/>
      <c r="F72" s="368"/>
      <c r="G72" s="373">
        <f t="shared" si="5"/>
        <v>1</v>
      </c>
      <c r="H72" s="372" t="s">
        <v>5</v>
      </c>
      <c r="I72" s="386">
        <v>120802.5</v>
      </c>
      <c r="J72" s="373">
        <f t="shared" si="6"/>
        <v>120802.5</v>
      </c>
    </row>
    <row r="73" spans="1:10" ht="24.95" customHeight="1" x14ac:dyDescent="0.2">
      <c r="A73" s="372">
        <f t="shared" si="7"/>
        <v>5</v>
      </c>
      <c r="B73" s="367" t="s">
        <v>313</v>
      </c>
      <c r="C73" s="368">
        <v>1</v>
      </c>
      <c r="D73" s="368">
        <v>0</v>
      </c>
      <c r="E73" s="368"/>
      <c r="F73" s="368"/>
      <c r="G73" s="373">
        <f t="shared" si="5"/>
        <v>1</v>
      </c>
      <c r="H73" s="372" t="s">
        <v>5</v>
      </c>
      <c r="I73" s="372">
        <v>31270</v>
      </c>
      <c r="J73" s="373">
        <f t="shared" si="6"/>
        <v>31270</v>
      </c>
    </row>
    <row r="74" spans="1:10" s="144" customFormat="1" ht="24.95" customHeight="1" x14ac:dyDescent="0.25">
      <c r="A74" s="372">
        <v>6</v>
      </c>
      <c r="B74" s="367" t="s">
        <v>314</v>
      </c>
      <c r="C74" s="368">
        <v>4</v>
      </c>
      <c r="D74" s="368">
        <v>0</v>
      </c>
      <c r="E74" s="368"/>
      <c r="F74" s="368"/>
      <c r="G74" s="373">
        <f t="shared" si="5"/>
        <v>4</v>
      </c>
      <c r="H74" s="372" t="s">
        <v>5</v>
      </c>
      <c r="I74" s="381">
        <v>8179.7599999999993</v>
      </c>
      <c r="J74" s="373">
        <f t="shared" si="6"/>
        <v>32719.039999999997</v>
      </c>
    </row>
    <row r="75" spans="1:10" s="144" customFormat="1" ht="24.95" customHeight="1" x14ac:dyDescent="0.25">
      <c r="A75" s="372">
        <f>A74+1</f>
        <v>7</v>
      </c>
      <c r="B75" s="367" t="s">
        <v>315</v>
      </c>
      <c r="C75" s="368">
        <v>1</v>
      </c>
      <c r="D75" s="368">
        <v>0</v>
      </c>
      <c r="E75" s="368"/>
      <c r="F75" s="368"/>
      <c r="G75" s="373">
        <f t="shared" si="5"/>
        <v>1</v>
      </c>
      <c r="H75" s="372" t="s">
        <v>5</v>
      </c>
      <c r="I75" s="381">
        <v>24988.23</v>
      </c>
      <c r="J75" s="373">
        <f t="shared" si="6"/>
        <v>24988.23</v>
      </c>
    </row>
    <row r="76" spans="1:10" s="144" customFormat="1" ht="24.95" customHeight="1" x14ac:dyDescent="0.25">
      <c r="A76" s="372">
        <f>A75+1</f>
        <v>8</v>
      </c>
      <c r="B76" s="367" t="s">
        <v>316</v>
      </c>
      <c r="C76" s="368">
        <v>18</v>
      </c>
      <c r="D76" s="368">
        <v>0</v>
      </c>
      <c r="E76" s="368"/>
      <c r="F76" s="368"/>
      <c r="G76" s="373">
        <f t="shared" si="5"/>
        <v>18</v>
      </c>
      <c r="H76" s="372" t="s">
        <v>5</v>
      </c>
      <c r="I76" s="381">
        <v>2229.02</v>
      </c>
      <c r="J76" s="373">
        <f t="shared" si="6"/>
        <v>40122.36</v>
      </c>
    </row>
    <row r="77" spans="1:10" s="144" customFormat="1" ht="24.95" customHeight="1" x14ac:dyDescent="0.25">
      <c r="A77" s="372">
        <v>9</v>
      </c>
      <c r="B77" s="367" t="s">
        <v>317</v>
      </c>
      <c r="C77" s="368">
        <v>4</v>
      </c>
      <c r="D77" s="368">
        <v>0</v>
      </c>
      <c r="E77" s="368"/>
      <c r="F77" s="368"/>
      <c r="G77" s="373">
        <f t="shared" si="5"/>
        <v>4</v>
      </c>
      <c r="H77" s="372" t="s">
        <v>5</v>
      </c>
      <c r="I77" s="381">
        <v>390.58</v>
      </c>
      <c r="J77" s="373">
        <f t="shared" si="6"/>
        <v>1562.32</v>
      </c>
    </row>
    <row r="78" spans="1:10" s="144" customFormat="1" ht="24.95" customHeight="1" x14ac:dyDescent="0.25">
      <c r="A78" s="372">
        <f t="shared" si="7"/>
        <v>10</v>
      </c>
      <c r="B78" s="367" t="s">
        <v>318</v>
      </c>
      <c r="C78" s="368">
        <v>2</v>
      </c>
      <c r="D78" s="368">
        <v>2</v>
      </c>
      <c r="E78" s="368"/>
      <c r="F78" s="368"/>
      <c r="G78" s="373">
        <f t="shared" si="5"/>
        <v>4</v>
      </c>
      <c r="H78" s="372" t="s">
        <v>5</v>
      </c>
      <c r="I78" s="381">
        <v>9204</v>
      </c>
      <c r="J78" s="373">
        <f t="shared" si="6"/>
        <v>36816</v>
      </c>
    </row>
    <row r="79" spans="1:10" s="144" customFormat="1" ht="24.95" customHeight="1" x14ac:dyDescent="0.25">
      <c r="A79" s="372">
        <f t="shared" si="7"/>
        <v>11</v>
      </c>
      <c r="B79" s="367" t="s">
        <v>86</v>
      </c>
      <c r="C79" s="368">
        <v>7</v>
      </c>
      <c r="D79" s="368">
        <v>0</v>
      </c>
      <c r="E79" s="368">
        <v>15</v>
      </c>
      <c r="F79" s="368">
        <v>2</v>
      </c>
      <c r="G79" s="373">
        <f t="shared" si="5"/>
        <v>24</v>
      </c>
      <c r="H79" s="372" t="s">
        <v>5</v>
      </c>
      <c r="I79" s="381">
        <v>20874.2</v>
      </c>
      <c r="J79" s="373">
        <f t="shared" si="6"/>
        <v>500980.80000000005</v>
      </c>
    </row>
    <row r="80" spans="1:10" s="144" customFormat="1" ht="24.95" customHeight="1" x14ac:dyDescent="0.25">
      <c r="A80" s="372">
        <v>12</v>
      </c>
      <c r="B80" s="378" t="s">
        <v>319</v>
      </c>
      <c r="C80" s="368">
        <v>1</v>
      </c>
      <c r="D80" s="368">
        <v>0</v>
      </c>
      <c r="E80" s="368"/>
      <c r="F80" s="368"/>
      <c r="G80" s="373">
        <f t="shared" si="5"/>
        <v>1</v>
      </c>
      <c r="H80" s="372" t="s">
        <v>1</v>
      </c>
      <c r="I80" s="381">
        <v>14160</v>
      </c>
      <c r="J80" s="373">
        <f t="shared" si="6"/>
        <v>14160</v>
      </c>
    </row>
    <row r="81" spans="1:10" s="144" customFormat="1" ht="24.95" customHeight="1" x14ac:dyDescent="0.25">
      <c r="A81" s="372">
        <v>13</v>
      </c>
      <c r="B81" s="378" t="s">
        <v>321</v>
      </c>
      <c r="C81" s="368">
        <v>10</v>
      </c>
      <c r="D81" s="368">
        <v>0</v>
      </c>
      <c r="E81" s="368"/>
      <c r="F81" s="368"/>
      <c r="G81" s="373">
        <f>C81+D81+E81+F81</f>
        <v>10</v>
      </c>
      <c r="H81" s="372" t="s">
        <v>5</v>
      </c>
      <c r="I81" s="399">
        <v>600</v>
      </c>
      <c r="J81" s="373">
        <f t="shared" ref="J81:J95" si="8">G81*I81</f>
        <v>6000</v>
      </c>
    </row>
    <row r="82" spans="1:10" s="144" customFormat="1" ht="24.95" customHeight="1" x14ac:dyDescent="0.25">
      <c r="A82" s="372">
        <v>14</v>
      </c>
      <c r="B82" s="378" t="s">
        <v>325</v>
      </c>
      <c r="C82" s="368">
        <v>1</v>
      </c>
      <c r="D82" s="368">
        <v>1</v>
      </c>
      <c r="E82" s="368"/>
      <c r="F82" s="368"/>
      <c r="G82" s="373">
        <f>C82+D82+E82+F82</f>
        <v>2</v>
      </c>
      <c r="H82" s="372" t="s">
        <v>5</v>
      </c>
      <c r="I82" s="379">
        <v>8000</v>
      </c>
      <c r="J82" s="373">
        <f t="shared" si="8"/>
        <v>16000</v>
      </c>
    </row>
    <row r="83" spans="1:10" s="144" customFormat="1" ht="24.95" customHeight="1" x14ac:dyDescent="0.25">
      <c r="A83" s="372">
        <v>15</v>
      </c>
      <c r="B83" s="378" t="s">
        <v>330</v>
      </c>
      <c r="C83" s="368">
        <v>5</v>
      </c>
      <c r="D83" s="368">
        <v>1</v>
      </c>
      <c r="E83" s="368">
        <v>5</v>
      </c>
      <c r="F83" s="368">
        <v>1</v>
      </c>
      <c r="G83" s="373">
        <f>C83+D83+E83+F83</f>
        <v>12</v>
      </c>
      <c r="H83" s="368" t="s">
        <v>178</v>
      </c>
      <c r="I83" s="379">
        <v>38350</v>
      </c>
      <c r="J83" s="373">
        <f t="shared" si="8"/>
        <v>460200</v>
      </c>
    </row>
    <row r="84" spans="1:10" s="144" customFormat="1" ht="24.95" customHeight="1" x14ac:dyDescent="0.25">
      <c r="A84" s="372">
        <v>16</v>
      </c>
      <c r="B84" s="378" t="s">
        <v>331</v>
      </c>
      <c r="C84" s="368">
        <v>1</v>
      </c>
      <c r="D84" s="368">
        <v>0</v>
      </c>
      <c r="E84" s="368"/>
      <c r="F84" s="368"/>
      <c r="G84" s="373">
        <f>C84+D84+E84+F84</f>
        <v>1</v>
      </c>
      <c r="H84" s="372" t="s">
        <v>5</v>
      </c>
      <c r="I84" s="379">
        <v>87910</v>
      </c>
      <c r="J84" s="373">
        <f t="shared" si="8"/>
        <v>87910</v>
      </c>
    </row>
    <row r="85" spans="1:10" s="73" customFormat="1" ht="24.95" customHeight="1" x14ac:dyDescent="0.25">
      <c r="A85" s="418">
        <v>17</v>
      </c>
      <c r="B85" s="419" t="s">
        <v>332</v>
      </c>
      <c r="C85" s="420">
        <v>400</v>
      </c>
      <c r="D85" s="420">
        <v>300</v>
      </c>
      <c r="E85" s="420">
        <v>1000</v>
      </c>
      <c r="F85" s="420"/>
      <c r="G85" s="390">
        <v>1700</v>
      </c>
      <c r="H85" s="420" t="s">
        <v>333</v>
      </c>
      <c r="I85" s="421">
        <v>41.3</v>
      </c>
      <c r="J85" s="422">
        <f t="shared" si="8"/>
        <v>70210</v>
      </c>
    </row>
    <row r="86" spans="1:10" s="144" customFormat="1" ht="24.95" customHeight="1" x14ac:dyDescent="0.25">
      <c r="A86" s="372">
        <v>18</v>
      </c>
      <c r="B86" s="367" t="s">
        <v>334</v>
      </c>
      <c r="C86" s="368">
        <v>6</v>
      </c>
      <c r="D86" s="368">
        <v>0</v>
      </c>
      <c r="E86" s="368"/>
      <c r="F86" s="368"/>
      <c r="G86" s="373">
        <f t="shared" ref="G86:G95" si="9">C86+D86+E86+F86</f>
        <v>6</v>
      </c>
      <c r="H86" s="372" t="s">
        <v>178</v>
      </c>
      <c r="I86" s="372">
        <v>1200</v>
      </c>
      <c r="J86" s="373">
        <f t="shared" si="8"/>
        <v>7200</v>
      </c>
    </row>
    <row r="87" spans="1:10" s="144" customFormat="1" ht="24.95" customHeight="1" x14ac:dyDescent="0.25">
      <c r="A87" s="372">
        <f>A86+1</f>
        <v>19</v>
      </c>
      <c r="B87" s="367" t="s">
        <v>335</v>
      </c>
      <c r="C87" s="368">
        <v>500</v>
      </c>
      <c r="D87" s="368">
        <v>0</v>
      </c>
      <c r="E87" s="368">
        <v>488</v>
      </c>
      <c r="F87" s="368"/>
      <c r="G87" s="373">
        <f t="shared" si="9"/>
        <v>988</v>
      </c>
      <c r="H87" s="372" t="s">
        <v>178</v>
      </c>
      <c r="I87" s="372">
        <v>10.75</v>
      </c>
      <c r="J87" s="373">
        <f t="shared" si="8"/>
        <v>10621</v>
      </c>
    </row>
    <row r="88" spans="1:10" s="144" customFormat="1" ht="24.95" customHeight="1" x14ac:dyDescent="0.25">
      <c r="A88" s="372">
        <v>20</v>
      </c>
      <c r="B88" s="367" t="s">
        <v>177</v>
      </c>
      <c r="C88" s="368">
        <v>4</v>
      </c>
      <c r="D88" s="368">
        <v>0</v>
      </c>
      <c r="E88" s="368"/>
      <c r="F88" s="368">
        <v>3</v>
      </c>
      <c r="G88" s="373">
        <f t="shared" si="9"/>
        <v>7</v>
      </c>
      <c r="H88" s="372" t="s">
        <v>178</v>
      </c>
      <c r="I88" s="372">
        <v>545</v>
      </c>
      <c r="J88" s="373">
        <f t="shared" si="8"/>
        <v>3815</v>
      </c>
    </row>
    <row r="89" spans="1:10" s="144" customFormat="1" ht="24.95" customHeight="1" x14ac:dyDescent="0.25">
      <c r="A89" s="372">
        <v>21</v>
      </c>
      <c r="B89" s="367" t="s">
        <v>337</v>
      </c>
      <c r="C89" s="368">
        <v>4</v>
      </c>
      <c r="D89" s="368">
        <v>0</v>
      </c>
      <c r="E89" s="368"/>
      <c r="F89" s="368"/>
      <c r="G89" s="373">
        <f t="shared" si="9"/>
        <v>4</v>
      </c>
      <c r="H89" s="372" t="s">
        <v>178</v>
      </c>
      <c r="I89" s="372">
        <v>728</v>
      </c>
      <c r="J89" s="373">
        <f t="shared" si="8"/>
        <v>2912</v>
      </c>
    </row>
    <row r="90" spans="1:10" s="144" customFormat="1" ht="24.95" customHeight="1" x14ac:dyDescent="0.25">
      <c r="A90" s="372">
        <f>A89+1</f>
        <v>22</v>
      </c>
      <c r="B90" s="367" t="s">
        <v>338</v>
      </c>
      <c r="C90" s="368">
        <v>400</v>
      </c>
      <c r="D90" s="368">
        <v>0</v>
      </c>
      <c r="E90" s="368">
        <v>800</v>
      </c>
      <c r="F90" s="368">
        <v>200</v>
      </c>
      <c r="G90" s="373">
        <f t="shared" si="9"/>
        <v>1400</v>
      </c>
      <c r="H90" s="368" t="s">
        <v>45</v>
      </c>
      <c r="I90" s="368">
        <v>42</v>
      </c>
      <c r="J90" s="373">
        <f t="shared" si="8"/>
        <v>58800</v>
      </c>
    </row>
    <row r="91" spans="1:10" s="144" customFormat="1" ht="24.95" customHeight="1" x14ac:dyDescent="0.25">
      <c r="A91" s="372">
        <v>23</v>
      </c>
      <c r="B91" s="367" t="s">
        <v>348</v>
      </c>
      <c r="C91" s="368">
        <v>3</v>
      </c>
      <c r="D91" s="368">
        <v>0</v>
      </c>
      <c r="E91" s="368"/>
      <c r="F91" s="368"/>
      <c r="G91" s="373">
        <f t="shared" si="9"/>
        <v>3</v>
      </c>
      <c r="H91" s="372" t="s">
        <v>2</v>
      </c>
      <c r="I91" s="381">
        <v>2301</v>
      </c>
      <c r="J91" s="373">
        <f t="shared" si="8"/>
        <v>6903</v>
      </c>
    </row>
    <row r="92" spans="1:10" s="144" customFormat="1" ht="24.95" customHeight="1" x14ac:dyDescent="0.25">
      <c r="A92" s="372">
        <v>24</v>
      </c>
      <c r="B92" s="382" t="s">
        <v>350</v>
      </c>
      <c r="C92" s="368">
        <v>6</v>
      </c>
      <c r="D92" s="368">
        <v>0</v>
      </c>
      <c r="E92" s="368"/>
      <c r="F92" s="368"/>
      <c r="G92" s="373">
        <f t="shared" si="9"/>
        <v>6</v>
      </c>
      <c r="H92" s="372" t="s">
        <v>5</v>
      </c>
      <c r="I92" s="381">
        <v>811</v>
      </c>
      <c r="J92" s="373">
        <f t="shared" si="8"/>
        <v>4866</v>
      </c>
    </row>
    <row r="93" spans="1:10" s="144" customFormat="1" ht="24.95" customHeight="1" x14ac:dyDescent="0.25">
      <c r="A93" s="372">
        <v>25</v>
      </c>
      <c r="B93" s="382" t="s">
        <v>351</v>
      </c>
      <c r="C93" s="368">
        <v>7</v>
      </c>
      <c r="D93" s="368">
        <v>0</v>
      </c>
      <c r="E93" s="368"/>
      <c r="F93" s="368"/>
      <c r="G93" s="373">
        <f t="shared" si="9"/>
        <v>7</v>
      </c>
      <c r="H93" s="372" t="s">
        <v>5</v>
      </c>
      <c r="I93" s="381">
        <v>650</v>
      </c>
      <c r="J93" s="373">
        <f t="shared" si="8"/>
        <v>4550</v>
      </c>
    </row>
    <row r="94" spans="1:10" s="144" customFormat="1" ht="24.95" customHeight="1" x14ac:dyDescent="0.25">
      <c r="A94" s="372">
        <v>26</v>
      </c>
      <c r="B94" s="367" t="s">
        <v>352</v>
      </c>
      <c r="C94" s="368">
        <v>1</v>
      </c>
      <c r="D94" s="368">
        <v>0</v>
      </c>
      <c r="E94" s="368"/>
      <c r="F94" s="368"/>
      <c r="G94" s="373">
        <f t="shared" si="9"/>
        <v>1</v>
      </c>
      <c r="H94" s="372" t="s">
        <v>5</v>
      </c>
      <c r="I94" s="381">
        <v>6100</v>
      </c>
      <c r="J94" s="373">
        <f t="shared" si="8"/>
        <v>6100</v>
      </c>
    </row>
    <row r="95" spans="1:10" s="144" customFormat="1" ht="24.95" customHeight="1" x14ac:dyDescent="0.25">
      <c r="A95" s="372">
        <v>27</v>
      </c>
      <c r="B95" s="367" t="s">
        <v>341</v>
      </c>
      <c r="C95" s="368">
        <v>50</v>
      </c>
      <c r="D95" s="368">
        <v>30</v>
      </c>
      <c r="E95" s="368">
        <v>150</v>
      </c>
      <c r="F95" s="368">
        <v>30</v>
      </c>
      <c r="G95" s="373">
        <f t="shared" si="9"/>
        <v>260</v>
      </c>
      <c r="H95" s="368" t="s">
        <v>45</v>
      </c>
      <c r="I95" s="387">
        <v>380</v>
      </c>
      <c r="J95" s="373">
        <f t="shared" si="8"/>
        <v>98800</v>
      </c>
    </row>
    <row r="96" spans="1:10" s="144" customFormat="1" ht="18" customHeight="1" x14ac:dyDescent="0.25">
      <c r="A96" s="372"/>
      <c r="B96" s="404" t="s">
        <v>423</v>
      </c>
      <c r="C96" s="368"/>
      <c r="D96" s="368"/>
      <c r="E96" s="368"/>
      <c r="F96" s="368"/>
      <c r="G96" s="373"/>
      <c r="H96" s="368"/>
      <c r="I96" s="368"/>
      <c r="J96" s="371">
        <f>SUM(J69:J95)</f>
        <v>1892829.21</v>
      </c>
    </row>
    <row r="97" spans="1:234" s="144" customFormat="1" ht="16.5" customHeight="1" x14ac:dyDescent="0.25">
      <c r="A97" s="372"/>
      <c r="B97" s="367"/>
      <c r="C97" s="368"/>
      <c r="D97" s="368"/>
      <c r="E97" s="368"/>
      <c r="F97" s="368"/>
      <c r="G97" s="373"/>
      <c r="H97" s="368"/>
      <c r="I97" s="368"/>
      <c r="J97" s="373"/>
    </row>
    <row r="98" spans="1:234" s="144" customFormat="1" ht="24.95" customHeight="1" x14ac:dyDescent="0.25">
      <c r="A98" s="372">
        <v>1</v>
      </c>
      <c r="B98" s="398" t="s">
        <v>401</v>
      </c>
      <c r="C98" s="368">
        <v>108</v>
      </c>
      <c r="D98" s="368">
        <v>0</v>
      </c>
      <c r="E98" s="368">
        <v>60</v>
      </c>
      <c r="F98" s="368"/>
      <c r="G98" s="373">
        <f t="shared" si="5"/>
        <v>168</v>
      </c>
      <c r="H98" s="368" t="s">
        <v>291</v>
      </c>
      <c r="I98" s="379">
        <v>88.5</v>
      </c>
      <c r="J98" s="373">
        <f t="shared" si="6"/>
        <v>14868</v>
      </c>
    </row>
    <row r="99" spans="1:234" ht="24.95" customHeight="1" x14ac:dyDescent="0.2">
      <c r="A99" s="372">
        <v>2</v>
      </c>
      <c r="B99" s="378" t="s">
        <v>323</v>
      </c>
      <c r="C99" s="368">
        <v>36</v>
      </c>
      <c r="D99" s="368">
        <v>4</v>
      </c>
      <c r="E99" s="368">
        <v>18</v>
      </c>
      <c r="F99" s="368">
        <v>10</v>
      </c>
      <c r="G99" s="373">
        <f t="shared" si="5"/>
        <v>68</v>
      </c>
      <c r="H99" s="368" t="s">
        <v>125</v>
      </c>
      <c r="I99" s="379">
        <v>250</v>
      </c>
      <c r="J99" s="373">
        <f t="shared" si="6"/>
        <v>17000</v>
      </c>
    </row>
    <row r="100" spans="1:234" ht="24.95" customHeight="1" x14ac:dyDescent="0.2">
      <c r="A100" s="372">
        <v>3</v>
      </c>
      <c r="B100" s="367" t="s">
        <v>324</v>
      </c>
      <c r="C100" s="368">
        <v>1</v>
      </c>
      <c r="D100" s="368">
        <v>0</v>
      </c>
      <c r="E100" s="368"/>
      <c r="F100" s="368"/>
      <c r="G100" s="373">
        <f t="shared" si="5"/>
        <v>1</v>
      </c>
      <c r="H100" s="368" t="s">
        <v>5</v>
      </c>
      <c r="I100" s="381">
        <v>2400</v>
      </c>
      <c r="J100" s="373">
        <f t="shared" si="6"/>
        <v>2400</v>
      </c>
    </row>
    <row r="101" spans="1:234" s="133" customFormat="1" ht="24.95" customHeight="1" x14ac:dyDescent="0.2">
      <c r="A101" s="388">
        <v>4</v>
      </c>
      <c r="B101" s="400" t="s">
        <v>326</v>
      </c>
      <c r="C101" s="389">
        <v>1</v>
      </c>
      <c r="D101" s="389">
        <v>0</v>
      </c>
      <c r="E101" s="389">
        <v>1</v>
      </c>
      <c r="F101" s="389"/>
      <c r="G101" s="390">
        <v>2</v>
      </c>
      <c r="H101" s="389" t="s">
        <v>5</v>
      </c>
      <c r="I101" s="402">
        <v>39325.769999999997</v>
      </c>
      <c r="J101" s="390">
        <f t="shared" si="6"/>
        <v>78651.539999999994</v>
      </c>
    </row>
    <row r="102" spans="1:234" s="133" customFormat="1" ht="24.95" customHeight="1" x14ac:dyDescent="0.2">
      <c r="A102" s="388">
        <f t="shared" si="7"/>
        <v>5</v>
      </c>
      <c r="B102" s="400" t="s">
        <v>327</v>
      </c>
      <c r="C102" s="389">
        <v>1</v>
      </c>
      <c r="D102" s="389">
        <v>0</v>
      </c>
      <c r="E102" s="389">
        <v>1</v>
      </c>
      <c r="F102" s="389"/>
      <c r="G102" s="390">
        <v>2</v>
      </c>
      <c r="H102" s="389" t="s">
        <v>5</v>
      </c>
      <c r="I102" s="402">
        <v>7080</v>
      </c>
      <c r="J102" s="390">
        <f t="shared" si="6"/>
        <v>14160</v>
      </c>
    </row>
    <row r="103" spans="1:234" s="141" customFormat="1" ht="24.95" customHeight="1" x14ac:dyDescent="0.25">
      <c r="A103" s="372">
        <f t="shared" si="7"/>
        <v>6</v>
      </c>
      <c r="B103" s="367" t="s">
        <v>328</v>
      </c>
      <c r="C103" s="368">
        <v>5</v>
      </c>
      <c r="D103" s="368">
        <v>0</v>
      </c>
      <c r="E103" s="368"/>
      <c r="F103" s="368"/>
      <c r="G103" s="373">
        <f t="shared" si="5"/>
        <v>5</v>
      </c>
      <c r="H103" s="368" t="s">
        <v>5</v>
      </c>
      <c r="I103" s="368">
        <v>13800</v>
      </c>
      <c r="J103" s="373">
        <f t="shared" si="6"/>
        <v>69000</v>
      </c>
    </row>
    <row r="104" spans="1:234" s="141" customFormat="1" ht="24.95" customHeight="1" x14ac:dyDescent="0.25">
      <c r="A104" s="372">
        <f t="shared" si="7"/>
        <v>7</v>
      </c>
      <c r="B104" s="367" t="s">
        <v>329</v>
      </c>
      <c r="C104" s="368">
        <v>4</v>
      </c>
      <c r="D104" s="368">
        <v>0</v>
      </c>
      <c r="E104" s="368"/>
      <c r="F104" s="368"/>
      <c r="G104" s="373">
        <f t="shared" si="5"/>
        <v>4</v>
      </c>
      <c r="H104" s="368" t="s">
        <v>5</v>
      </c>
      <c r="I104" s="368">
        <v>17500</v>
      </c>
      <c r="J104" s="373">
        <f t="shared" si="6"/>
        <v>70000</v>
      </c>
    </row>
    <row r="105" spans="1:234" ht="24.95" customHeight="1" x14ac:dyDescent="0.2">
      <c r="A105" s="372">
        <v>8</v>
      </c>
      <c r="B105" s="401" t="s">
        <v>336</v>
      </c>
      <c r="C105" s="368">
        <v>1</v>
      </c>
      <c r="D105" s="368">
        <v>0</v>
      </c>
      <c r="E105" s="368">
        <v>1</v>
      </c>
      <c r="F105" s="368">
        <v>1</v>
      </c>
      <c r="G105" s="373">
        <f t="shared" si="5"/>
        <v>3</v>
      </c>
      <c r="H105" s="372" t="s">
        <v>5</v>
      </c>
      <c r="I105" s="372">
        <v>18000</v>
      </c>
      <c r="J105" s="373">
        <f t="shared" si="6"/>
        <v>54000</v>
      </c>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6"/>
      <c r="BA105" s="136"/>
      <c r="BB105" s="136"/>
      <c r="BC105" s="136"/>
      <c r="BD105" s="136"/>
      <c r="BE105" s="136"/>
      <c r="BF105" s="136"/>
      <c r="BG105" s="136"/>
      <c r="BH105" s="136"/>
      <c r="BI105" s="136"/>
      <c r="BJ105" s="136"/>
      <c r="BK105" s="136"/>
      <c r="BL105" s="136"/>
      <c r="BM105" s="136"/>
      <c r="BN105" s="136"/>
      <c r="BO105" s="136"/>
      <c r="BP105" s="136"/>
      <c r="BQ105" s="136"/>
      <c r="BR105" s="136"/>
      <c r="BS105" s="136"/>
      <c r="BT105" s="136"/>
      <c r="BU105" s="136"/>
      <c r="BV105" s="136"/>
      <c r="BW105" s="136"/>
      <c r="BX105" s="136"/>
      <c r="BY105" s="136"/>
      <c r="BZ105" s="136"/>
      <c r="CA105" s="136"/>
      <c r="CB105" s="136"/>
      <c r="CC105" s="136"/>
      <c r="CD105" s="136"/>
      <c r="CE105" s="136"/>
      <c r="CF105" s="136"/>
      <c r="CG105" s="136"/>
      <c r="CH105" s="136"/>
      <c r="CI105" s="136"/>
      <c r="CJ105" s="136"/>
      <c r="CK105" s="136"/>
      <c r="CL105" s="136"/>
      <c r="CM105" s="136"/>
      <c r="CN105" s="136"/>
      <c r="CO105" s="136"/>
      <c r="CP105" s="136"/>
      <c r="CQ105" s="136"/>
      <c r="CR105" s="136"/>
      <c r="CS105" s="136"/>
      <c r="CT105" s="136"/>
      <c r="CU105" s="136"/>
      <c r="CV105" s="136"/>
      <c r="CW105" s="136"/>
      <c r="CX105" s="136"/>
      <c r="CY105" s="136"/>
      <c r="CZ105" s="136"/>
      <c r="DA105" s="136"/>
      <c r="DB105" s="136"/>
      <c r="DC105" s="136"/>
      <c r="DD105" s="136"/>
      <c r="DE105" s="136"/>
      <c r="DF105" s="136"/>
      <c r="DG105" s="136"/>
      <c r="DH105" s="136"/>
      <c r="DI105" s="136"/>
      <c r="DJ105" s="136"/>
      <c r="DK105" s="136"/>
      <c r="DL105" s="136"/>
      <c r="DM105" s="136"/>
      <c r="DN105" s="136"/>
      <c r="DO105" s="136"/>
      <c r="DP105" s="136"/>
      <c r="DQ105" s="136"/>
      <c r="DR105" s="136"/>
      <c r="DS105" s="136"/>
      <c r="DT105" s="136"/>
      <c r="DU105" s="136"/>
      <c r="DV105" s="136"/>
      <c r="DW105" s="136"/>
      <c r="DX105" s="136"/>
      <c r="DY105" s="136"/>
      <c r="DZ105" s="136"/>
      <c r="EA105" s="136"/>
      <c r="EB105" s="136"/>
      <c r="EC105" s="136"/>
      <c r="ED105" s="136"/>
      <c r="EE105" s="136"/>
      <c r="EF105" s="136"/>
      <c r="EG105" s="136"/>
      <c r="EH105" s="136"/>
      <c r="EI105" s="136"/>
      <c r="EJ105" s="136"/>
      <c r="EK105" s="136"/>
      <c r="EL105" s="136"/>
      <c r="EM105" s="136"/>
      <c r="EN105" s="136"/>
      <c r="EO105" s="136"/>
      <c r="EP105" s="136"/>
      <c r="EQ105" s="136"/>
      <c r="ER105" s="136"/>
      <c r="ES105" s="136"/>
      <c r="ET105" s="136"/>
      <c r="EU105" s="136"/>
      <c r="EV105" s="136"/>
      <c r="EW105" s="136"/>
      <c r="EX105" s="136"/>
      <c r="EY105" s="136"/>
      <c r="EZ105" s="136"/>
      <c r="FA105" s="136"/>
      <c r="FB105" s="136"/>
      <c r="FC105" s="136"/>
      <c r="FD105" s="136"/>
      <c r="FE105" s="136"/>
      <c r="FF105" s="136"/>
      <c r="FG105" s="136"/>
      <c r="FH105" s="136"/>
      <c r="FI105" s="136"/>
      <c r="FJ105" s="136"/>
      <c r="FK105" s="136"/>
      <c r="FL105" s="136"/>
      <c r="FM105" s="136"/>
      <c r="FN105" s="136"/>
      <c r="FO105" s="136"/>
      <c r="FP105" s="136"/>
      <c r="FQ105" s="136"/>
      <c r="FR105" s="136"/>
      <c r="FS105" s="136"/>
      <c r="FT105" s="136"/>
      <c r="FU105" s="136"/>
      <c r="FV105" s="136"/>
      <c r="FW105" s="136"/>
      <c r="FX105" s="136"/>
      <c r="FY105" s="136"/>
      <c r="FZ105" s="136"/>
      <c r="GA105" s="136"/>
      <c r="GB105" s="136"/>
      <c r="GC105" s="136"/>
      <c r="GD105" s="136"/>
      <c r="GE105" s="136"/>
      <c r="GF105" s="136"/>
      <c r="GG105" s="136"/>
      <c r="GH105" s="136"/>
      <c r="GI105" s="136"/>
      <c r="GJ105" s="136"/>
      <c r="GK105" s="136"/>
      <c r="GL105" s="136"/>
      <c r="GM105" s="136"/>
      <c r="GN105" s="136"/>
      <c r="GO105" s="136"/>
      <c r="GP105" s="136"/>
      <c r="GQ105" s="136"/>
      <c r="GR105" s="136"/>
      <c r="GS105" s="136"/>
      <c r="GT105" s="136"/>
      <c r="GU105" s="136"/>
      <c r="GV105" s="136"/>
      <c r="GW105" s="136"/>
      <c r="GX105" s="136"/>
      <c r="GY105" s="136"/>
      <c r="GZ105" s="136"/>
      <c r="HA105" s="136"/>
      <c r="HB105" s="136"/>
      <c r="HC105" s="136"/>
      <c r="HD105" s="136"/>
      <c r="HE105" s="136"/>
      <c r="HF105" s="136"/>
      <c r="HG105" s="136"/>
      <c r="HH105" s="136"/>
      <c r="HI105" s="136"/>
      <c r="HJ105" s="136"/>
      <c r="HK105" s="136"/>
      <c r="HL105" s="136"/>
      <c r="HM105" s="136"/>
      <c r="HN105" s="136"/>
      <c r="HO105" s="136"/>
      <c r="HP105" s="136"/>
      <c r="HQ105" s="136"/>
      <c r="HR105" s="136"/>
      <c r="HS105" s="136"/>
      <c r="HT105" s="136"/>
      <c r="HU105" s="136"/>
      <c r="HV105" s="136"/>
      <c r="HW105" s="136"/>
      <c r="HX105" s="136"/>
      <c r="HY105" s="136"/>
      <c r="HZ105" s="136"/>
    </row>
    <row r="106" spans="1:234" ht="24.95" customHeight="1" x14ac:dyDescent="0.2">
      <c r="A106" s="372">
        <v>9</v>
      </c>
      <c r="B106" s="367" t="s">
        <v>339</v>
      </c>
      <c r="C106" s="368">
        <v>4</v>
      </c>
      <c r="D106" s="368">
        <v>0</v>
      </c>
      <c r="E106" s="368">
        <v>4</v>
      </c>
      <c r="F106" s="368"/>
      <c r="G106" s="373">
        <f t="shared" si="5"/>
        <v>8</v>
      </c>
      <c r="H106" s="368" t="s">
        <v>340</v>
      </c>
      <c r="I106" s="368">
        <v>9266</v>
      </c>
      <c r="J106" s="373">
        <f t="shared" si="6"/>
        <v>74128</v>
      </c>
    </row>
    <row r="107" spans="1:234" ht="24.95" customHeight="1" x14ac:dyDescent="0.2">
      <c r="A107" s="372">
        <v>10</v>
      </c>
      <c r="B107" s="367" t="s">
        <v>203</v>
      </c>
      <c r="C107" s="368">
        <v>50</v>
      </c>
      <c r="D107" s="368">
        <v>30</v>
      </c>
      <c r="E107" s="368">
        <v>150</v>
      </c>
      <c r="F107" s="368">
        <v>30</v>
      </c>
      <c r="G107" s="373">
        <f t="shared" si="5"/>
        <v>260</v>
      </c>
      <c r="H107" s="368" t="s">
        <v>64</v>
      </c>
      <c r="I107" s="387">
        <v>85</v>
      </c>
      <c r="J107" s="373">
        <f t="shared" si="6"/>
        <v>22100</v>
      </c>
    </row>
    <row r="108" spans="1:234" ht="24.95" customHeight="1" x14ac:dyDescent="0.2">
      <c r="A108" s="372">
        <v>11</v>
      </c>
      <c r="B108" s="367" t="s">
        <v>58</v>
      </c>
      <c r="C108" s="368">
        <v>10</v>
      </c>
      <c r="D108" s="368">
        <v>10</v>
      </c>
      <c r="E108" s="368">
        <v>25</v>
      </c>
      <c r="F108" s="368">
        <v>3</v>
      </c>
      <c r="G108" s="373">
        <f t="shared" si="5"/>
        <v>48</v>
      </c>
      <c r="H108" s="372" t="s">
        <v>178</v>
      </c>
      <c r="I108" s="387">
        <v>300</v>
      </c>
      <c r="J108" s="373">
        <f t="shared" si="6"/>
        <v>14400</v>
      </c>
    </row>
    <row r="109" spans="1:234" ht="24.95" customHeight="1" x14ac:dyDescent="0.2">
      <c r="A109" s="372">
        <f t="shared" si="7"/>
        <v>12</v>
      </c>
      <c r="B109" s="367" t="s">
        <v>342</v>
      </c>
      <c r="C109" s="368">
        <v>22</v>
      </c>
      <c r="D109" s="368">
        <v>0</v>
      </c>
      <c r="E109" s="368">
        <v>0</v>
      </c>
      <c r="F109" s="368">
        <v>4</v>
      </c>
      <c r="G109" s="373">
        <f t="shared" si="5"/>
        <v>26</v>
      </c>
      <c r="H109" s="372" t="s">
        <v>343</v>
      </c>
      <c r="I109" s="372">
        <v>7080</v>
      </c>
      <c r="J109" s="373">
        <f t="shared" si="6"/>
        <v>184080</v>
      </c>
    </row>
    <row r="110" spans="1:234" s="141" customFormat="1" ht="24.95" customHeight="1" x14ac:dyDescent="0.25">
      <c r="A110" s="372">
        <f t="shared" si="7"/>
        <v>13</v>
      </c>
      <c r="B110" s="367" t="s">
        <v>344</v>
      </c>
      <c r="C110" s="368">
        <v>200</v>
      </c>
      <c r="D110" s="368">
        <v>0</v>
      </c>
      <c r="E110" s="368">
        <v>150</v>
      </c>
      <c r="F110" s="368">
        <v>50</v>
      </c>
      <c r="G110" s="373">
        <f t="shared" si="5"/>
        <v>400</v>
      </c>
      <c r="H110" s="372" t="s">
        <v>45</v>
      </c>
      <c r="I110" s="380">
        <v>163</v>
      </c>
      <c r="J110" s="373">
        <f t="shared" si="6"/>
        <v>65200</v>
      </c>
    </row>
    <row r="111" spans="1:234" s="141" customFormat="1" ht="24.95" customHeight="1" x14ac:dyDescent="0.25">
      <c r="A111" s="372">
        <f t="shared" si="7"/>
        <v>14</v>
      </c>
      <c r="B111" s="367" t="s">
        <v>345</v>
      </c>
      <c r="C111" s="368">
        <v>200</v>
      </c>
      <c r="D111" s="368">
        <v>0</v>
      </c>
      <c r="E111" s="368">
        <v>400</v>
      </c>
      <c r="F111" s="368">
        <v>100</v>
      </c>
      <c r="G111" s="373">
        <f t="shared" si="5"/>
        <v>700</v>
      </c>
      <c r="H111" s="372" t="s">
        <v>45</v>
      </c>
      <c r="I111" s="380">
        <v>78</v>
      </c>
      <c r="J111" s="373">
        <f t="shared" si="6"/>
        <v>54600</v>
      </c>
    </row>
    <row r="112" spans="1:234" s="136" customFormat="1" ht="24.95" customHeight="1" x14ac:dyDescent="0.25">
      <c r="A112" s="372">
        <f t="shared" si="7"/>
        <v>15</v>
      </c>
      <c r="B112" s="367" t="s">
        <v>75</v>
      </c>
      <c r="C112" s="368">
        <v>100</v>
      </c>
      <c r="D112" s="368">
        <v>0</v>
      </c>
      <c r="E112" s="368">
        <v>250</v>
      </c>
      <c r="F112" s="368"/>
      <c r="G112" s="373">
        <f t="shared" si="5"/>
        <v>350</v>
      </c>
      <c r="H112" s="372" t="s">
        <v>45</v>
      </c>
      <c r="I112" s="380">
        <v>60</v>
      </c>
      <c r="J112" s="373">
        <f t="shared" si="6"/>
        <v>21000</v>
      </c>
    </row>
    <row r="113" spans="1:212" s="141" customFormat="1" ht="24.95" customHeight="1" x14ac:dyDescent="0.25">
      <c r="A113" s="372">
        <f t="shared" si="7"/>
        <v>16</v>
      </c>
      <c r="B113" s="367" t="s">
        <v>346</v>
      </c>
      <c r="C113" s="368">
        <v>50</v>
      </c>
      <c r="D113" s="368">
        <v>30</v>
      </c>
      <c r="E113" s="368">
        <v>150</v>
      </c>
      <c r="F113" s="368"/>
      <c r="G113" s="373">
        <f t="shared" si="5"/>
        <v>230</v>
      </c>
      <c r="H113" s="372" t="s">
        <v>64</v>
      </c>
      <c r="I113" s="380">
        <v>100</v>
      </c>
      <c r="J113" s="373">
        <f t="shared" si="6"/>
        <v>23000</v>
      </c>
    </row>
    <row r="114" spans="1:212" ht="24.95" customHeight="1" x14ac:dyDescent="0.2">
      <c r="A114" s="372">
        <f t="shared" si="7"/>
        <v>17</v>
      </c>
      <c r="B114" s="401" t="s">
        <v>347</v>
      </c>
      <c r="C114" s="368">
        <v>6010</v>
      </c>
      <c r="D114" s="368">
        <v>0</v>
      </c>
      <c r="E114" s="368"/>
      <c r="F114" s="368"/>
      <c r="G114" s="373">
        <f t="shared" si="5"/>
        <v>6010</v>
      </c>
      <c r="H114" s="372" t="s">
        <v>64</v>
      </c>
      <c r="I114" s="380">
        <v>5</v>
      </c>
      <c r="J114" s="373">
        <f t="shared" si="6"/>
        <v>30050</v>
      </c>
    </row>
    <row r="115" spans="1:212" s="141" customFormat="1" ht="24.95" customHeight="1" x14ac:dyDescent="0.25">
      <c r="A115" s="372">
        <v>18</v>
      </c>
      <c r="B115" s="367" t="s">
        <v>353</v>
      </c>
      <c r="C115" s="368">
        <v>2</v>
      </c>
      <c r="D115" s="368">
        <v>0</v>
      </c>
      <c r="E115" s="368">
        <v>2</v>
      </c>
      <c r="F115" s="368"/>
      <c r="G115" s="373">
        <f t="shared" si="5"/>
        <v>4</v>
      </c>
      <c r="H115" s="372" t="s">
        <v>5</v>
      </c>
      <c r="I115" s="381">
        <v>32300</v>
      </c>
      <c r="J115" s="373">
        <f t="shared" si="6"/>
        <v>129200</v>
      </c>
    </row>
    <row r="116" spans="1:212" s="141" customFormat="1" ht="24.95" customHeight="1" x14ac:dyDescent="0.25">
      <c r="A116" s="372">
        <f t="shared" si="7"/>
        <v>19</v>
      </c>
      <c r="B116" s="411" t="s">
        <v>354</v>
      </c>
      <c r="C116" s="368">
        <v>1</v>
      </c>
      <c r="D116" s="368">
        <v>0</v>
      </c>
      <c r="E116" s="368">
        <v>3</v>
      </c>
      <c r="F116" s="368">
        <v>1</v>
      </c>
      <c r="G116" s="373">
        <f t="shared" si="5"/>
        <v>5</v>
      </c>
      <c r="H116" s="372" t="s">
        <v>5</v>
      </c>
      <c r="I116" s="381">
        <v>27022</v>
      </c>
      <c r="J116" s="373">
        <f t="shared" si="6"/>
        <v>135110</v>
      </c>
    </row>
    <row r="117" spans="1:212" s="141" customFormat="1" ht="24.95" customHeight="1" x14ac:dyDescent="0.25">
      <c r="A117" s="372">
        <f t="shared" si="7"/>
        <v>20</v>
      </c>
      <c r="B117" s="411" t="s">
        <v>355</v>
      </c>
      <c r="C117" s="368">
        <v>1</v>
      </c>
      <c r="D117" s="368">
        <v>0</v>
      </c>
      <c r="E117" s="368">
        <v>3</v>
      </c>
      <c r="F117" s="368">
        <v>1</v>
      </c>
      <c r="G117" s="373">
        <f t="shared" si="5"/>
        <v>5</v>
      </c>
      <c r="H117" s="372" t="s">
        <v>5</v>
      </c>
      <c r="I117" s="381">
        <v>11776</v>
      </c>
      <c r="J117" s="373">
        <f t="shared" si="6"/>
        <v>58880</v>
      </c>
    </row>
    <row r="118" spans="1:212" s="141" customFormat="1" ht="24.95" customHeight="1" x14ac:dyDescent="0.25">
      <c r="A118" s="372">
        <f t="shared" si="7"/>
        <v>21</v>
      </c>
      <c r="B118" s="411" t="s">
        <v>356</v>
      </c>
      <c r="C118" s="368">
        <v>1</v>
      </c>
      <c r="D118" s="368">
        <v>0</v>
      </c>
      <c r="E118" s="368">
        <v>3</v>
      </c>
      <c r="F118" s="368">
        <v>1</v>
      </c>
      <c r="G118" s="373">
        <f t="shared" si="5"/>
        <v>5</v>
      </c>
      <c r="H118" s="372" t="s">
        <v>5</v>
      </c>
      <c r="I118" s="381">
        <v>1770</v>
      </c>
      <c r="J118" s="373">
        <f t="shared" si="6"/>
        <v>8850</v>
      </c>
    </row>
    <row r="119" spans="1:212" ht="24.95" customHeight="1" x14ac:dyDescent="0.2">
      <c r="A119" s="372">
        <f t="shared" si="7"/>
        <v>22</v>
      </c>
      <c r="B119" s="367" t="s">
        <v>357</v>
      </c>
      <c r="C119" s="368">
        <v>1</v>
      </c>
      <c r="D119" s="368">
        <v>0</v>
      </c>
      <c r="E119" s="368"/>
      <c r="F119" s="368"/>
      <c r="G119" s="373">
        <f t="shared" si="5"/>
        <v>1</v>
      </c>
      <c r="H119" s="368" t="s">
        <v>5</v>
      </c>
      <c r="I119" s="380">
        <v>6529</v>
      </c>
      <c r="J119" s="373">
        <f t="shared" si="6"/>
        <v>6529</v>
      </c>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row>
    <row r="120" spans="1:212" ht="24.95" customHeight="1" x14ac:dyDescent="0.2">
      <c r="A120" s="372">
        <v>23</v>
      </c>
      <c r="B120" s="378" t="s">
        <v>358</v>
      </c>
      <c r="C120" s="380"/>
      <c r="D120" s="380">
        <v>1</v>
      </c>
      <c r="E120" s="380"/>
      <c r="F120" s="380"/>
      <c r="G120" s="373">
        <f>C120+D120+E120+F120</f>
        <v>1</v>
      </c>
      <c r="H120" s="379" t="s">
        <v>5</v>
      </c>
      <c r="I120" s="386">
        <v>391040</v>
      </c>
      <c r="J120" s="373">
        <f>G120*I120</f>
        <v>391040</v>
      </c>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row>
    <row r="121" spans="1:212" ht="24.95" customHeight="1" x14ac:dyDescent="0.2">
      <c r="A121" s="372">
        <v>24</v>
      </c>
      <c r="B121" s="367" t="s">
        <v>360</v>
      </c>
      <c r="C121" s="372">
        <v>0</v>
      </c>
      <c r="D121" s="372">
        <v>1</v>
      </c>
      <c r="E121" s="372"/>
      <c r="F121" s="372"/>
      <c r="G121" s="373">
        <f>C121+D121+E121+F121</f>
        <v>1</v>
      </c>
      <c r="H121" s="372" t="s">
        <v>5</v>
      </c>
      <c r="I121" s="392">
        <v>41647</v>
      </c>
      <c r="J121" s="373">
        <f>G121*I121</f>
        <v>41647</v>
      </c>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row>
    <row r="122" spans="1:212" s="6" customFormat="1" ht="24.95" customHeight="1" x14ac:dyDescent="0.25">
      <c r="A122" s="372">
        <v>25</v>
      </c>
      <c r="B122" s="367" t="s">
        <v>361</v>
      </c>
      <c r="C122" s="387">
        <v>0</v>
      </c>
      <c r="D122" s="387">
        <v>15</v>
      </c>
      <c r="E122" s="387"/>
      <c r="F122" s="387"/>
      <c r="G122" s="373">
        <f t="shared" si="5"/>
        <v>15</v>
      </c>
      <c r="H122" s="379" t="s">
        <v>5</v>
      </c>
      <c r="I122" s="392">
        <v>2229</v>
      </c>
      <c r="J122" s="373">
        <f t="shared" si="6"/>
        <v>33435</v>
      </c>
    </row>
    <row r="123" spans="1:212" ht="24.95" customHeight="1" x14ac:dyDescent="0.2">
      <c r="A123" s="368">
        <v>26</v>
      </c>
      <c r="B123" s="367" t="s">
        <v>39</v>
      </c>
      <c r="C123" s="368"/>
      <c r="D123" s="368"/>
      <c r="E123" s="372">
        <v>1</v>
      </c>
      <c r="F123" s="412"/>
      <c r="G123" s="373">
        <f t="shared" ref="G123:G158" si="10">C123+D123+E123+F123</f>
        <v>1</v>
      </c>
      <c r="H123" s="372" t="s">
        <v>1</v>
      </c>
      <c r="I123" s="372">
        <v>159987</v>
      </c>
      <c r="J123" s="373">
        <f t="shared" ref="J123:J158" si="11">G123*I123</f>
        <v>159987</v>
      </c>
    </row>
    <row r="124" spans="1:212" ht="24.95" customHeight="1" x14ac:dyDescent="0.2">
      <c r="A124" s="368">
        <v>27</v>
      </c>
      <c r="B124" s="367" t="s">
        <v>129</v>
      </c>
      <c r="C124" s="368"/>
      <c r="D124" s="368"/>
      <c r="E124" s="368">
        <v>7</v>
      </c>
      <c r="F124" s="368"/>
      <c r="G124" s="373">
        <f t="shared" si="10"/>
        <v>7</v>
      </c>
      <c r="H124" s="372" t="s">
        <v>1</v>
      </c>
      <c r="I124" s="372">
        <v>7200</v>
      </c>
      <c r="J124" s="373">
        <f t="shared" si="11"/>
        <v>50400</v>
      </c>
    </row>
    <row r="125" spans="1:212" ht="24.95" customHeight="1" x14ac:dyDescent="0.2">
      <c r="A125" s="368">
        <v>28</v>
      </c>
      <c r="B125" s="367" t="s">
        <v>110</v>
      </c>
      <c r="C125" s="368"/>
      <c r="D125" s="368"/>
      <c r="E125" s="372">
        <f>25*305</f>
        <v>7625</v>
      </c>
      <c r="F125" s="372">
        <v>0</v>
      </c>
      <c r="G125" s="373">
        <f t="shared" si="10"/>
        <v>7625</v>
      </c>
      <c r="H125" s="372" t="s">
        <v>41</v>
      </c>
      <c r="I125" s="372">
        <v>37</v>
      </c>
      <c r="J125" s="373">
        <f t="shared" si="11"/>
        <v>282125</v>
      </c>
    </row>
    <row r="126" spans="1:212" ht="24.95" customHeight="1" x14ac:dyDescent="0.2">
      <c r="A126" s="368">
        <v>29</v>
      </c>
      <c r="B126" s="367" t="s">
        <v>94</v>
      </c>
      <c r="C126" s="368"/>
      <c r="D126" s="368"/>
      <c r="E126" s="368">
        <v>2</v>
      </c>
      <c r="F126" s="368"/>
      <c r="G126" s="373">
        <f t="shared" si="10"/>
        <v>2</v>
      </c>
      <c r="H126" s="372" t="s">
        <v>5</v>
      </c>
      <c r="I126" s="381">
        <v>26485</v>
      </c>
      <c r="J126" s="373">
        <f t="shared" si="11"/>
        <v>52970</v>
      </c>
    </row>
    <row r="127" spans="1:212" ht="24.95" customHeight="1" x14ac:dyDescent="0.2">
      <c r="A127" s="368">
        <v>30</v>
      </c>
      <c r="B127" s="367" t="s">
        <v>107</v>
      </c>
      <c r="C127" s="368"/>
      <c r="D127" s="368"/>
      <c r="E127" s="368">
        <v>1</v>
      </c>
      <c r="F127" s="368"/>
      <c r="G127" s="373">
        <f t="shared" si="10"/>
        <v>1</v>
      </c>
      <c r="H127" s="372" t="s">
        <v>1</v>
      </c>
      <c r="I127" s="372">
        <v>168000</v>
      </c>
      <c r="J127" s="373">
        <f t="shared" si="11"/>
        <v>168000</v>
      </c>
    </row>
    <row r="128" spans="1:212" ht="24.95" customHeight="1" x14ac:dyDescent="0.2">
      <c r="A128" s="368">
        <v>31</v>
      </c>
      <c r="B128" s="367" t="s">
        <v>7</v>
      </c>
      <c r="C128" s="368"/>
      <c r="D128" s="368"/>
      <c r="E128" s="368">
        <v>1</v>
      </c>
      <c r="F128" s="368"/>
      <c r="G128" s="373">
        <f t="shared" si="10"/>
        <v>1</v>
      </c>
      <c r="H128" s="372" t="s">
        <v>1</v>
      </c>
      <c r="I128" s="372">
        <v>72000</v>
      </c>
      <c r="J128" s="373">
        <f t="shared" si="11"/>
        <v>72000</v>
      </c>
    </row>
    <row r="129" spans="1:10" ht="24.95" customHeight="1" x14ac:dyDescent="0.2">
      <c r="A129" s="368">
        <v>32</v>
      </c>
      <c r="B129" s="367" t="s">
        <v>108</v>
      </c>
      <c r="C129" s="368"/>
      <c r="D129" s="368"/>
      <c r="E129" s="368">
        <v>1</v>
      </c>
      <c r="F129" s="368"/>
      <c r="G129" s="373">
        <f t="shared" si="10"/>
        <v>1</v>
      </c>
      <c r="H129" s="372" t="s">
        <v>1</v>
      </c>
      <c r="I129" s="372">
        <v>32000</v>
      </c>
      <c r="J129" s="373">
        <f t="shared" si="11"/>
        <v>32000</v>
      </c>
    </row>
    <row r="130" spans="1:10" ht="24.95" customHeight="1" x14ac:dyDescent="0.2">
      <c r="A130" s="368">
        <v>33</v>
      </c>
      <c r="B130" s="367" t="s">
        <v>95</v>
      </c>
      <c r="C130" s="368"/>
      <c r="D130" s="368"/>
      <c r="E130" s="368">
        <v>8</v>
      </c>
      <c r="F130" s="368"/>
      <c r="G130" s="373">
        <f t="shared" si="10"/>
        <v>8</v>
      </c>
      <c r="H130" s="372" t="s">
        <v>5</v>
      </c>
      <c r="I130" s="413">
        <v>12117.125</v>
      </c>
      <c r="J130" s="373">
        <f>G130*I130</f>
        <v>96937</v>
      </c>
    </row>
    <row r="131" spans="1:10" ht="24.95" customHeight="1" x14ac:dyDescent="0.2">
      <c r="A131" s="368">
        <v>34</v>
      </c>
      <c r="B131" s="367" t="s">
        <v>14</v>
      </c>
      <c r="C131" s="368"/>
      <c r="D131" s="368"/>
      <c r="E131" s="368">
        <v>1</v>
      </c>
      <c r="F131" s="368"/>
      <c r="G131" s="373">
        <f t="shared" si="10"/>
        <v>1</v>
      </c>
      <c r="H131" s="368" t="s">
        <v>13</v>
      </c>
      <c r="I131" s="372">
        <v>380000</v>
      </c>
      <c r="J131" s="373">
        <f t="shared" si="11"/>
        <v>380000</v>
      </c>
    </row>
    <row r="132" spans="1:10" ht="24.95" customHeight="1" x14ac:dyDescent="0.2">
      <c r="A132" s="368">
        <v>35</v>
      </c>
      <c r="B132" s="367" t="s">
        <v>15</v>
      </c>
      <c r="C132" s="368"/>
      <c r="D132" s="368"/>
      <c r="E132" s="368">
        <v>1</v>
      </c>
      <c r="F132" s="368"/>
      <c r="G132" s="373">
        <f t="shared" si="10"/>
        <v>1</v>
      </c>
      <c r="H132" s="372" t="s">
        <v>1</v>
      </c>
      <c r="I132" s="414">
        <v>110000</v>
      </c>
      <c r="J132" s="373">
        <f t="shared" si="11"/>
        <v>110000</v>
      </c>
    </row>
    <row r="133" spans="1:10" ht="24.95" customHeight="1" x14ac:dyDescent="0.2">
      <c r="A133" s="368">
        <v>36</v>
      </c>
      <c r="B133" s="367" t="s">
        <v>101</v>
      </c>
      <c r="C133" s="368"/>
      <c r="D133" s="368"/>
      <c r="E133" s="368">
        <v>2</v>
      </c>
      <c r="F133" s="368"/>
      <c r="G133" s="373">
        <f t="shared" si="10"/>
        <v>2</v>
      </c>
      <c r="H133" s="372" t="s">
        <v>1</v>
      </c>
      <c r="I133" s="381">
        <v>193849.22</v>
      </c>
      <c r="J133" s="373">
        <f t="shared" si="11"/>
        <v>387698.44</v>
      </c>
    </row>
    <row r="134" spans="1:10" ht="24.95" customHeight="1" x14ac:dyDescent="0.2">
      <c r="A134" s="368">
        <v>37</v>
      </c>
      <c r="B134" s="367" t="s">
        <v>104</v>
      </c>
      <c r="C134" s="368"/>
      <c r="D134" s="368"/>
      <c r="E134" s="368">
        <v>1</v>
      </c>
      <c r="F134" s="368"/>
      <c r="G134" s="373">
        <f t="shared" si="10"/>
        <v>1</v>
      </c>
      <c r="H134" s="372" t="s">
        <v>1</v>
      </c>
      <c r="I134" s="372">
        <v>38000</v>
      </c>
      <c r="J134" s="373">
        <f t="shared" si="11"/>
        <v>38000</v>
      </c>
    </row>
    <row r="135" spans="1:10" ht="24.95" customHeight="1" x14ac:dyDescent="0.2">
      <c r="A135" s="368">
        <v>38</v>
      </c>
      <c r="B135" s="367" t="s">
        <v>9</v>
      </c>
      <c r="C135" s="368"/>
      <c r="D135" s="368"/>
      <c r="E135" s="368">
        <v>1</v>
      </c>
      <c r="F135" s="368"/>
      <c r="G135" s="373">
        <f t="shared" si="10"/>
        <v>1</v>
      </c>
      <c r="H135" s="372" t="s">
        <v>1</v>
      </c>
      <c r="I135" s="396">
        <v>20100</v>
      </c>
      <c r="J135" s="373">
        <f t="shared" si="11"/>
        <v>20100</v>
      </c>
    </row>
    <row r="136" spans="1:10" ht="24.95" customHeight="1" x14ac:dyDescent="0.2">
      <c r="A136" s="368">
        <v>39</v>
      </c>
      <c r="B136" s="367" t="s">
        <v>10</v>
      </c>
      <c r="C136" s="368"/>
      <c r="D136" s="368"/>
      <c r="E136" s="368">
        <v>1</v>
      </c>
      <c r="F136" s="368"/>
      <c r="G136" s="373">
        <f t="shared" si="10"/>
        <v>1</v>
      </c>
      <c r="H136" s="372" t="s">
        <v>11</v>
      </c>
      <c r="I136" s="396">
        <v>130000</v>
      </c>
      <c r="J136" s="373">
        <f t="shared" si="11"/>
        <v>130000</v>
      </c>
    </row>
    <row r="137" spans="1:10" ht="24.95" customHeight="1" x14ac:dyDescent="0.2">
      <c r="A137" s="368">
        <v>40</v>
      </c>
      <c r="B137" s="367" t="s">
        <v>12</v>
      </c>
      <c r="C137" s="368"/>
      <c r="D137" s="368"/>
      <c r="E137" s="368">
        <v>1</v>
      </c>
      <c r="F137" s="368"/>
      <c r="G137" s="373">
        <f t="shared" si="10"/>
        <v>1</v>
      </c>
      <c r="H137" s="372" t="s">
        <v>1</v>
      </c>
      <c r="I137" s="396">
        <v>86000</v>
      </c>
      <c r="J137" s="373">
        <f t="shared" si="11"/>
        <v>86000</v>
      </c>
    </row>
    <row r="138" spans="1:10" ht="24.95" customHeight="1" x14ac:dyDescent="0.2">
      <c r="A138" s="368">
        <v>41</v>
      </c>
      <c r="B138" s="367" t="s">
        <v>127</v>
      </c>
      <c r="C138" s="368"/>
      <c r="D138" s="368"/>
      <c r="E138" s="368">
        <v>2</v>
      </c>
      <c r="F138" s="368"/>
      <c r="G138" s="373">
        <f t="shared" si="10"/>
        <v>2</v>
      </c>
      <c r="H138" s="368" t="s">
        <v>2</v>
      </c>
      <c r="I138" s="368">
        <v>18900</v>
      </c>
      <c r="J138" s="373">
        <f t="shared" si="11"/>
        <v>37800</v>
      </c>
    </row>
    <row r="139" spans="1:10" ht="24.95" customHeight="1" x14ac:dyDescent="0.2">
      <c r="A139" s="368">
        <v>42</v>
      </c>
      <c r="B139" s="367" t="s">
        <v>128</v>
      </c>
      <c r="C139" s="368"/>
      <c r="D139" s="368"/>
      <c r="E139" s="368">
        <v>1</v>
      </c>
      <c r="F139" s="368"/>
      <c r="G139" s="373">
        <f t="shared" si="10"/>
        <v>1</v>
      </c>
      <c r="H139" s="368" t="s">
        <v>2</v>
      </c>
      <c r="I139" s="368">
        <v>23000</v>
      </c>
      <c r="J139" s="373">
        <f t="shared" si="11"/>
        <v>23000</v>
      </c>
    </row>
    <row r="140" spans="1:10" ht="24.95" customHeight="1" x14ac:dyDescent="0.2">
      <c r="A140" s="368">
        <v>43</v>
      </c>
      <c r="B140" s="367" t="s">
        <v>112</v>
      </c>
      <c r="C140" s="368"/>
      <c r="D140" s="368"/>
      <c r="E140" s="368">
        <v>1</v>
      </c>
      <c r="F140" s="368"/>
      <c r="G140" s="373">
        <f t="shared" si="10"/>
        <v>1</v>
      </c>
      <c r="H140" s="372" t="s">
        <v>1</v>
      </c>
      <c r="I140" s="396">
        <v>96116</v>
      </c>
      <c r="J140" s="373">
        <f t="shared" si="11"/>
        <v>96116</v>
      </c>
    </row>
    <row r="141" spans="1:10" ht="24.95" customHeight="1" x14ac:dyDescent="0.2">
      <c r="A141" s="368">
        <v>44</v>
      </c>
      <c r="B141" s="367" t="s">
        <v>113</v>
      </c>
      <c r="C141" s="368"/>
      <c r="D141" s="368"/>
      <c r="E141" s="368">
        <v>1</v>
      </c>
      <c r="F141" s="368"/>
      <c r="G141" s="373">
        <f t="shared" si="10"/>
        <v>1</v>
      </c>
      <c r="H141" s="372" t="s">
        <v>2</v>
      </c>
      <c r="I141" s="396">
        <v>28300</v>
      </c>
      <c r="J141" s="373">
        <f t="shared" si="11"/>
        <v>28300</v>
      </c>
    </row>
    <row r="142" spans="1:10" ht="24.95" customHeight="1" x14ac:dyDescent="0.2">
      <c r="A142" s="368">
        <v>45</v>
      </c>
      <c r="B142" s="367" t="s">
        <v>114</v>
      </c>
      <c r="C142" s="368"/>
      <c r="D142" s="368"/>
      <c r="E142" s="368">
        <v>1</v>
      </c>
      <c r="F142" s="368"/>
      <c r="G142" s="373">
        <f t="shared" si="10"/>
        <v>1</v>
      </c>
      <c r="H142" s="372" t="s">
        <v>5</v>
      </c>
      <c r="I142" s="396">
        <v>20000</v>
      </c>
      <c r="J142" s="373">
        <f t="shared" si="11"/>
        <v>20000</v>
      </c>
    </row>
    <row r="143" spans="1:10" ht="24.95" customHeight="1" x14ac:dyDescent="0.2">
      <c r="A143" s="368">
        <v>46</v>
      </c>
      <c r="B143" s="367" t="s">
        <v>115</v>
      </c>
      <c r="C143" s="368"/>
      <c r="D143" s="368"/>
      <c r="E143" s="368">
        <v>3</v>
      </c>
      <c r="F143" s="368"/>
      <c r="G143" s="373">
        <f t="shared" si="10"/>
        <v>3</v>
      </c>
      <c r="H143" s="372" t="s">
        <v>5</v>
      </c>
      <c r="I143" s="396">
        <v>3500</v>
      </c>
      <c r="J143" s="373">
        <f t="shared" si="11"/>
        <v>10500</v>
      </c>
    </row>
    <row r="144" spans="1:10" ht="24.95" customHeight="1" x14ac:dyDescent="0.2">
      <c r="A144" s="368">
        <v>47</v>
      </c>
      <c r="B144" s="367" t="s">
        <v>116</v>
      </c>
      <c r="C144" s="368"/>
      <c r="D144" s="368"/>
      <c r="E144" s="368">
        <v>6</v>
      </c>
      <c r="F144" s="368"/>
      <c r="G144" s="373">
        <f t="shared" si="10"/>
        <v>6</v>
      </c>
      <c r="H144" s="372" t="s">
        <v>5</v>
      </c>
      <c r="I144" s="396">
        <v>1800</v>
      </c>
      <c r="J144" s="373">
        <f t="shared" si="11"/>
        <v>10800</v>
      </c>
    </row>
    <row r="145" spans="1:10" ht="24.95" customHeight="1" x14ac:dyDescent="0.2">
      <c r="A145" s="368">
        <v>48</v>
      </c>
      <c r="B145" s="367" t="s">
        <v>117</v>
      </c>
      <c r="C145" s="368"/>
      <c r="D145" s="368"/>
      <c r="E145" s="368">
        <v>4</v>
      </c>
      <c r="F145" s="368"/>
      <c r="G145" s="373">
        <f t="shared" si="10"/>
        <v>4</v>
      </c>
      <c r="H145" s="368" t="s">
        <v>2</v>
      </c>
      <c r="I145" s="368">
        <v>2396</v>
      </c>
      <c r="J145" s="373">
        <f t="shared" si="11"/>
        <v>9584</v>
      </c>
    </row>
    <row r="146" spans="1:10" ht="24.95" customHeight="1" x14ac:dyDescent="0.2">
      <c r="A146" s="368">
        <v>49</v>
      </c>
      <c r="B146" s="367" t="s">
        <v>118</v>
      </c>
      <c r="C146" s="368"/>
      <c r="D146" s="368"/>
      <c r="E146" s="368">
        <v>4</v>
      </c>
      <c r="F146" s="368">
        <v>2</v>
      </c>
      <c r="G146" s="373">
        <f t="shared" si="10"/>
        <v>6</v>
      </c>
      <c r="H146" s="368" t="s">
        <v>2</v>
      </c>
      <c r="I146" s="368">
        <v>2500</v>
      </c>
      <c r="J146" s="373">
        <f t="shared" si="11"/>
        <v>15000</v>
      </c>
    </row>
    <row r="147" spans="1:10" ht="24.95" customHeight="1" x14ac:dyDescent="0.2">
      <c r="A147" s="368">
        <v>50</v>
      </c>
      <c r="B147" s="367" t="s">
        <v>126</v>
      </c>
      <c r="C147" s="368"/>
      <c r="D147" s="368"/>
      <c r="E147" s="368">
        <v>6</v>
      </c>
      <c r="F147" s="368"/>
      <c r="G147" s="373">
        <f t="shared" si="10"/>
        <v>6</v>
      </c>
      <c r="H147" s="372" t="s">
        <v>5</v>
      </c>
      <c r="I147" s="368">
        <v>31707</v>
      </c>
      <c r="J147" s="373">
        <f t="shared" si="11"/>
        <v>190242</v>
      </c>
    </row>
    <row r="148" spans="1:10" ht="24.95" customHeight="1" x14ac:dyDescent="0.2">
      <c r="A148" s="368">
        <v>51</v>
      </c>
      <c r="B148" s="367" t="s">
        <v>120</v>
      </c>
      <c r="C148" s="368"/>
      <c r="D148" s="368"/>
      <c r="E148" s="368">
        <v>4</v>
      </c>
      <c r="F148" s="368"/>
      <c r="G148" s="373">
        <f t="shared" si="10"/>
        <v>4</v>
      </c>
      <c r="H148" s="368" t="s">
        <v>119</v>
      </c>
      <c r="I148" s="368">
        <v>8914</v>
      </c>
      <c r="J148" s="373">
        <f t="shared" si="11"/>
        <v>35656</v>
      </c>
    </row>
    <row r="149" spans="1:10" ht="24.95" customHeight="1" x14ac:dyDescent="0.2">
      <c r="A149" s="368">
        <v>52</v>
      </c>
      <c r="B149" s="367" t="s">
        <v>121</v>
      </c>
      <c r="C149" s="368"/>
      <c r="D149" s="368"/>
      <c r="E149" s="368">
        <v>4</v>
      </c>
      <c r="F149" s="368"/>
      <c r="G149" s="373">
        <f t="shared" si="10"/>
        <v>4</v>
      </c>
      <c r="H149" s="368" t="s">
        <v>119</v>
      </c>
      <c r="I149" s="368">
        <v>7680</v>
      </c>
      <c r="J149" s="373">
        <f t="shared" si="11"/>
        <v>30720</v>
      </c>
    </row>
    <row r="150" spans="1:10" ht="24.95" customHeight="1" x14ac:dyDescent="0.2">
      <c r="A150" s="368">
        <v>53</v>
      </c>
      <c r="B150" s="367" t="s">
        <v>123</v>
      </c>
      <c r="C150" s="368"/>
      <c r="D150" s="368"/>
      <c r="E150" s="368">
        <v>200</v>
      </c>
      <c r="F150" s="368"/>
      <c r="G150" s="373">
        <f t="shared" si="10"/>
        <v>200</v>
      </c>
      <c r="H150" s="368" t="s">
        <v>1</v>
      </c>
      <c r="I150" s="368">
        <v>30</v>
      </c>
      <c r="J150" s="373">
        <f t="shared" si="11"/>
        <v>6000</v>
      </c>
    </row>
    <row r="151" spans="1:10" ht="24.95" customHeight="1" x14ac:dyDescent="0.2">
      <c r="A151" s="368">
        <v>54</v>
      </c>
      <c r="B151" s="378" t="s">
        <v>180</v>
      </c>
      <c r="C151" s="368"/>
      <c r="D151" s="368"/>
      <c r="E151" s="368"/>
      <c r="F151" s="368">
        <v>1</v>
      </c>
      <c r="G151" s="373">
        <f t="shared" si="10"/>
        <v>1</v>
      </c>
      <c r="H151" s="387" t="s">
        <v>178</v>
      </c>
      <c r="I151" s="372">
        <v>7000</v>
      </c>
      <c r="J151" s="373">
        <f t="shared" si="11"/>
        <v>7000</v>
      </c>
    </row>
    <row r="152" spans="1:10" ht="24.95" customHeight="1" x14ac:dyDescent="0.2">
      <c r="A152" s="372">
        <v>55</v>
      </c>
      <c r="B152" s="384" t="s">
        <v>422</v>
      </c>
      <c r="C152" s="368">
        <v>0</v>
      </c>
      <c r="D152" s="368">
        <v>0</v>
      </c>
      <c r="E152" s="368"/>
      <c r="F152" s="368">
        <v>1</v>
      </c>
      <c r="G152" s="373">
        <f t="shared" si="10"/>
        <v>1</v>
      </c>
      <c r="H152" s="368" t="s">
        <v>5</v>
      </c>
      <c r="I152" s="385">
        <v>38000</v>
      </c>
      <c r="J152" s="373">
        <f t="shared" si="11"/>
        <v>38000</v>
      </c>
    </row>
    <row r="153" spans="1:10" s="147" customFormat="1" ht="24.95" customHeight="1" x14ac:dyDescent="0.2">
      <c r="A153" s="368">
        <v>56</v>
      </c>
      <c r="B153" s="378" t="s">
        <v>183</v>
      </c>
      <c r="C153" s="368"/>
      <c r="D153" s="368"/>
      <c r="E153" s="412"/>
      <c r="F153" s="368">
        <v>1</v>
      </c>
      <c r="G153" s="373">
        <f t="shared" si="10"/>
        <v>1</v>
      </c>
      <c r="H153" s="368" t="s">
        <v>5</v>
      </c>
      <c r="I153" s="368">
        <v>17200</v>
      </c>
      <c r="J153" s="373">
        <f t="shared" si="11"/>
        <v>17200</v>
      </c>
    </row>
    <row r="154" spans="1:10" ht="24.95" customHeight="1" x14ac:dyDescent="0.2">
      <c r="A154" s="368">
        <v>57</v>
      </c>
      <c r="B154" s="415" t="s">
        <v>206</v>
      </c>
      <c r="C154" s="368"/>
      <c r="D154" s="368"/>
      <c r="E154" s="368"/>
      <c r="F154" s="368">
        <v>30</v>
      </c>
      <c r="G154" s="373">
        <f t="shared" si="10"/>
        <v>30</v>
      </c>
      <c r="H154" s="416" t="s">
        <v>45</v>
      </c>
      <c r="I154" s="416">
        <v>250</v>
      </c>
      <c r="J154" s="373">
        <f t="shared" si="11"/>
        <v>7500</v>
      </c>
    </row>
    <row r="155" spans="1:10" ht="24.95" customHeight="1" x14ac:dyDescent="0.2">
      <c r="A155" s="368">
        <v>58</v>
      </c>
      <c r="B155" s="410" t="s">
        <v>208</v>
      </c>
      <c r="C155" s="368"/>
      <c r="D155" s="368"/>
      <c r="E155" s="368"/>
      <c r="F155" s="368">
        <v>100</v>
      </c>
      <c r="G155" s="373">
        <f t="shared" si="10"/>
        <v>100</v>
      </c>
      <c r="H155" s="368" t="s">
        <v>4</v>
      </c>
      <c r="I155" s="417">
        <v>100</v>
      </c>
      <c r="J155" s="373">
        <f t="shared" si="11"/>
        <v>10000</v>
      </c>
    </row>
    <row r="156" spans="1:10" ht="24.95" customHeight="1" x14ac:dyDescent="0.2">
      <c r="A156" s="368">
        <v>59</v>
      </c>
      <c r="B156" s="410" t="s">
        <v>236</v>
      </c>
      <c r="C156" s="368"/>
      <c r="D156" s="368"/>
      <c r="E156" s="368"/>
      <c r="F156" s="368">
        <v>1</v>
      </c>
      <c r="G156" s="373">
        <f t="shared" si="10"/>
        <v>1</v>
      </c>
      <c r="H156" s="368" t="s">
        <v>211</v>
      </c>
      <c r="I156" s="417">
        <v>29500</v>
      </c>
      <c r="J156" s="373">
        <f t="shared" si="11"/>
        <v>29500</v>
      </c>
    </row>
    <row r="157" spans="1:10" ht="24.95" customHeight="1" x14ac:dyDescent="0.2">
      <c r="A157" s="368">
        <v>60</v>
      </c>
      <c r="B157" s="410" t="s">
        <v>213</v>
      </c>
      <c r="C157" s="368"/>
      <c r="D157" s="368"/>
      <c r="E157" s="368"/>
      <c r="F157" s="368">
        <v>1</v>
      </c>
      <c r="G157" s="373">
        <f t="shared" si="10"/>
        <v>1</v>
      </c>
      <c r="H157" s="368" t="s">
        <v>2</v>
      </c>
      <c r="I157" s="417">
        <v>43223</v>
      </c>
      <c r="J157" s="373">
        <f t="shared" si="11"/>
        <v>43223</v>
      </c>
    </row>
    <row r="158" spans="1:10" ht="24.95" customHeight="1" x14ac:dyDescent="0.2">
      <c r="A158" s="368">
        <v>61</v>
      </c>
      <c r="B158" s="410" t="s">
        <v>215</v>
      </c>
      <c r="C158" s="368"/>
      <c r="D158" s="368"/>
      <c r="E158" s="368"/>
      <c r="F158" s="368">
        <v>1</v>
      </c>
      <c r="G158" s="373">
        <f t="shared" si="10"/>
        <v>1</v>
      </c>
      <c r="H158" s="368" t="s">
        <v>2</v>
      </c>
      <c r="I158" s="417">
        <v>9853</v>
      </c>
      <c r="J158" s="373">
        <f t="shared" si="11"/>
        <v>9853</v>
      </c>
    </row>
    <row r="159" spans="1:10" x14ac:dyDescent="0.2">
      <c r="A159" s="369"/>
      <c r="B159" s="404" t="s">
        <v>251</v>
      </c>
      <c r="C159" s="405"/>
      <c r="D159" s="405"/>
      <c r="E159" s="405"/>
      <c r="F159" s="405"/>
      <c r="G159" s="406"/>
      <c r="H159" s="405"/>
      <c r="I159" s="405"/>
      <c r="J159" s="371">
        <f>SUM(J98:J158)</f>
        <v>4355539.9800000004</v>
      </c>
    </row>
    <row r="160" spans="1:10" s="128" customFormat="1" x14ac:dyDescent="0.25">
      <c r="A160" s="372"/>
      <c r="B160" s="407"/>
      <c r="C160" s="372"/>
      <c r="D160" s="372"/>
      <c r="E160" s="372"/>
      <c r="F160" s="372"/>
      <c r="G160" s="372"/>
      <c r="H160" s="368"/>
      <c r="I160" s="372"/>
      <c r="J160" s="372"/>
    </row>
    <row r="161" spans="1:10" x14ac:dyDescent="0.2">
      <c r="A161" s="372"/>
      <c r="B161" s="408" t="s">
        <v>373</v>
      </c>
      <c r="C161" s="372"/>
      <c r="D161" s="372"/>
      <c r="E161" s="372"/>
      <c r="F161" s="372"/>
      <c r="G161" s="372"/>
      <c r="H161" s="368"/>
      <c r="I161" s="372"/>
      <c r="J161" s="409">
        <f>J159+J96+J66+J8</f>
        <v>16631362.005999999</v>
      </c>
    </row>
  </sheetData>
  <mergeCells count="7">
    <mergeCell ref="A1:J1"/>
    <mergeCell ref="A2:J2"/>
    <mergeCell ref="A3:A4"/>
    <mergeCell ref="B3:B4"/>
    <mergeCell ref="H3:H4"/>
    <mergeCell ref="I3:I4"/>
    <mergeCell ref="J3: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PCOM EST</vt:lpstr>
      <vt:lpstr>PCSTE SCH 21.10.2024</vt:lpstr>
      <vt:lpstr>Final with out Chrges 14-10-24</vt:lpstr>
      <vt:lpstr>PCEE+PFA+PCSTE+PCOM COMB SCH </vt:lpstr>
      <vt:lpstr>PCEE+PFA+PCSTE+PCOM COMB SC 22.</vt:lpstr>
      <vt:lpstr>PCEE+PFA+PCSTE+PCOM COMB SCh F</vt:lpstr>
      <vt:lpstr>Sheet1</vt:lpstr>
      <vt:lpstr>'Final with out Chrges 14-10-24'!Print_Area</vt:lpstr>
      <vt:lpstr>'PCEE+PFA+PCSTE+PCOM COMB SC 22.'!Print_Area</vt:lpstr>
      <vt:lpstr>'PCEE+PFA+PCSTE+PCOM COMB SCH '!Print_Area</vt:lpstr>
      <vt:lpstr>'PCEE+PFA+PCSTE+PCOM COMB SCh F'!Print_Area</vt:lpstr>
      <vt:lpstr>'PCSTE SCH 21.10.2024'!Print_Area</vt:lpstr>
      <vt:lpstr>'Final with out Chrges 14-10-24'!Print_Titles</vt:lpstr>
      <vt:lpstr>'PCSTE SCH 21.10.2024'!Print_Titles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2025-12-17T06:36:00Z</dcterms:modified>
</cp:coreProperties>
</file>