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alcChain.xml" ContentType="application/vnd.openxmlformats-officedocument.spreadsheetml.calcChain+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8925"/>
  <mc:AlternateContent xmlns:mc="http://schemas.openxmlformats.org/markup-compatibility/2006">
    <mc:Choice Requires="x15">
      <x15ac:absPath xmlns:x15ac="http://schemas.microsoft.com/office/spreadsheetml/2010/11/ac" url="D:\core_UI\coreui\New_files\"/>
    </mc:Choice>
  </mc:AlternateContent>
  <bookViews>
    <workbookView xWindow="-120" yWindow="-120" windowWidth="29040" windowHeight="15840"/>
  </bookViews>
  <sheets>
    <sheet name="LC 27 " sheetId="1" r:id="rId1"/>
  </sheets>
  <definedNames>
    <definedName name="_xlnm.Print_Area" localSheetId="0">'LC 27 '!$A$1:$I$134</definedName>
    <definedName name="_xlnm.Print_Titles" localSheetId="0">'LC 27 '!$6:$7</definedName>
  </definedNames>
  <calcPr/>
</workbook>
</file>

<file path=xl/calcChain.xml><?xml version="1.0" encoding="utf-8"?>
<calcChain xmlns="http://schemas.openxmlformats.org/spreadsheetml/2006/main">
  <c i="1" l="1" r="F54"/>
  <c r="H54"/>
  <c r="A55"/>
  <c r="G110"/>
  <c r="E112"/>
  <c r="F112"/>
  <c r="H112"/>
  <c r="E113"/>
  <c r="E114"/>
  <c r="E115"/>
  <c r="E116"/>
  <c r="E117"/>
  <c r="F130"/>
  <c r="H130"/>
  <c r="K95"/>
  <c r="G119"/>
  <c r="G121"/>
  <c r="G125"/>
  <c r="G132"/>
  <c r="F117"/>
  <c r="H117"/>
  <c r="F116"/>
  <c r="H116"/>
  <c r="F115"/>
  <c r="H115"/>
  <c r="F114"/>
  <c r="H114"/>
  <c r="F113"/>
  <c r="H113"/>
  <c r="F107"/>
  <c r="H107"/>
  <c r="F106"/>
  <c r="H106"/>
  <c r="F105"/>
  <c r="H105"/>
  <c r="F104"/>
  <c r="H104"/>
  <c r="F103"/>
  <c r="H103"/>
  <c r="F102"/>
  <c r="H102"/>
  <c r="F101"/>
  <c r="H101"/>
  <c r="F100"/>
  <c r="H100"/>
  <c r="F99"/>
  <c r="H99"/>
  <c r="F98"/>
  <c r="H98"/>
  <c r="F97"/>
  <c r="H97"/>
  <c r="F96"/>
  <c r="H96"/>
  <c r="F95"/>
  <c r="H95"/>
  <c r="F94"/>
  <c r="H94"/>
  <c r="F93"/>
  <c r="H93"/>
  <c r="F92"/>
  <c r="H92"/>
  <c r="F91"/>
  <c r="H91"/>
  <c r="F90"/>
  <c r="H90"/>
  <c r="F89"/>
  <c r="H89"/>
  <c r="F88"/>
  <c r="H88"/>
  <c r="F87"/>
  <c r="H87"/>
  <c r="F86"/>
  <c r="H86"/>
  <c r="F85"/>
  <c r="H85"/>
  <c r="F84"/>
  <c r="H84"/>
  <c r="F83"/>
  <c r="H83"/>
  <c r="F82"/>
  <c r="H82"/>
  <c r="F81"/>
  <c r="H81"/>
  <c r="F80"/>
  <c r="H80"/>
  <c r="F79"/>
  <c r="H79"/>
  <c r="F78"/>
  <c r="H78"/>
  <c r="F77"/>
  <c r="H77"/>
  <c r="F76"/>
  <c r="H76"/>
  <c r="F75"/>
  <c r="H75"/>
  <c r="F74"/>
  <c r="H74"/>
  <c r="F73"/>
  <c r="H73"/>
  <c r="F72"/>
  <c r="H72"/>
  <c r="F71"/>
  <c r="H71"/>
  <c r="F70"/>
  <c r="H70"/>
  <c r="F69"/>
  <c r="H69"/>
  <c r="F68"/>
  <c r="H68"/>
  <c r="F67"/>
  <c r="H67"/>
  <c r="F66"/>
  <c r="H66"/>
  <c r="F65"/>
  <c r="H65"/>
  <c r="F64"/>
  <c r="H64"/>
  <c r="F63"/>
  <c r="H63"/>
  <c r="F62"/>
  <c r="H62"/>
  <c r="F61"/>
  <c r="H61"/>
  <c r="F60"/>
  <c r="H60"/>
  <c r="F59"/>
  <c r="H59"/>
  <c r="F58"/>
  <c r="H58"/>
  <c r="F57"/>
  <c r="H57"/>
  <c r="F56"/>
  <c r="H56"/>
  <c r="F55"/>
  <c r="H55"/>
  <c r="A56"/>
  <c r="A57"/>
  <c r="A58"/>
  <c r="A59"/>
  <c r="F50"/>
  <c r="H50"/>
  <c r="F49"/>
  <c r="H49"/>
  <c r="F48"/>
  <c r="H48"/>
  <c r="F47"/>
  <c r="H47"/>
  <c r="F46"/>
  <c r="H46"/>
  <c r="F45"/>
  <c r="H45"/>
  <c r="F44"/>
  <c r="H44"/>
  <c r="F43"/>
  <c r="H43"/>
  <c r="F42"/>
  <c r="H42"/>
  <c r="F41"/>
  <c r="H41"/>
  <c r="F40"/>
  <c r="H40"/>
  <c r="F39"/>
  <c r="H39"/>
  <c r="F38"/>
  <c r="H38"/>
  <c r="F37"/>
  <c r="H37"/>
  <c r="F36"/>
  <c r="H36"/>
  <c r="F35"/>
  <c r="H35"/>
  <c r="F34"/>
  <c r="H34"/>
  <c r="F33"/>
  <c r="H33"/>
  <c r="F32"/>
  <c r="H32"/>
  <c r="F31"/>
  <c r="H31"/>
  <c r="F30"/>
  <c r="H30"/>
  <c r="F29"/>
  <c r="H29"/>
  <c r="F28"/>
  <c r="H28"/>
  <c r="F27"/>
  <c r="H27"/>
  <c r="F26"/>
  <c r="H26"/>
  <c r="F25"/>
  <c r="H25"/>
  <c r="F24"/>
  <c r="H24"/>
  <c r="F23"/>
  <c r="H23"/>
  <c r="F22"/>
  <c r="H22"/>
  <c r="F21"/>
  <c r="H21"/>
  <c r="F20"/>
  <c r="H20"/>
  <c r="F19"/>
  <c r="H19"/>
  <c r="F18"/>
  <c r="H18"/>
  <c r="F17"/>
  <c r="H17"/>
  <c r="F16"/>
  <c r="H16"/>
  <c r="F15"/>
  <c r="H15"/>
  <c r="F14"/>
  <c r="H14"/>
  <c r="G13"/>
  <c r="H13"/>
  <c r="G12"/>
  <c r="H12"/>
  <c r="G11"/>
  <c r="H11"/>
  <c r="G10"/>
  <c r="H10"/>
  <c r="A10"/>
  <c r="A11"/>
  <c r="A12"/>
  <c r="A13"/>
  <c r="A14"/>
  <c r="A15"/>
  <c r="A16"/>
  <c r="A17"/>
  <c r="A18"/>
  <c r="A19"/>
  <c r="A20"/>
  <c r="A21"/>
  <c r="A22"/>
  <c r="A23"/>
  <c r="A24"/>
  <c r="A25"/>
  <c r="A26"/>
  <c r="A27"/>
  <c r="A28"/>
  <c r="A29"/>
  <c r="A30"/>
  <c r="A31"/>
  <c r="A32"/>
  <c r="A34"/>
  <c r="A35"/>
  <c r="A36"/>
  <c r="A37"/>
  <c r="A38"/>
  <c r="A39"/>
  <c r="A40"/>
  <c r="A41"/>
  <c r="A42"/>
  <c r="A43"/>
  <c r="A44"/>
  <c r="G9"/>
  <c r="H9"/>
  <c r="A60"/>
  <c r="A61"/>
  <c r="A62"/>
  <c r="A63"/>
  <c r="A64"/>
  <c r="A65"/>
  <c r="A66"/>
  <c r="A67"/>
  <c r="A68"/>
  <c r="A69"/>
  <c r="A70"/>
  <c r="A71"/>
  <c r="A72"/>
  <c r="A73"/>
  <c r="A74"/>
  <c r="A75"/>
  <c r="A76"/>
  <c r="A77"/>
  <c r="A78"/>
  <c r="A79"/>
  <c r="A80"/>
  <c r="A81"/>
  <c r="A82"/>
  <c r="A83"/>
  <c r="A84"/>
  <c r="A85"/>
  <c r="A86"/>
  <c r="A87"/>
  <c l="1" r="H110"/>
  <c r="H119"/>
  <c r="H121"/>
  <c r="F128"/>
  <c r="H128"/>
  <c r="F119"/>
  <c r="F110"/>
  <c r="A45"/>
  <c r="A88"/>
  <c r="A89"/>
  <c r="A90"/>
  <c r="A91"/>
  <c r="A92"/>
  <c r="A93"/>
  <c r="A46"/>
  <c r="A47"/>
  <c r="A48"/>
  <c r="A49"/>
  <c r="A50"/>
  <c l="1" r="F121"/>
  <c r="F127"/>
  <c r="H127"/>
  <c r="F123"/>
  <c r="H123"/>
  <c r="H125"/>
  <c r="A95"/>
  <c r="A96"/>
  <c r="A97"/>
  <c r="A98"/>
  <c r="A99"/>
  <c r="A100"/>
  <c l="1" r="H132"/>
  <c r="F125"/>
  <c r="F132"/>
  <c r="A101"/>
  <c r="A102"/>
  <c r="A103"/>
  <c r="A104"/>
  <c r="A105"/>
  <c r="A106"/>
  <c r="A107"/>
</calcChain>
</file>

<file path=xl/sharedStrings.xml><?xml version="1.0" encoding="utf-8"?>
<sst xmlns="http://schemas.openxmlformats.org/spreadsheetml/2006/main">
  <si>
    <t>Division:HYB</t>
  </si>
  <si>
    <t>2025-26</t>
  </si>
  <si>
    <t>Department:S&amp;T</t>
  </si>
  <si>
    <t>PH-3000</t>
  </si>
  <si>
    <t>Estimate No. Y/SG/Est/25-26/</t>
  </si>
  <si>
    <t>IRPSM ID: 11.03.30.18.1.47.001</t>
  </si>
  <si>
    <t xml:space="preserve">DETAILED  ESTIMATE</t>
  </si>
  <si>
    <t>Name of the Work: Hyderabad division: Timmapur-Shadnagar - Road over bridge in lieu of level crossing No.27 (PB#304/2018-19/SC)</t>
  </si>
  <si>
    <t>Sl. No.</t>
  </si>
  <si>
    <t>Description</t>
  </si>
  <si>
    <t>Qty</t>
  </si>
  <si>
    <t>Unit</t>
  </si>
  <si>
    <t>Rate in Rs.</t>
  </si>
  <si>
    <t>Total in Rs.</t>
  </si>
  <si>
    <t>Reference</t>
  </si>
  <si>
    <t>Cash</t>
  </si>
  <si>
    <t>Stock</t>
  </si>
  <si>
    <t>A</t>
  </si>
  <si>
    <t xml:space="preserve">SUPPLY PORTION </t>
  </si>
  <si>
    <t xml:space="preserve">Supply of  U/G Signalling cable  size  2 C, 2.5 Sqmm</t>
  </si>
  <si>
    <t>Km</t>
  </si>
  <si>
    <t>P.O.No.: 56255006201414 dated 20-MAR-25</t>
  </si>
  <si>
    <t xml:space="preserve">Supply of U/G signalling cable  of size 12C core  x 1.5 Sq. mm (U/S)</t>
  </si>
  <si>
    <t>P.O.No.: 56241007200767 dated 17-FEB-25</t>
  </si>
  <si>
    <t xml:space="preserve">Supply of U/G signalling cable unscreaned armoured copper conductor of size 30C core  x 1.5 Sq. mm (U/S)</t>
  </si>
  <si>
    <t>P.O.No.: 56245011201209 dated 15-MAR-2024</t>
  </si>
  <si>
    <t xml:space="preserve">Supply of U/G railway Jelly filled 6 Quad Telecom cable </t>
  </si>
  <si>
    <t>P.O.No.: 56241187206788 dated 28-NOV-24</t>
  </si>
  <si>
    <t>Supply of 24 fibre armoured optical fibre cable.</t>
  </si>
  <si>
    <t>P.O.No.: 56245250200235 dated 22-JAN-25</t>
  </si>
  <si>
    <t>Supply of GKP type Location Boxes Full size as per drQ. No. S&amp;T/MFT/T.2378</t>
  </si>
  <si>
    <t>No.</t>
  </si>
  <si>
    <t>SOR-2024 Item No 201(a)</t>
  </si>
  <si>
    <t>Supply of GKP type Location Boxes Half size drQ. No. S&amp;T/MFT/T.2378</t>
  </si>
  <si>
    <t>SOR-2024 Item No 201(b)</t>
  </si>
  <si>
    <t>Supply of 'E'type lock of specified ward as per requirement with one key E-type lock to DRG. No.SA3376/M or latest and specification IRS: S30-64 or latest.</t>
  </si>
  <si>
    <t>SOR-2024 Item No 202</t>
  </si>
  <si>
    <t xml:space="preserve">Supply of relay fixing frame for full location box. </t>
  </si>
  <si>
    <t>SOR-2024 Item No 203</t>
  </si>
  <si>
    <t xml:space="preserve">Supply  of  relay  fixing  frame  for  half  location  box.  </t>
  </si>
  <si>
    <t>SOR-2024 Item No 204</t>
  </si>
  <si>
    <t xml:space="preserve">Supply  of  Track  lead  junction  boxes  fibre  glass  </t>
  </si>
  <si>
    <t>SOR-2024 Item No 402</t>
  </si>
  <si>
    <t>Supply of B type chokes</t>
  </si>
  <si>
    <t>SOR-2024 Item No 405</t>
  </si>
  <si>
    <t xml:space="preserve">Supply  of  Stationary  low  maintenance  secondary  lead acid  cells  . 2V, 80AH</t>
  </si>
  <si>
    <t>SOR-2024 Item No 406(a)</t>
  </si>
  <si>
    <t xml:space="preserve">Supply of Track Feed Regulating Resistance disk type 00  to 30Ohms   </t>
  </si>
  <si>
    <t>SOR-2024 Item No 412</t>
  </si>
  <si>
    <t xml:space="preserve">Supply of Galvanised Wire rope 6/19 steel, 6 mm dia with fibre core </t>
  </si>
  <si>
    <t>Mtr.</t>
  </si>
  <si>
    <t>SOR-2024 Item No 403</t>
  </si>
  <si>
    <t xml:space="preserve">QNA1- 8F/8B, Interlocking Code: ABDGH </t>
  </si>
  <si>
    <t>SOR-2024 Item No 502</t>
  </si>
  <si>
    <t xml:space="preserve">QNA1-12F/4B,  DC  Neutral  Line  Relay, Interlocking  Code: ABDFH </t>
  </si>
  <si>
    <t>Supply of AC immune, plug-in- type, Style 'QTA2' DC Neutral
track, 9 ohm, 2F.1B contacts, front and back contacts metal
to carbon, complete with plug-board, retaining clip and
connectors conforming to BRS: 939A, BRS: 966 (Appendix
F2), IRS:S 34 &amp; IRS:S 23 (asapplicable). The interlocking code for this uint shall be FGHKX.(with ATC clips)</t>
  </si>
  <si>
    <t>Letter No: HYDERABAD DIVISION-S AND T/
Y-SG-36-2024-25-01 / 01052610105065 DT: 10/6/2024 (4 LCs gate) (+45 %)(SCH A item no 24</t>
  </si>
  <si>
    <t xml:space="preserve">Supply of GI termination box (10 SWG) for point machine of size 45 cmx23 cmxl2 cm </t>
  </si>
  <si>
    <t>SOR-2024 Item no. 301</t>
  </si>
  <si>
    <t xml:space="preserve">Ground connections for universal point machine143 mm </t>
  </si>
  <si>
    <t>Set</t>
  </si>
  <si>
    <t>SOR-2024 Item no. 302(a)</t>
  </si>
  <si>
    <t>Insulations for the ground connection for point machine comprising of the following:
1) Switch extension piece insulation -1 set 
2) Stretcher bar insulation-3sets 
3) Gauge tie plate insulations-4sets 
4) Drive lug insulation-i set complete with bushes</t>
  </si>
  <si>
    <t>SOR-2024 Item no. 303(c)</t>
  </si>
  <si>
    <t>Terminal block: 1 way Poly butylene Terephthalate (PBT) of
size 60mm</t>
  </si>
  <si>
    <t>SOR-2024 Item no. 603(a)</t>
  </si>
  <si>
    <t xml:space="preserve">Terminal block: 6 way Poly butylene Terephthalate (PBT) of
size 25mm </t>
  </si>
  <si>
    <t>SOR-2024 Item no. 603(b)</t>
  </si>
  <si>
    <t xml:space="preserve">Supply of modular terminal block (WAGO or similar) as per
RDSO specification ROSO/SPN/189/2004 Ver. 3.0 or latest
</t>
  </si>
  <si>
    <t>SOR-2024 Item no. 603(c)</t>
  </si>
  <si>
    <t xml:space="preserve">Supply of Non-deteriorating type of fuse holders &amp; fuse  links</t>
  </si>
  <si>
    <t>SOR-2024 Item no. 605</t>
  </si>
  <si>
    <t>(a) Fuse holder 20A capacity</t>
  </si>
  <si>
    <t>Fuse link IA I 2A I 6A I I0A I I6A / 20A as specified by
Engineer In charge.</t>
  </si>
  <si>
    <t xml:space="preserve">Multi-strand, single core, copper conductor 16/0.2 (Length of coil should be lOOm. </t>
  </si>
  <si>
    <t>Coil</t>
  </si>
  <si>
    <t xml:space="preserve">SOR-2024 Item no. 702 </t>
  </si>
  <si>
    <t xml:space="preserve">Supply of 10 Sq.mm PVC insulated, multi-strand, single core,
copper conductor 140/0.3 </t>
  </si>
  <si>
    <t>Multi-strand, single core, copper conductor 28/0.3 (28 wires,
diameter of each wire 0.30mm) flexible wire coil</t>
  </si>
  <si>
    <t>Supply of Universal Locks with one steel key for every ten locks</t>
  </si>
  <si>
    <t>SOR-2024 Item no. 1712</t>
  </si>
  <si>
    <t xml:space="preserve">Supply of Double Walled Corrugated (DWC) HDPE duct of
153/180 mm diameter of length of 6m </t>
  </si>
  <si>
    <t>SOR-2024 Item no. 1720 (b)</t>
  </si>
  <si>
    <t xml:space="preserve">Supply of basic material to construct unit Maintenance Free Earth 
</t>
  </si>
  <si>
    <t>set</t>
  </si>
  <si>
    <t>SOR-2024 Item no. 1501</t>
  </si>
  <si>
    <t xml:space="preserve">Supply of 35 Sq.mm PVC insulated multi-strand, single core,
copper conductor 277/0.4 </t>
  </si>
  <si>
    <t xml:space="preserve">SOR-2024 Item no. 702(c) </t>
  </si>
  <si>
    <t xml:space="preserve">Supply of 16 Sq.mm PVC insulated, multi-stand, single core,
copper conductor 127/0.4 </t>
  </si>
  <si>
    <t xml:space="preserve">SOR-2024 Item no. 702(d) </t>
  </si>
  <si>
    <t xml:space="preserve">Supply of copper  lugs 25 Sqmm of reputed make</t>
  </si>
  <si>
    <t>SOR-2024 Item no. 1705(a)</t>
  </si>
  <si>
    <t>Supply of Thermo shrink jointing kit for jointing underground 0.9mm dia conductor 6 quad cable</t>
  </si>
  <si>
    <t>SOR-2024 Item no. 1001</t>
  </si>
  <si>
    <t xml:space="preserve">Supply of Permanently lubricated HDPE Duct with outer diameter of 40mm and inner diameter of 33mm </t>
  </si>
  <si>
    <t>KM</t>
  </si>
  <si>
    <t>SOR-2024 Item no. 1009(a)</t>
  </si>
  <si>
    <t>Supply of Hylam sheet, resinbonded, grade P3 as per ISSpecn IS 2036 of 1974 or latestof size: 10mm thick, grade P3and size 2400mm X 1200mm.</t>
  </si>
  <si>
    <t>Letter No:
HYDERABAD DIVISION-S AND T /Y-SG-36-2025-26-03 /
01052610131924 Dt: 19/06/2025 (ROB 189A) SCH B (- 12.69%) item no: 1</t>
  </si>
  <si>
    <t>Removal of existing 'Q' style / K-50 contact clips along with its wire from the relay base by carefully tracing out from the bunch of wires and taking out unwanted wires from the same as per the alterations shown in the circuit diagram issued by Railways</t>
  </si>
  <si>
    <t>Per Conductor</t>
  </si>
  <si>
    <t>SOR-2024 Item no.4001</t>
  </si>
  <si>
    <t>Carrying out of alterations to the working circuits and fixing of relays and relay groups and energization of relays as per approved circuit diagrams</t>
  </si>
  <si>
    <t>Per Sheet of Circuit Diagram</t>
  </si>
  <si>
    <t>SOR-2024 Item no.4002</t>
  </si>
  <si>
    <t>Shifting of existing working functions like signals/Shunt/ Calling on/Points/Track circuits etc. from old cable to new laid cables carefully without affecting the traffic under disconnection/blocks,</t>
  </si>
  <si>
    <t>Per Cable</t>
  </si>
  <si>
    <t>SOR-2024 Item no.4003</t>
  </si>
  <si>
    <t>B</t>
  </si>
  <si>
    <t>Labour Portion</t>
  </si>
  <si>
    <t xml:space="preserve">Location survey for cable route and preparation of tentative
cable route plan </t>
  </si>
  <si>
    <t>RKM</t>
  </si>
  <si>
    <t>SOR-2024 Item no. 2501</t>
  </si>
  <si>
    <t>Excavation of trench, including marking of cable alignment,
clearing of jungle, Depth of 1200mm and width of 300mm</t>
  </si>
  <si>
    <t>SOR-2024 Item no. 2502(a)</t>
  </si>
  <si>
    <t>Cutting of Rock, concreting after cable laying with 1 cement: 2 sand: 4 graded stone aggregate 20mm nominal size</t>
  </si>
  <si>
    <t>RMT</t>
  </si>
  <si>
    <t>SOR-2024 Item no. 2503(b)</t>
  </si>
  <si>
    <t xml:space="preserve">When rock is visible for more than 0.5 Meter and up to 0.8 Meter from ground level, excavating the trench laying cable and concreting
200mmx200mm over the rocky surface after levelling with
soil! sand. </t>
  </si>
  <si>
    <t>SOR-2024 Item no. 2504</t>
  </si>
  <si>
    <t xml:space="preserve">Track crossing, Road Crossing by Horizontal Boring method at culverts/track/pucca road </t>
  </si>
  <si>
    <t>SOR-2024 Item no. 2506</t>
  </si>
  <si>
    <t xml:space="preserve">Trenching under Rails for crossing the track (Track Crossing) and refilling of trenches </t>
  </si>
  <si>
    <t xml:space="preserve">Laying different type cables in the trench. Termination covered elsewhere. </t>
  </si>
  <si>
    <t>SOR-2024 Item no. 2509(a)</t>
  </si>
  <si>
    <t xml:space="preserve">Excavation of coil pit up to a depth of 1 meter and dia of 1.5 meter for providing coil at location box, point, signals etc.,
</t>
  </si>
  <si>
    <t>SOR-2024 Item no. 2513</t>
  </si>
  <si>
    <t xml:space="preserve">Supply &amp; Laying of G.I Pipes with medium and threaded collar &amp; coupler,  G.I Pipes of 100mm diameter</t>
  </si>
  <si>
    <t>SOR-2024 Item no. 2519(b)</t>
  </si>
  <si>
    <t xml:space="preserve">Supply, transporting and installation of Concrete (RCC)
Route Indicators at intervals of 50 meters </t>
  </si>
  <si>
    <t>No</t>
  </si>
  <si>
    <t>SOR-2024 Item no. 2521</t>
  </si>
  <si>
    <t xml:space="preserve">Providing and laying in position cement concrete of specified
grade including the cost of centring and shuttering </t>
  </si>
  <si>
    <t>Cu.Mtr</t>
  </si>
  <si>
    <t>SOR-2024 Item no. 2523(a)</t>
  </si>
  <si>
    <t>Excavation of pit, casting concrete foundation and erection of apparatus case Full size</t>
  </si>
  <si>
    <t>SOR-2024 Item no. 2601(a)</t>
  </si>
  <si>
    <t xml:space="preserve">Excavation of pit, casting concrete foundation and erection of apparatus case half size </t>
  </si>
  <si>
    <t>SOR-2024 Item no. 2601(b)</t>
  </si>
  <si>
    <t>Test lamp arrangement in LBs/RE cuttings.(Auto mobile handle type)</t>
  </si>
  <si>
    <t>Per location</t>
  </si>
  <si>
    <t>SOR-2024 Item no. 2603</t>
  </si>
  <si>
    <t>Supply and fixing of teak wood reapers suitable for Full
location Box with approx 50 mm width x 20mm thick and
length of 940mm after applying two coats of wood primer</t>
  </si>
  <si>
    <t>Per
Reaper</t>
  </si>
  <si>
    <t>SOR-2024 Item no. 2604</t>
  </si>
  <si>
    <t>Teak Wood Reapers suitable for Full Box: 75mm width x
20mm thick and length of 940mm.</t>
  </si>
  <si>
    <r>
      <rPr>
        <rFont val="Calibri"/>
      </rPr>
      <t>Per Reaper</t>
    </r>
  </si>
  <si>
    <t>SOR-2024 Item no. 2605 (a)</t>
  </si>
  <si>
    <t>Teak Wood Reapers suitable for Full Box: 50mm width x 50mm thick and length of 940mm and clamping the cable</t>
  </si>
  <si>
    <t>SOR-2024 Item no. 2605 (b)</t>
  </si>
  <si>
    <t>Teak Wood Reapers suitable for Half Box 75mm width x 20mm thick and length of 470mm.</t>
  </si>
  <si>
    <t>SOR-2024 Item no. 2605 (c)</t>
  </si>
  <si>
    <t>Teak Wood Reapers suitable for Half Box: 50mm width x 20mm thick and length of 470mm.</t>
  </si>
  <si>
    <t>SOR-2024 Item no. 2605 (d)</t>
  </si>
  <si>
    <t>Teak Reapers suitable for Half Box: 50mm width x 50mm thick and length of 470mm and clamping the cable.</t>
  </si>
  <si>
    <t>SOR-2024 Item no. 2605 (e)</t>
  </si>
  <si>
    <t>Hard wood Planks for Keeping Equipment in the Full Box: 940mm x 20mm x 300mm</t>
  </si>
  <si>
    <t>Per Plank</t>
  </si>
  <si>
    <t>SOR-2024 Item no. 2605(f)</t>
  </si>
  <si>
    <t xml:space="preserve">Hard wood planks suitable for Half Box 40mm thick x 450mm x 470mm </t>
  </si>
  <si>
    <t>SOR-2024 Item no. 2605(g)</t>
  </si>
  <si>
    <t>Cable termination including fixing terminals, fuses, LDs Meggering of cables and recording the readings</t>
  </si>
  <si>
    <t>per cond</t>
  </si>
  <si>
    <t>SOR-2024 Item no. 2606</t>
  </si>
  <si>
    <t>Fixing relay bases, wiring in location boxes, bunching, fixing of relays as per circuit diagram</t>
  </si>
  <si>
    <t>Per relay</t>
  </si>
  <si>
    <t>SOR-2024 Item no. 2607</t>
  </si>
  <si>
    <t xml:space="preserve">Fabrication, supply and erection of conventional Earth to Siqnallinq/Telecom equipments </t>
  </si>
  <si>
    <t>SOR-2024 Item no. 2701</t>
  </si>
  <si>
    <t>Earthing and soldering of cable armour.</t>
  </si>
  <si>
    <t>Per cable</t>
  </si>
  <si>
    <t>SOR-2024 Item no. 2710</t>
  </si>
  <si>
    <t xml:space="preserve">Provision MS flat connection from Earth pit to LBs/Signals
including supply and laying of MS Flat of size 40X6mm </t>
  </si>
  <si>
    <t>SOR-2024 Item no. 2713</t>
  </si>
  <si>
    <t>Welding for jointing MS flat 6mm thick X 40mm width of different lengths strips connecting from Earth to location boxes/Signal post/Signal Unit</t>
  </si>
  <si>
    <t>Each Weld</t>
  </si>
  <si>
    <t>SOR-2024 Item no. 2714</t>
  </si>
  <si>
    <t xml:space="preserve">Foundation and erection of Colour light signal </t>
  </si>
  <si>
    <t>SOR-2024 Item no. 2801</t>
  </si>
  <si>
    <t xml:space="preserve">Foundation &amp; erection of ground type Shunt signal </t>
  </si>
  <si>
    <t>SOR-2024 Item no. 2802</t>
  </si>
  <si>
    <t xml:space="preserve">Supply and fixing of cross bar on signal (signal not in use)
</t>
  </si>
  <si>
    <t>SOR-2024 Item no. 2812</t>
  </si>
  <si>
    <t xml:space="preserve">Fixing of universal point machines and wiring on PSC/ Wooden sleepers as per standard drawing. </t>
  </si>
  <si>
    <t>SOR-2024 Item no. 2901</t>
  </si>
  <si>
    <t xml:space="preserve">Wiring of Track circuits feed end, relay end complete </t>
  </si>
  <si>
    <t>SOR-2024 Item no. 3002</t>
  </si>
  <si>
    <t xml:space="preserve">Drilling of four no's of 7.2mm holes, per rail joint on web of
the rail , providing bond wires with wire rope. </t>
  </si>
  <si>
    <t>Per Rail Joint</t>
  </si>
  <si>
    <t>SOR-2024 Item no. 3006</t>
  </si>
  <si>
    <t xml:space="preserve"> Fixing of approximately 200 nos of 6 way/ 1 way terminal block.</t>
  </si>
  <si>
    <t>SOR-2024 Item no. 3212</t>
  </si>
  <si>
    <t>Cutting and fixing of Hylam sheet of 6 mm/3mm thickness to suit to 1 way relay rack and fixing</t>
  </si>
  <si>
    <t>LS</t>
  </si>
  <si>
    <t xml:space="preserve">Fixing of non-deteriorating fuse holders with LED indications </t>
  </si>
  <si>
    <t>Initial Charging of Secondary Cells with uninterrupted Power
Supply: - 2 volts 80 AH</t>
  </si>
  <si>
    <t>SOR-2024 Item no. 3402(a)</t>
  </si>
  <si>
    <t xml:space="preserve">Straight through / derivation with/without transformer joints:
</t>
  </si>
  <si>
    <t>Joint</t>
  </si>
  <si>
    <t>SOR-2024 Item no. 4602</t>
  </si>
  <si>
    <t>Fabrication, fixing of required configuration of key in point machine for grouping of crank handle of point machines.</t>
  </si>
  <si>
    <t>Nos</t>
  </si>
  <si>
    <t>SOR-2024 Item no. 3221(a)</t>
  </si>
  <si>
    <t xml:space="preserve">Excavation of trench,  in all type of Soil including soft rocky area Depth of 600mm and width of 600mm</t>
  </si>
  <si>
    <t>SOR-2024 Item no. 2502(d)</t>
  </si>
  <si>
    <t>Supply, placing and covering of RCC duct from Home to
Home</t>
  </si>
  <si>
    <t>SOR-2024 Item no. 2529</t>
  </si>
  <si>
    <t xml:space="preserve">Provision MS flat connection from Earth pit to LBs/Signals
including supply and laying of MS Flat of size 40X6mm at site, </t>
  </si>
  <si>
    <t xml:space="preserve">Carrying out of alterations to the working circuits and fixing of relays and relay groups and energization of relays </t>
  </si>
  <si>
    <t>Per Sheet
of Circuit
Diagram</t>
  </si>
  <si>
    <t>SOR-2024 Item no. 4002</t>
  </si>
  <si>
    <t>Shifting of existing working functions like signals/Shunt/
Calling on/ Points/ Track circuits etc. from old cable to new
laid cables carefully without affecting the traffic under
disconnection/ blocks</t>
  </si>
  <si>
    <t>SOR-2024 Item no. 4003</t>
  </si>
  <si>
    <t>Fixing of Track lead junction box on angles 
drilling 4 holes of 7.2 mm dia. on Rail, connecting double
track leads with bond pins, running track lead wire, termination of track lead wire on ARA terminals</t>
  </si>
  <si>
    <t>SOR-2024 Item no. 3001</t>
  </si>
  <si>
    <t>Supply, painting and fixing of gland plate for Location box
as per site requirement Full Location Box</t>
  </si>
  <si>
    <t>SOR-2024 Item no. 2608</t>
  </si>
  <si>
    <t>Dismantling and releasing of existing Colour light Signals
complete (up to 4 aspects)</t>
  </si>
  <si>
    <t>SOR-2024 Item no. 4501(k)</t>
  </si>
  <si>
    <t>Releasing of existing ground type shunt signals along with
surface base, signal post etc</t>
  </si>
  <si>
    <t>SOR-2024 Item no. 4501(m)</t>
  </si>
  <si>
    <t xml:space="preserve">Dismantling and releasing of existing Point machines (all
types) including ground connections and other accessories
</t>
  </si>
  <si>
    <t>SOR-2024 Item no. 4501(n)</t>
  </si>
  <si>
    <t xml:space="preserve">Supply and Installation of OFC joint enclosure and splicing of Optic fibre cable (24 fibres) </t>
  </si>
  <si>
    <t>SOR-2024 Item no. 4618</t>
  </si>
  <si>
    <t>Laying of HDPE duct 40/33 mm dia in the trenches and in
protective works already provided.</t>
  </si>
  <si>
    <t>SOR-2024 Item no. 4614</t>
  </si>
  <si>
    <t xml:space="preserve">Blowing of armoured optic fibre cable (OFC Cable supplied
by Railways) into the duct supplied </t>
  </si>
  <si>
    <t>km</t>
  </si>
  <si>
    <t>SOR-2024 Item no. 4615</t>
  </si>
  <si>
    <t xml:space="preserve">Excavation of jointing pit and provision of RCC/FRP joint / Loop chambers of 90 Cms. Inner dia 60 Cms depth </t>
  </si>
  <si>
    <t>SOR-2024 Item no. 4617</t>
  </si>
  <si>
    <t xml:space="preserve">TOTAL  (B ) : </t>
  </si>
  <si>
    <t>C</t>
  </si>
  <si>
    <t>Alterations in STCAS at TMD and UPW</t>
  </si>
  <si>
    <t>Quotation from medha Dt. 08-02-2024</t>
  </si>
  <si>
    <t xml:space="preserve">Modification to the existing RFID Tag Layout, TOC, Tag Data, NMS at Block section including FAT. </t>
  </si>
  <si>
    <t>Stn</t>
  </si>
  <si>
    <t>.--Do-- Item No.1</t>
  </si>
  <si>
    <t>Updation of modified TCAS bits in EI application logic at Block section</t>
  </si>
  <si>
    <t>.--Do-- Item No.2</t>
  </si>
  <si>
    <t>SAT as per the modified application logic modified portion only.</t>
  </si>
  <si>
    <t>.--Do-- Item No.3</t>
  </si>
  <si>
    <t>Modification to the NMS at Block section and interfacing to the existing NMS network.</t>
  </si>
  <si>
    <t>.--Do-- Item No.4</t>
  </si>
  <si>
    <t xml:space="preserve">Shifting and re-programming of existing RFID Tags in  TMD Block Section </t>
  </si>
  <si>
    <t>.--Do-- Item No.5</t>
  </si>
  <si>
    <t xml:space="preserve">Commissioning of TCAS as per modified application logic </t>
  </si>
  <si>
    <t>.--Do-- Item No.6</t>
  </si>
  <si>
    <t xml:space="preserve">TOTAL  (C ) :</t>
  </si>
  <si>
    <t>I</t>
  </si>
  <si>
    <t xml:space="preserve"> TOTAL (A+B+C) :</t>
  </si>
  <si>
    <t>II</t>
  </si>
  <si>
    <t>Contengencies @ 1%</t>
  </si>
  <si>
    <t>III</t>
  </si>
  <si>
    <t xml:space="preserve">Total (I+II) : </t>
  </si>
  <si>
    <t>Sports development @ 0.1%</t>
  </si>
  <si>
    <t>D</t>
  </si>
  <si>
    <t>Departmental Charges @ 10.05%</t>
  </si>
  <si>
    <t>IV</t>
  </si>
  <si>
    <t>Provision to RCIL for divertion the cables</t>
  </si>
  <si>
    <t xml:space="preserve">Grand Total (III+IV)  : </t>
  </si>
</sst>
</file>

<file path=xl/styles.xml><?xml version="1.0" encoding="utf-8"?>
<styleSheet xmlns="http://schemas.openxmlformats.org/spreadsheetml/2006/main">
  <numFmts count="1">
    <numFmt numFmtId="164" formatCode="0.0"/>
  </numFmts>
  <fonts count="10">
    <font>
      <sz val="11"/>
      <color theme="1"/>
      <name val="Calibri"/>
      <family val="2"/>
      <scheme val="minor"/>
    </font>
    <font>
      <b/>
      <sz val="9"/>
      <name val="Arial"/>
    </font>
    <font>
      <sz val="9"/>
      <name val="Arial"/>
    </font>
    <font>
      <sz val="9"/>
      <color rgb="FFFF0000"/>
      <name val="Calibri"/>
      <scheme val="minor"/>
    </font>
    <font>
      <sz val="9"/>
      <name val="Calibri"/>
      <scheme val="minor"/>
    </font>
    <font>
      <sz val="11"/>
      <name val="Calibri"/>
      <scheme val="minor"/>
    </font>
    <font>
      <sz val="10"/>
      <name val="Arial"/>
    </font>
    <font>
      <sz val="9"/>
      <color rgb="FFFF0000"/>
      <name val="Arial"/>
    </font>
    <font>
      <sz val="11.5"/>
      <name val="Arial"/>
    </font>
    <font>
      <sz val="9"/>
      <name val="Mangal"/>
      <family val="1"/>
    </font>
  </fonts>
  <fills count="3">
    <fill>
      <patternFill patternType="none"/>
    </fill>
    <fill>
      <patternFill patternType="gray125"/>
    </fill>
    <fill>
      <patternFill patternType="solid">
        <fgColor rgb="FFFFFF00"/>
        <bgColor indexed="64"/>
      </patternFill>
    </fill>
  </fills>
  <borders count="5">
    <border/>
    <border>
      <right style="thin">
        <color rgb="FF000000"/>
      </right>
    </border>
    <border>
      <top style="thin">
        <color auto="1"/>
      </top>
      <bottom style="thin">
        <color auto="1"/>
      </bottom>
    </border>
    <border>
      <top style="thin">
        <color auto="1"/>
      </top>
    </border>
    <border>
      <left style="hair">
        <color rgb="FF000000"/>
      </left>
      <right style="hair">
        <color rgb="FF000000"/>
      </right>
      <top style="hair">
        <color rgb="FF000000"/>
      </top>
      <bottom style="hair">
        <color rgb="FF000000"/>
      </bottom>
    </border>
  </borders>
  <cellStyleXfs count="19">
    <xf numFmtId="0" fontId="0" fillId="0" borderId="0"/>
    <xf numFmtId="0" fontId="0" fillId="0" borderId="0"/>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0"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43">
    <xf numFmtId="0" fontId="0" fillId="0" borderId="0" xfId="0"/>
    <xf numFmtId="0" fontId="1" fillId="0" borderId="0" xfId="0" applyFont="1" applyAlignment="1">
      <alignment vertical="top" wrapText="1"/>
    </xf>
    <xf numFmtId="0" fontId="2" fillId="0" borderId="0" xfId="0" applyFont="1" applyAlignment="1">
      <alignment wrapText="1"/>
    </xf>
    <xf numFmtId="0" fontId="2" fillId="0" borderId="0" xfId="0" applyFont="1" applyAlignment="1">
      <alignment vertical="top" wrapText="1"/>
    </xf>
    <xf numFmtId="0" fontId="1" fillId="0" borderId="0" xfId="0" applyFont="1" applyAlignment="1">
      <alignment horizontal="center" vertical="center" wrapText="1"/>
    </xf>
    <xf numFmtId="0" fontId="2" fillId="0" borderId="0" xfId="0" applyFont="1"/>
    <xf numFmtId="0" fontId="3" fillId="0" borderId="0" xfId="0" applyFont="1"/>
    <xf numFmtId="0" fontId="2" fillId="0" borderId="0" xfId="1" applyFont="1" applyAlignment="1">
      <alignment horizontal="left" vertical="top"/>
    </xf>
    <xf numFmtId="0" fontId="4" fillId="0" borderId="0" xfId="0" applyFont="1" applyAlignment="1">
      <alignment horizontal="left" vertical="top"/>
    </xf>
    <xf numFmtId="0" fontId="5" fillId="0" borderId="0" xfId="0" applyFont="1" applyAlignment="1">
      <alignment horizontal="left" vertical="top"/>
    </xf>
    <xf numFmtId="0" fontId="4" fillId="0" borderId="0" xfId="2" applyFont="1"/>
    <xf numFmtId="0" fontId="6" fillId="0" borderId="0" xfId="0" applyFont="1"/>
    <xf numFmtId="0" fontId="2" fillId="0" borderId="0" xfId="0" applyFont="1" applyAlignment="1">
      <alignment vertical="center"/>
    </xf>
    <xf numFmtId="0" fontId="2" fillId="0" borderId="0" xfId="0" applyFont="1" applyAlignment="1">
      <alignment horizontal="left" vertical="top"/>
    </xf>
    <xf numFmtId="0" fontId="4" fillId="0" borderId="0" xfId="0" applyFont="1"/>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horizontal="center" vertical="top"/>
    </xf>
    <xf numFmtId="0" fontId="4" fillId="2" borderId="0" xfId="0" applyFont="1" applyFill="1" applyAlignment="1">
      <alignment vertical="top"/>
    </xf>
    <xf numFmtId="0" fontId="1" fillId="0" borderId="0" xfId="0" applyFont="1" applyAlignment="1">
      <alignment horizontal="center" vertical="top" wrapText="1"/>
    </xf>
    <xf numFmtId="0" fontId="1" fillId="0" borderId="0" xfId="0" applyFont="1" applyAlignment="1">
      <alignment horizontal="right" vertical="top"/>
    </xf>
    <xf numFmtId="0" fontId="1" fillId="2" borderId="0" xfId="0" applyFont="1" applyFill="1" applyAlignment="1">
      <alignment vertical="top" wrapText="1"/>
    </xf>
    <xf numFmtId="0" fontId="1" fillId="0" borderId="0" xfId="0" applyFont="1" applyAlignment="1">
      <alignment horizontal="left" vertical="top"/>
    </xf>
    <xf numFmtId="0" fontId="1" fillId="0" borderId="0" xfId="0" applyFont="1" applyAlignment="1">
      <alignment horizontal="right" vertical="top" wrapText="1"/>
    </xf>
    <xf numFmtId="0" fontId="1" fillId="2" borderId="0" xfId="0" applyFont="1" applyFill="1" applyAlignment="1">
      <alignment horizontal="center" vertical="top" wrapText="1"/>
    </xf>
    <xf numFmtId="0" fontId="1" fillId="0" borderId="0" xfId="0" applyFont="1" applyAlignment="1">
      <alignment horizontal="center" wrapText="1"/>
    </xf>
    <xf numFmtId="0" fontId="2" fillId="2" borderId="0" xfId="0" applyFont="1" applyFill="1" applyAlignment="1">
      <alignment wrapText="1"/>
    </xf>
    <xf numFmtId="0" fontId="2" fillId="0" borderId="0" xfId="0" applyFont="1" applyAlignment="1">
      <alignment horizontal="center" vertical="top" wrapText="1"/>
    </xf>
    <xf numFmtId="0" fontId="2" fillId="2" borderId="0" xfId="0" applyFont="1" applyFill="1" applyAlignment="1">
      <alignment vertical="top" wrapText="1"/>
    </xf>
    <xf numFmtId="0" fontId="2" fillId="0" borderId="0" xfId="3" applyFont="1" applyAlignment="1">
      <alignment horizontal="center" vertical="top" wrapText="1"/>
    </xf>
    <xf numFmtId="0" fontId="7" fillId="0" borderId="0" xfId="3" applyFont="1" applyAlignment="1">
      <alignment vertical="top" wrapText="1"/>
    </xf>
    <xf numFmtId="0" fontId="7" fillId="0" borderId="0" xfId="3" applyFont="1" applyAlignment="1">
      <alignment horizontal="center" vertical="top" wrapText="1"/>
    </xf>
    <xf numFmtId="164" fontId="7" fillId="0" borderId="0" xfId="0" applyNumberFormat="1" applyFont="1" applyAlignment="1">
      <alignment vertical="top"/>
    </xf>
    <xf numFmtId="1" fontId="7" fillId="0" borderId="0" xfId="3" applyNumberFormat="1" applyFont="1" applyAlignment="1">
      <alignment horizontal="center" vertical="top"/>
    </xf>
    <xf numFmtId="1" fontId="7" fillId="0" borderId="0" xfId="3" applyNumberFormat="1" applyFont="1" applyAlignment="1">
      <alignment horizontal="center" vertical="top" wrapText="1"/>
    </xf>
    <xf numFmtId="0" fontId="2" fillId="2" borderId="0" xfId="3" applyFont="1" applyFill="1" applyAlignment="1">
      <alignment horizontal="center" vertical="top" wrapText="1"/>
    </xf>
    <xf numFmtId="0" fontId="7" fillId="0" borderId="0" xfId="3" applyFont="1" applyAlignment="1">
      <alignment horizontal="left" vertical="top" wrapText="1"/>
    </xf>
    <xf numFmtId="164" fontId="7" fillId="0" borderId="0" xfId="3" applyNumberFormat="1" applyFont="1" applyAlignment="1">
      <alignment horizontal="center" vertical="top" wrapText="1"/>
    </xf>
    <xf numFmtId="0" fontId="2" fillId="0" borderId="0" xfId="3" applyFont="1" applyAlignment="1">
      <alignment vertical="top" wrapText="1"/>
    </xf>
    <xf numFmtId="164" fontId="7" fillId="0" borderId="0" xfId="3" applyNumberFormat="1" applyFont="1" applyAlignment="1">
      <alignment horizontal="center" vertical="top"/>
    </xf>
    <xf numFmtId="0" fontId="2" fillId="0" borderId="0" xfId="3" applyFont="1" applyAlignment="1">
      <alignment horizontal="left" vertical="top" wrapText="1"/>
    </xf>
    <xf numFmtId="1" fontId="2" fillId="0" borderId="0" xfId="3" applyNumberFormat="1" applyFont="1" applyAlignment="1">
      <alignment horizontal="center" vertical="top" wrapText="1"/>
    </xf>
    <xf numFmtId="0" fontId="7" fillId="2" borderId="0" xfId="3" applyFont="1" applyFill="1" applyAlignment="1">
      <alignment horizontal="center" vertical="top" wrapText="1"/>
    </xf>
    <xf numFmtId="0" fontId="2" fillId="0" borderId="0" xfId="4" applyFont="1" applyAlignment="1">
      <alignment horizontal="left" vertical="top" wrapText="1"/>
    </xf>
    <xf numFmtId="0" fontId="2" fillId="0" borderId="0" xfId="4" applyFont="1" applyAlignment="1">
      <alignment horizontal="center" vertical="top" wrapText="1"/>
    </xf>
    <xf numFmtId="0" fontId="2" fillId="0" borderId="0" xfId="0" applyFont="1" applyAlignment="1">
      <alignment horizontal="center" vertical="top"/>
    </xf>
    <xf numFmtId="0" fontId="2" fillId="0" borderId="0" xfId="5" applyFont="1" applyAlignment="1">
      <alignment horizontal="left" vertical="top" wrapText="1"/>
    </xf>
    <xf numFmtId="0" fontId="2" fillId="0" borderId="0" xfId="5" applyFont="1" applyAlignment="1">
      <alignment horizontal="center" vertical="top" wrapText="1"/>
    </xf>
    <xf numFmtId="0" fontId="2" fillId="0" borderId="0" xfId="6" applyFont="1" applyAlignment="1">
      <alignment horizontal="left" vertical="top" wrapText="1"/>
    </xf>
    <xf numFmtId="0" fontId="2" fillId="0" borderId="0" xfId="6" applyFont="1" applyAlignment="1">
      <alignment horizontal="center" vertical="top" wrapText="1"/>
    </xf>
    <xf numFmtId="0" fontId="2" fillId="2" borderId="0" xfId="0" applyFont="1" applyFill="1" applyAlignment="1">
      <alignment horizontal="center" vertical="top"/>
    </xf>
    <xf numFmtId="0" fontId="2" fillId="0" borderId="0" xfId="1" applyFont="1" applyAlignment="1">
      <alignment horizontal="left" vertical="top" wrapText="1"/>
    </xf>
    <xf numFmtId="0" fontId="2" fillId="0" borderId="0" xfId="1" applyFont="1" applyAlignment="1">
      <alignment horizontal="center" vertical="top" wrapText="1"/>
    </xf>
    <xf numFmtId="2" fontId="2" fillId="0" borderId="0" xfId="1" applyNumberFormat="1" applyFont="1" applyAlignment="1">
      <alignment horizontal="right" vertical="top" shrinkToFit="1"/>
    </xf>
    <xf numFmtId="0" fontId="2" fillId="2" borderId="0" xfId="1" applyFont="1" applyFill="1" applyAlignment="1">
      <alignment horizontal="center" vertical="top" wrapText="1"/>
    </xf>
    <xf numFmtId="0" fontId="7" fillId="0" borderId="0" xfId="7" applyFont="1" applyAlignment="1">
      <alignment horizontal="left" vertical="top" wrapText="1"/>
    </xf>
    <xf numFmtId="0" fontId="7" fillId="0" borderId="0" xfId="7" applyFont="1" applyAlignment="1">
      <alignment horizontal="center" vertical="top" wrapText="1"/>
    </xf>
    <xf numFmtId="0" fontId="3" fillId="0" borderId="0" xfId="0" applyFont="1" applyAlignment="1">
      <alignment horizontal="center" vertical="top"/>
    </xf>
    <xf numFmtId="0" fontId="2" fillId="0" borderId="0" xfId="7" applyFont="1" applyAlignment="1">
      <alignment horizontal="center" vertical="top" wrapText="1"/>
    </xf>
    <xf numFmtId="0" fontId="1" fillId="0" borderId="0" xfId="3" applyFont="1" applyAlignment="1">
      <alignment horizontal="right" vertical="top" wrapText="1"/>
    </xf>
    <xf numFmtId="0" fontId="1" fillId="0" borderId="0" xfId="3" applyFont="1" applyAlignment="1">
      <alignment horizontal="center" vertical="top" wrapText="1"/>
    </xf>
    <xf numFmtId="0" fontId="1" fillId="0" borderId="0" xfId="3" applyFont="1" applyAlignment="1">
      <alignment horizontal="left" vertical="top"/>
    </xf>
    <xf numFmtId="1" fontId="1" fillId="0" borderId="0" xfId="3" applyNumberFormat="1" applyFont="1" applyAlignment="1">
      <alignment horizontal="center" vertical="top" wrapText="1"/>
    </xf>
    <xf numFmtId="0" fontId="2" fillId="0" borderId="0" xfId="0" applyFont="1" applyAlignment="1">
      <alignment horizontal="left" vertical="top" wrapText="1"/>
    </xf>
    <xf numFmtId="0" fontId="2" fillId="2" borderId="0" xfId="0" applyFont="1" applyFill="1" applyAlignment="1">
      <alignment horizontal="center" vertical="top" wrapText="1"/>
    </xf>
    <xf numFmtId="0" fontId="4" fillId="0" borderId="0" xfId="0" applyFont="1" applyAlignment="1">
      <alignment horizontal="center" vertical="top" wrapText="1"/>
    </xf>
    <xf numFmtId="0" fontId="2" fillId="0" borderId="0" xfId="8" applyFont="1" applyAlignment="1">
      <alignment horizontal="center" vertical="top" wrapText="1"/>
    </xf>
    <xf numFmtId="0" fontId="4" fillId="0" borderId="0" xfId="0" applyFont="1" applyAlignment="1">
      <alignment vertical="center" wrapText="1"/>
    </xf>
    <xf numFmtId="1" fontId="2" fillId="0" borderId="0" xfId="0" applyNumberFormat="1" applyFont="1" applyAlignment="1">
      <alignment horizontal="center" vertical="top" shrinkToFit="1"/>
    </xf>
    <xf numFmtId="0" fontId="8" fillId="0" borderId="0" xfId="0" applyFont="1" applyAlignment="1">
      <alignment vertical="top" wrapText="1"/>
    </xf>
    <xf numFmtId="1" fontId="8" fillId="0" borderId="0" xfId="0" applyNumberFormat="1" applyFont="1" applyAlignment="1">
      <alignment vertical="top" shrinkToFit="1"/>
    </xf>
    <xf numFmtId="0" fontId="5" fillId="0" borderId="0" xfId="0" applyFont="1" applyAlignment="1">
      <alignment vertical="center" wrapText="1"/>
    </xf>
    <xf numFmtId="0" fontId="2" fillId="2" borderId="0" xfId="8" applyFont="1" applyFill="1" applyAlignment="1">
      <alignment horizontal="center" vertical="top" wrapText="1"/>
    </xf>
    <xf numFmtId="0" fontId="2" fillId="0" borderId="0" xfId="9" applyFont="1" applyAlignment="1">
      <alignment horizontal="left" vertical="top" wrapText="1"/>
    </xf>
    <xf numFmtId="0" fontId="2" fillId="0" borderId="0" xfId="9" applyFont="1" applyAlignment="1">
      <alignment horizontal="center" vertical="top" wrapText="1"/>
    </xf>
    <xf numFmtId="0" fontId="2" fillId="0" borderId="0" xfId="10" applyFont="1" applyAlignment="1">
      <alignment horizontal="left" vertical="top" wrapText="1"/>
    </xf>
    <xf numFmtId="0" fontId="2" fillId="0" borderId="0" xfId="10" applyFont="1" applyAlignment="1">
      <alignment horizontal="center" vertical="top" wrapText="1"/>
    </xf>
    <xf numFmtId="0" fontId="2" fillId="0" borderId="1" xfId="3" applyFont="1" applyBorder="1" applyAlignment="1">
      <alignment horizontal="center" vertical="top" wrapText="1"/>
    </xf>
    <xf numFmtId="2" fontId="2" fillId="0" borderId="0" xfId="7" applyNumberFormat="1" applyFont="1" applyAlignment="1">
      <alignment horizontal="left" vertical="top" wrapText="1"/>
    </xf>
    <xf numFmtId="2" fontId="2" fillId="0" borderId="0" xfId="7" applyNumberFormat="1" applyFont="1" applyAlignment="1">
      <alignment horizontal="center" vertical="top" wrapText="1"/>
    </xf>
    <xf numFmtId="2" fontId="2" fillId="0" borderId="0" xfId="7" applyNumberFormat="1" applyFont="1" applyAlignment="1">
      <alignment horizontal="center" vertical="top"/>
    </xf>
    <xf numFmtId="1" fontId="2" fillId="0" borderId="0" xfId="3" applyNumberFormat="1" applyFont="1" applyAlignment="1">
      <alignment horizontal="left" vertical="top" wrapText="1"/>
    </xf>
    <xf numFmtId="0" fontId="2" fillId="0" borderId="0" xfId="3" applyFont="1" applyAlignment="1">
      <alignment horizontal="center" vertical="top"/>
    </xf>
    <xf numFmtId="0" fontId="2" fillId="0" borderId="0" xfId="3" applyFont="1" applyAlignment="1">
      <alignment vertical="center"/>
    </xf>
    <xf numFmtId="1" fontId="2" fillId="0" borderId="0" xfId="0" applyNumberFormat="1" applyFont="1" applyAlignment="1">
      <alignment horizontal="center" vertical="top" wrapText="1"/>
    </xf>
    <xf numFmtId="1" fontId="1" fillId="0" borderId="2" xfId="0" applyNumberFormat="1" applyFont="1" applyBorder="1" applyAlignment="1">
      <alignment horizontal="center" vertical="top" wrapText="1"/>
    </xf>
    <xf numFmtId="0" fontId="2" fillId="0" borderId="0" xfId="0" applyFont="1" applyAlignment="1">
      <alignment horizontal="justify" vertical="center" wrapText="1"/>
    </xf>
    <xf numFmtId="0" fontId="2" fillId="2" borderId="0" xfId="7" applyFont="1" applyFill="1" applyAlignment="1">
      <alignment horizontal="center" vertical="top" wrapText="1"/>
    </xf>
    <xf numFmtId="0" fontId="2" fillId="0" borderId="0" xfId="0" applyFont="1" applyAlignment="1">
      <alignment horizontal="right" vertical="top" wrapText="1"/>
    </xf>
    <xf numFmtId="0" fontId="2" fillId="0" borderId="3" xfId="0" applyFont="1" applyBorder="1" applyAlignment="1">
      <alignment horizontal="center" vertical="top" wrapText="1"/>
    </xf>
    <xf numFmtId="1" fontId="1" fillId="0" borderId="3" xfId="0" applyNumberFormat="1" applyFont="1" applyBorder="1" applyAlignment="1">
      <alignment horizontal="center" vertical="top" wrapText="1"/>
    </xf>
    <xf numFmtId="1" fontId="1" fillId="0" borderId="0" xfId="0" applyNumberFormat="1" applyFont="1" applyAlignment="1">
      <alignment horizontal="center" vertical="top" wrapText="1"/>
    </xf>
    <xf numFmtId="1" fontId="2" fillId="0" borderId="0" xfId="0" applyNumberFormat="1" applyFont="1" applyAlignment="1">
      <alignment horizontal="center" vertical="top"/>
    </xf>
    <xf numFmtId="1" fontId="2" fillId="2" borderId="0" xfId="0" applyNumberFormat="1" applyFont="1" applyFill="1" applyAlignment="1">
      <alignment horizontal="center" vertical="top"/>
    </xf>
    <xf numFmtId="0" fontId="2" fillId="0" borderId="0" xfId="0" applyFont="1" applyAlignment="1">
      <alignment vertical="top"/>
    </xf>
    <xf numFmtId="10" fontId="2" fillId="0" borderId="0" xfId="0" applyNumberFormat="1" applyFont="1" applyAlignment="1">
      <alignment horizontal="center" vertical="top" wrapText="1"/>
    </xf>
    <xf numFmtId="1" fontId="1" fillId="0" borderId="0" xfId="0" applyNumberFormat="1" applyFont="1" applyAlignment="1">
      <alignment horizontal="center" vertical="top"/>
    </xf>
    <xf numFmtId="0" fontId="2" fillId="0" borderId="0" xfId="0" applyFont="1" applyAlignment="1">
      <alignment horizontal="justify" vertical="top" wrapText="1"/>
    </xf>
    <xf numFmtId="164" fontId="2" fillId="0" borderId="0" xfId="0" applyNumberFormat="1" applyFont="1" applyAlignment="1">
      <alignment horizontal="center" vertical="top" wrapText="1"/>
    </xf>
    <xf numFmtId="164" fontId="2" fillId="0" borderId="0" xfId="0" applyNumberFormat="1" applyFont="1" applyAlignment="1">
      <alignment horizontal="center" vertical="top"/>
    </xf>
    <xf numFmtId="0" fontId="2" fillId="0" borderId="0" xfId="3" applyFont="1" applyAlignment="1">
      <alignment vertical="top"/>
    </xf>
    <xf numFmtId="0" fontId="2" fillId="0" borderId="0" xfId="3" applyFont="1" applyAlignment="1">
      <alignment horizontal="left" vertical="top"/>
    </xf>
    <xf numFmtId="1" fontId="2" fillId="0" borderId="0" xfId="3" applyNumberFormat="1" applyFont="1" applyAlignment="1">
      <alignment vertical="top"/>
    </xf>
    <xf numFmtId="164" fontId="2" fillId="0" borderId="0" xfId="3" applyNumberFormat="1" applyFont="1" applyAlignment="1">
      <alignment vertical="top"/>
    </xf>
    <xf numFmtId="0" fontId="6" fillId="0" borderId="0" xfId="0" applyFont="1" applyAlignment="1">
      <alignment horizontal="center" vertical="top" wrapText="1"/>
    </xf>
    <xf numFmtId="0" fontId="1" fillId="0" borderId="0" xfId="0" applyFont="1" applyAlignment="1">
      <alignment horizontal="left" vertical="center" wrapText="1"/>
    </xf>
    <xf numFmtId="0" fontId="6" fillId="2" borderId="0" xfId="0" applyFont="1" applyFill="1" applyAlignment="1">
      <alignment horizontal="left" vertical="top"/>
    </xf>
    <xf numFmtId="0" fontId="6" fillId="0" borderId="0" xfId="0" applyFont="1" applyAlignment="1">
      <alignment horizontal="left" vertical="top"/>
    </xf>
    <xf numFmtId="0" fontId="2" fillId="0" borderId="0" xfId="0" applyFont="1" applyAlignment="1">
      <alignment horizontal="left" vertical="center" wrapText="1"/>
    </xf>
    <xf numFmtId="1" fontId="2" fillId="0" borderId="0" xfId="1" applyNumberFormat="1" applyFont="1" applyAlignment="1">
      <alignment horizontal="center" vertical="top" shrinkToFit="1"/>
    </xf>
    <xf numFmtId="0" fontId="2" fillId="0" borderId="4" xfId="0" applyFont="1" applyBorder="1" applyAlignment="1">
      <alignment horizontal="center" vertical="top" wrapText="1"/>
    </xf>
    <xf numFmtId="0" fontId="2" fillId="2" borderId="4" xfId="0" applyFont="1" applyFill="1" applyBorder="1" applyAlignment="1">
      <alignment horizontal="center" vertical="top" wrapText="1"/>
    </xf>
    <xf numFmtId="0" fontId="2" fillId="0" borderId="0" xfId="11" applyFont="1" applyAlignment="1">
      <alignment horizontal="left" vertical="top" wrapText="1"/>
    </xf>
    <xf numFmtId="0" fontId="2" fillId="0" borderId="0" xfId="11" applyFont="1" applyAlignment="1">
      <alignment horizontal="center" vertical="top" wrapText="1"/>
    </xf>
    <xf numFmtId="1" fontId="2" fillId="0" borderId="0" xfId="3" applyNumberFormat="1" applyFont="1" applyAlignment="1">
      <alignment horizontal="center" vertical="top"/>
    </xf>
    <xf numFmtId="0" fontId="2" fillId="0" borderId="0" xfId="12" applyFont="1" applyAlignment="1">
      <alignment vertical="top" wrapText="1"/>
    </xf>
    <xf numFmtId="0" fontId="2" fillId="0" borderId="0" xfId="13" applyFont="1" applyAlignment="1">
      <alignment horizontal="left" vertical="top" wrapText="1"/>
    </xf>
    <xf numFmtId="0" fontId="2" fillId="0" borderId="0" xfId="13" applyFont="1" applyAlignment="1">
      <alignment horizontal="center" vertical="top" wrapText="1"/>
    </xf>
    <xf numFmtId="0" fontId="2" fillId="0" borderId="0" xfId="14" applyFont="1" applyAlignment="1">
      <alignment horizontal="left" vertical="top" wrapText="1"/>
    </xf>
    <xf numFmtId="0" fontId="2" fillId="0" borderId="0" xfId="14" applyFont="1" applyAlignment="1">
      <alignment horizontal="center" vertical="top" wrapText="1"/>
    </xf>
    <xf numFmtId="0" fontId="2" fillId="0" borderId="0" xfId="15" applyFont="1" applyAlignment="1">
      <alignment horizontal="left" vertical="top" wrapText="1"/>
    </xf>
    <xf numFmtId="0" fontId="2" fillId="0" borderId="0" xfId="15" applyFont="1" applyAlignment="1">
      <alignment horizontal="center" vertical="top" wrapText="1"/>
    </xf>
    <xf numFmtId="0" fontId="2" fillId="0" borderId="0" xfId="16" applyFont="1" applyAlignment="1">
      <alignment horizontal="left" vertical="top" wrapText="1"/>
    </xf>
    <xf numFmtId="0" fontId="2" fillId="0" borderId="0" xfId="16" applyFont="1" applyAlignment="1">
      <alignment horizontal="center" vertical="top" wrapText="1"/>
    </xf>
    <xf numFmtId="0" fontId="2" fillId="0" borderId="0" xfId="7" applyFont="1" applyAlignment="1">
      <alignment horizontal="left" vertical="top" wrapText="1"/>
    </xf>
    <xf numFmtId="0" fontId="9" fillId="0" borderId="0" xfId="0" applyFont="1" applyAlignment="1">
      <alignment horizontal="center" vertical="top" wrapText="1"/>
    </xf>
    <xf numFmtId="0" fontId="6" fillId="0" borderId="0" xfId="0" applyFont="1" applyAlignment="1">
      <alignment horizontal="center" vertical="top"/>
    </xf>
    <xf numFmtId="0" fontId="6" fillId="0" borderId="0" xfId="0" applyFont="1" applyAlignment="1">
      <alignment vertical="top" wrapText="1"/>
    </xf>
    <xf numFmtId="0" fontId="2" fillId="2" borderId="0" xfId="0" applyFont="1" applyFill="1"/>
    <xf numFmtId="0" fontId="2" fillId="0" borderId="0" xfId="3" applyFont="1" applyAlignment="1">
      <alignment horizontal="justify" vertical="top" wrapText="1"/>
    </xf>
    <xf numFmtId="0" fontId="4" fillId="2" borderId="0" xfId="0" applyFont="1" applyFill="1" applyAlignment="1">
      <alignment horizontal="center" vertical="top"/>
    </xf>
    <xf numFmtId="0" fontId="2" fillId="0" borderId="0" xfId="17" applyFont="1" applyAlignment="1">
      <alignment horizontal="left" vertical="top" wrapText="1"/>
    </xf>
    <xf numFmtId="0" fontId="2" fillId="0" borderId="0" xfId="17" applyFont="1" applyAlignment="1">
      <alignment horizontal="center" vertical="top" wrapText="1"/>
    </xf>
    <xf numFmtId="0" fontId="1" fillId="0" borderId="0" xfId="3" applyFont="1" applyAlignment="1">
      <alignment vertical="top" wrapText="1"/>
    </xf>
    <xf numFmtId="1" fontId="2" fillId="2" borderId="0" xfId="1" applyNumberFormat="1" applyFont="1" applyFill="1" applyAlignment="1">
      <alignment horizontal="center" vertical="top" shrinkToFit="1"/>
    </xf>
    <xf numFmtId="0" fontId="2" fillId="0" borderId="0" xfId="1" applyFont="1" applyAlignment="1">
      <alignment vertical="top" wrapText="1"/>
    </xf>
    <xf numFmtId="2" fontId="2" fillId="0" borderId="0" xfId="0" applyNumberFormat="1" applyFont="1" applyAlignment="1">
      <alignment horizontal="center" vertical="top"/>
    </xf>
    <xf numFmtId="0" fontId="2" fillId="0" borderId="4" xfId="0" applyFont="1" applyBorder="1" applyAlignment="1">
      <alignment horizontal="left" vertical="top" wrapText="1"/>
    </xf>
    <xf numFmtId="164" fontId="2" fillId="0" borderId="4" xfId="0" applyNumberFormat="1" applyFont="1" applyBorder="1" applyAlignment="1">
      <alignment horizontal="center" vertical="top" wrapText="1"/>
    </xf>
    <xf numFmtId="0" fontId="2" fillId="0" borderId="0" xfId="0" applyFont="1" applyAlignment="1">
      <alignment horizontal="center" vertical="center"/>
    </xf>
    <xf numFmtId="2" fontId="2" fillId="0" borderId="0" xfId="0" applyNumberFormat="1" applyFont="1" applyAlignment="1">
      <alignment horizontal="center" vertical="top" wrapText="1"/>
    </xf>
    <xf numFmtId="1" fontId="2" fillId="0" borderId="4" xfId="0" applyNumberFormat="1" applyFont="1" applyBorder="1" applyAlignment="1">
      <alignment horizontal="center" vertical="top" wrapText="1"/>
    </xf>
    <xf numFmtId="0" fontId="2" fillId="0" borderId="0" xfId="18" applyFont="1" applyAlignment="1">
      <alignment horizontal="center" vertical="top" wrapText="1"/>
    </xf>
  </cellXfs>
  <cellStyles count="19">
    <cellStyle name="Normal" xfId="0" builtinId="0"/>
    <cellStyle name="Normal 3" xfId="1"/>
    <cellStyle name="Normal 19" xfId="2"/>
    <cellStyle name="Normal 7" xfId="3"/>
    <cellStyle name="Normal 4" xfId="4"/>
    <cellStyle name="Normal 5" xfId="5"/>
    <cellStyle name="Normal 6" xfId="6"/>
    <cellStyle name="Normal 2" xfId="7"/>
    <cellStyle name="Normal 7 3" xfId="8"/>
    <cellStyle name="Normal 13" xfId="9"/>
    <cellStyle name="Normal 14" xfId="10"/>
    <cellStyle name="Normal 20" xfId="11"/>
    <cellStyle name="Normal 7 2 2" xfId="12"/>
    <cellStyle name="Normal 8" xfId="13"/>
    <cellStyle name="Normal 10" xfId="14"/>
    <cellStyle name="Normal 11" xfId="15"/>
    <cellStyle name="Normal 12" xfId="16"/>
    <cellStyle name="Normal 18" xfId="17"/>
    <cellStyle name="Normal 8 2" xfId="1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calcChain" Target="calcChain.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Pr>
    <tabColor rgb="FFC00000"/>
  </sheetPr>
  <sheetViews>
    <sheetView view="pageBreakPreview" tabSelected="1" zoomScaleSheetLayoutView="100" workbookViewId="0" topLeftCell="A121">
      <selection activeCell="F121" sqref="F121"/>
    </sheetView>
  </sheetViews>
  <sheetFormatPr defaultColWidth="9.140625" defaultRowHeight="12"/>
  <cols>
    <col min="1" max="1" width="3.425781" style="14" customWidth="1"/>
    <col min="2" max="2" width="18.42578" style="15" customWidth="1"/>
    <col min="3" max="3" width="6.140625" style="15" bestFit="1" customWidth="1"/>
    <col min="4" max="4" width="5.710938" style="16" customWidth="1"/>
    <col min="5" max="5" width="8.710938" style="15" customWidth="1"/>
    <col min="6" max="6" width="19.28516" style="15" customWidth="1"/>
    <col min="7" max="7" width="9" style="15" customWidth="1"/>
    <col min="8" max="8" width="10.57031" style="15" bestFit="1" customWidth="1"/>
    <col min="9" max="9" width="14.71094" style="17" customWidth="1"/>
    <col min="10" max="10" width="6.140625" style="18" bestFit="1" customWidth="1"/>
    <col min="11" max="11" width="9.285156" style="14" bestFit="1" customWidth="1"/>
    <col min="12" max="12" width="9.140625" style="14"/>
    <col min="13" max="13" width="9.140625" style="14"/>
    <col min="14" max="14" width="9.140625" style="14"/>
    <col min="15" max="16384" width="9.140625" style="14"/>
  </cols>
  <sheetData>
    <row r="1" s="1" customFormat="1">
      <c r="A1" s="1" t="s">
        <v>0</v>
      </c>
      <c r="B1" s="1"/>
      <c r="G1" s="19"/>
      <c r="H1" s="19"/>
      <c r="I1" s="20" t="s">
        <v>1</v>
      </c>
      <c r="J1" s="21"/>
    </row>
    <row r="2" s="1" customFormat="1">
      <c r="A2" s="1" t="s">
        <v>2</v>
      </c>
      <c r="B2" s="1"/>
      <c r="G2" s="19"/>
      <c r="H2" s="19"/>
      <c r="I2" s="20" t="s">
        <v>3</v>
      </c>
      <c r="J2" s="21"/>
    </row>
    <row r="3" s="1" customFormat="1">
      <c r="A3" s="22" t="s">
        <v>4</v>
      </c>
      <c r="B3" s="22"/>
      <c r="C3" s="22"/>
      <c r="D3" s="19"/>
      <c r="E3" s="19"/>
      <c r="F3" s="19"/>
      <c r="G3" s="23" t="s">
        <v>5</v>
      </c>
      <c r="H3" s="23"/>
      <c r="I3" s="23"/>
      <c r="J3" s="24"/>
    </row>
    <row r="4" s="2" customFormat="1">
      <c r="A4" s="25" t="s">
        <v>6</v>
      </c>
      <c r="B4" s="25"/>
      <c r="C4" s="25"/>
      <c r="D4" s="25"/>
      <c r="E4" s="25"/>
      <c r="F4" s="25"/>
      <c r="G4" s="25"/>
      <c r="H4" s="25"/>
      <c r="I4" s="25"/>
      <c r="J4" s="26"/>
    </row>
    <row r="5" s="3" customFormat="1" ht="29.25" customHeight="1">
      <c r="A5" s="27" t="s">
        <v>7</v>
      </c>
      <c r="B5" s="27"/>
      <c r="C5" s="27"/>
      <c r="D5" s="27"/>
      <c r="E5" s="27"/>
      <c r="F5" s="27"/>
      <c r="G5" s="27"/>
      <c r="H5" s="27"/>
      <c r="I5" s="27"/>
      <c r="J5" s="28"/>
    </row>
    <row r="6" s="4" customFormat="1">
      <c r="A6" s="4" t="s">
        <v>8</v>
      </c>
      <c r="B6" s="19" t="s">
        <v>9</v>
      </c>
      <c r="C6" s="19" t="s">
        <v>10</v>
      </c>
      <c r="D6" s="19" t="s">
        <v>11</v>
      </c>
      <c r="E6" s="19" t="s">
        <v>12</v>
      </c>
      <c r="F6" s="19" t="s">
        <v>13</v>
      </c>
      <c r="G6" s="19"/>
      <c r="H6" s="19" t="s">
        <v>13</v>
      </c>
      <c r="I6" s="19" t="s">
        <v>14</v>
      </c>
      <c r="J6" s="24"/>
    </row>
    <row r="7" s="4" customFormat="1">
      <c r="A7" s="4"/>
      <c r="B7" s="19"/>
      <c r="C7" s="19"/>
      <c r="D7" s="19"/>
      <c r="E7" s="19"/>
      <c r="F7" s="19" t="s">
        <v>15</v>
      </c>
      <c r="G7" s="19" t="s">
        <v>16</v>
      </c>
      <c r="H7" s="19"/>
      <c r="I7" s="19"/>
      <c r="J7" s="24"/>
    </row>
    <row r="8" s="1" customFormat="1">
      <c r="A8" s="19" t="s">
        <v>17</v>
      </c>
      <c r="B8" s="22" t="s">
        <v>18</v>
      </c>
      <c r="C8" s="19"/>
      <c r="D8" s="19"/>
      <c r="E8" s="19"/>
      <c r="F8" s="19"/>
      <c r="G8" s="19"/>
      <c r="H8" s="19"/>
      <c r="I8" s="19"/>
      <c r="J8" s="24"/>
    </row>
    <row r="9" s="5" customFormat="1" ht="48">
      <c r="A9" s="29">
        <v>1</v>
      </c>
      <c r="B9" s="30" t="s">
        <v>19</v>
      </c>
      <c r="C9" s="31">
        <v>0.5</v>
      </c>
      <c r="D9" s="31" t="s">
        <v>20</v>
      </c>
      <c r="E9" s="32">
        <v>79825.089999999997</v>
      </c>
      <c r="F9" s="33">
        <v>0</v>
      </c>
      <c r="G9" s="31">
        <f t="shared" ref="G9:G13" si="0">C9*E9</f>
        <v>39912.544999999998</v>
      </c>
      <c r="H9" s="34">
        <f t="shared" ref="H9:H13" si="1">SUM(F9:G9)</f>
        <v>39912.544999999998</v>
      </c>
      <c r="I9" s="31" t="s">
        <v>21</v>
      </c>
      <c r="J9" s="35"/>
    </row>
    <row r="10" s="5" customFormat="1" ht="48">
      <c r="A10" s="29">
        <f t="shared" ref="A10:A32" si="2">A9+1</f>
        <v>2</v>
      </c>
      <c r="B10" s="36" t="s">
        <v>22</v>
      </c>
      <c r="C10" s="31">
        <v>6</v>
      </c>
      <c r="D10" s="31" t="s">
        <v>20</v>
      </c>
      <c r="E10" s="37">
        <v>227235.29000000001</v>
      </c>
      <c r="F10" s="33">
        <v>0</v>
      </c>
      <c r="G10" s="31">
        <f t="shared" si="0"/>
        <v>1363411.74</v>
      </c>
      <c r="H10" s="34">
        <f t="shared" si="1"/>
        <v>1363411.74</v>
      </c>
      <c r="I10" s="31" t="s">
        <v>23</v>
      </c>
      <c r="J10" s="35"/>
    </row>
    <row r="11" s="5" customFormat="1" ht="84">
      <c r="A11" s="29">
        <f t="shared" si="2"/>
        <v>3</v>
      </c>
      <c r="B11" s="36" t="s">
        <v>24</v>
      </c>
      <c r="C11" s="31">
        <v>2</v>
      </c>
      <c r="D11" s="31" t="s">
        <v>20</v>
      </c>
      <c r="E11" s="37">
        <v>531507.40000000002</v>
      </c>
      <c r="F11" s="33">
        <v>0</v>
      </c>
      <c r="G11" s="31">
        <f t="shared" si="0"/>
        <v>1063014.8</v>
      </c>
      <c r="H11" s="34">
        <f t="shared" si="1"/>
        <v>1063014.8</v>
      </c>
      <c r="I11" s="31" t="s">
        <v>25</v>
      </c>
      <c r="J11" s="35"/>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c r="BR11" s="38"/>
      <c r="BS11" s="38"/>
      <c r="BT11" s="38"/>
      <c r="BU11" s="38"/>
      <c r="BV11" s="38"/>
      <c r="BW11" s="38"/>
      <c r="BX11" s="38"/>
      <c r="BY11" s="38"/>
      <c r="BZ11" s="38"/>
      <c r="CA11" s="38"/>
      <c r="CB11" s="38"/>
      <c r="CC11" s="38"/>
      <c r="CD11" s="38"/>
      <c r="CE11" s="38"/>
      <c r="CF11" s="38"/>
      <c r="CG11" s="38"/>
      <c r="CH11" s="38"/>
      <c r="CI11" s="38"/>
      <c r="CJ11" s="38"/>
      <c r="CK11" s="38"/>
      <c r="CL11" s="38"/>
      <c r="CM11" s="38"/>
      <c r="CN11" s="38"/>
      <c r="CO11" s="38"/>
      <c r="CP11" s="38"/>
      <c r="CQ11" s="38"/>
      <c r="CR11" s="38"/>
      <c r="CS11" s="38"/>
      <c r="CT11" s="38"/>
      <c r="CU11" s="38"/>
      <c r="CV11" s="38"/>
      <c r="CW11" s="38"/>
      <c r="CX11" s="38"/>
      <c r="CY11" s="38"/>
      <c r="CZ11" s="38"/>
      <c r="DA11" s="38"/>
      <c r="DB11" s="38"/>
      <c r="DC11" s="38"/>
      <c r="DD11" s="38"/>
      <c r="DE11" s="38"/>
      <c r="DF11" s="38"/>
      <c r="DG11" s="38"/>
      <c r="DH11" s="38"/>
      <c r="DI11" s="38"/>
      <c r="DJ11" s="38"/>
      <c r="DK11" s="38"/>
      <c r="DL11" s="38"/>
      <c r="DM11" s="38"/>
      <c r="DN11" s="38"/>
      <c r="DO11" s="38"/>
      <c r="DP11" s="38"/>
      <c r="DQ11" s="38"/>
      <c r="DR11" s="38"/>
      <c r="DS11" s="38"/>
      <c r="DT11" s="38"/>
      <c r="DU11" s="38"/>
      <c r="DV11" s="38"/>
      <c r="DW11" s="38"/>
      <c r="DX11" s="38"/>
      <c r="DY11" s="38"/>
      <c r="DZ11" s="38"/>
      <c r="EA11" s="38"/>
      <c r="EB11" s="38"/>
      <c r="EC11" s="38"/>
      <c r="ED11" s="38"/>
      <c r="EE11" s="38"/>
      <c r="EF11" s="38"/>
      <c r="EG11" s="38"/>
      <c r="EH11" s="38"/>
      <c r="EI11" s="38"/>
      <c r="EJ11" s="38"/>
      <c r="EK11" s="38"/>
      <c r="EL11" s="38"/>
      <c r="EM11" s="38"/>
      <c r="EN11" s="38"/>
      <c r="EO11" s="38"/>
      <c r="EP11" s="38"/>
      <c r="EQ11" s="38"/>
      <c r="ER11" s="38"/>
      <c r="ES11" s="38"/>
      <c r="ET11" s="38"/>
      <c r="EU11" s="38"/>
      <c r="EV11" s="38"/>
      <c r="EW11" s="38"/>
      <c r="EX11" s="38"/>
      <c r="EY11" s="38"/>
      <c r="EZ11" s="38"/>
      <c r="FA11" s="38"/>
      <c r="FB11" s="38"/>
      <c r="FC11" s="38"/>
      <c r="FD11" s="38"/>
      <c r="FE11" s="38"/>
      <c r="FF11" s="38"/>
      <c r="FG11" s="38"/>
      <c r="FH11" s="38"/>
      <c r="FI11" s="38"/>
      <c r="FJ11" s="38"/>
      <c r="FK11" s="38"/>
      <c r="FL11" s="38"/>
      <c r="FM11" s="38"/>
      <c r="FN11" s="38"/>
      <c r="FO11" s="38"/>
      <c r="FP11" s="38"/>
      <c r="FQ11" s="38"/>
      <c r="FR11" s="38"/>
      <c r="FS11" s="38"/>
      <c r="FT11" s="38"/>
      <c r="FU11" s="38"/>
      <c r="FV11" s="38"/>
      <c r="FW11" s="38"/>
      <c r="FX11" s="38"/>
      <c r="FY11" s="38"/>
      <c r="FZ11" s="38"/>
      <c r="GA11" s="38"/>
      <c r="GB11" s="38"/>
      <c r="GC11" s="38"/>
      <c r="GD11" s="38"/>
      <c r="GE11" s="38"/>
      <c r="GF11" s="38"/>
      <c r="GG11" s="38"/>
      <c r="GH11" s="38"/>
      <c r="GI11" s="38"/>
      <c r="GJ11" s="38"/>
      <c r="GK11" s="38"/>
      <c r="GL11" s="38"/>
      <c r="GM11" s="38"/>
      <c r="GN11" s="38"/>
      <c r="GO11" s="38"/>
      <c r="GP11" s="38"/>
      <c r="GQ11" s="38"/>
      <c r="GR11" s="38"/>
      <c r="GS11" s="38"/>
      <c r="GT11" s="38"/>
      <c r="GU11" s="38"/>
      <c r="GV11" s="38"/>
      <c r="GW11" s="38"/>
      <c r="GX11" s="38"/>
      <c r="GY11" s="38"/>
      <c r="GZ11" s="38"/>
      <c r="HA11" s="38"/>
      <c r="HB11" s="38"/>
      <c r="HC11" s="38"/>
      <c r="HD11" s="38"/>
      <c r="HE11" s="38"/>
      <c r="HF11" s="38"/>
      <c r="HG11" s="38"/>
      <c r="HH11" s="38"/>
      <c r="HI11" s="38"/>
      <c r="HJ11" s="38"/>
      <c r="HK11" s="38"/>
      <c r="HL11" s="38"/>
      <c r="HM11" s="38"/>
    </row>
    <row r="12" s="5" customFormat="1" ht="48">
      <c r="A12" s="29">
        <f t="shared" si="2"/>
        <v>4</v>
      </c>
      <c r="B12" s="36" t="s">
        <v>26</v>
      </c>
      <c r="C12" s="31">
        <v>1</v>
      </c>
      <c r="D12" s="31" t="s">
        <v>20</v>
      </c>
      <c r="E12" s="37">
        <v>313360.79999999999</v>
      </c>
      <c r="F12" s="33">
        <v>0</v>
      </c>
      <c r="G12" s="31">
        <f t="shared" si="0"/>
        <v>313360.79999999999</v>
      </c>
      <c r="H12" s="34">
        <f t="shared" si="1"/>
        <v>313360.79999999999</v>
      </c>
      <c r="I12" s="31" t="s">
        <v>27</v>
      </c>
      <c r="J12" s="35"/>
    </row>
    <row r="13" s="5" customFormat="1" ht="48">
      <c r="A13" s="29">
        <f t="shared" si="2"/>
        <v>5</v>
      </c>
      <c r="B13" s="30" t="s">
        <v>28</v>
      </c>
      <c r="C13" s="31">
        <v>1</v>
      </c>
      <c r="D13" s="31" t="s">
        <v>20</v>
      </c>
      <c r="E13" s="39">
        <v>52923</v>
      </c>
      <c r="F13" s="33">
        <v>0</v>
      </c>
      <c r="G13" s="31">
        <f t="shared" si="0"/>
        <v>52923</v>
      </c>
      <c r="H13" s="34">
        <f t="shared" si="1"/>
        <v>52923</v>
      </c>
      <c r="I13" s="31" t="s">
        <v>29</v>
      </c>
      <c r="J13" s="35"/>
    </row>
    <row r="14" ht="48">
      <c r="A14" s="29">
        <f t="shared" si="2"/>
        <v>6</v>
      </c>
      <c r="B14" s="40" t="s">
        <v>30</v>
      </c>
      <c r="C14" s="29">
        <v>5</v>
      </c>
      <c r="D14" s="29" t="s">
        <v>31</v>
      </c>
      <c r="E14" s="29">
        <v>16216</v>
      </c>
      <c r="F14" s="29">
        <f t="shared" ref="F14:F50" si="3">C14*E14</f>
        <v>81080</v>
      </c>
      <c r="G14" s="29">
        <v>0</v>
      </c>
      <c r="H14" s="41">
        <f t="shared" ref="H14:H47" si="4">SUM(F14:G14)</f>
        <v>81080</v>
      </c>
      <c r="I14" s="29" t="s">
        <v>32</v>
      </c>
      <c r="J14" s="35"/>
    </row>
    <row r="15" ht="48">
      <c r="A15" s="29">
        <f t="shared" si="2"/>
        <v>7</v>
      </c>
      <c r="B15" s="40" t="s">
        <v>33</v>
      </c>
      <c r="C15" s="29">
        <v>5</v>
      </c>
      <c r="D15" s="29" t="s">
        <v>31</v>
      </c>
      <c r="E15" s="29">
        <v>8083</v>
      </c>
      <c r="F15" s="29">
        <f t="shared" si="3"/>
        <v>40415</v>
      </c>
      <c r="G15" s="29">
        <v>0</v>
      </c>
      <c r="H15" s="41">
        <f t="shared" si="4"/>
        <v>40415</v>
      </c>
      <c r="I15" s="29" t="s">
        <v>34</v>
      </c>
      <c r="J15" s="35"/>
    </row>
    <row r="16" ht="96">
      <c r="A16" s="29">
        <f t="shared" si="2"/>
        <v>8</v>
      </c>
      <c r="B16" s="40" t="s">
        <v>35</v>
      </c>
      <c r="C16" s="29">
        <v>10</v>
      </c>
      <c r="D16" s="29" t="s">
        <v>31</v>
      </c>
      <c r="E16" s="29">
        <v>1051</v>
      </c>
      <c r="F16" s="29">
        <f t="shared" si="3"/>
        <v>10510</v>
      </c>
      <c r="G16" s="29">
        <v>0</v>
      </c>
      <c r="H16" s="41">
        <f t="shared" si="4"/>
        <v>10510</v>
      </c>
      <c r="I16" s="29" t="s">
        <v>36</v>
      </c>
      <c r="J16" s="35"/>
    </row>
    <row r="17" ht="36">
      <c r="A17" s="29">
        <f t="shared" si="2"/>
        <v>9</v>
      </c>
      <c r="B17" s="40" t="s">
        <v>37</v>
      </c>
      <c r="C17" s="29">
        <v>10</v>
      </c>
      <c r="D17" s="29" t="s">
        <v>31</v>
      </c>
      <c r="E17" s="29">
        <v>853</v>
      </c>
      <c r="F17" s="29">
        <f t="shared" si="3"/>
        <v>8530</v>
      </c>
      <c r="G17" s="29">
        <v>0</v>
      </c>
      <c r="H17" s="41">
        <f t="shared" si="4"/>
        <v>8530</v>
      </c>
      <c r="I17" s="29" t="s">
        <v>38</v>
      </c>
      <c r="J17" s="35"/>
    </row>
    <row r="18" ht="36">
      <c r="A18" s="29">
        <f t="shared" si="2"/>
        <v>10</v>
      </c>
      <c r="B18" s="40" t="s">
        <v>39</v>
      </c>
      <c r="C18" s="29">
        <v>10</v>
      </c>
      <c r="D18" s="29" t="s">
        <v>31</v>
      </c>
      <c r="E18" s="29">
        <v>427</v>
      </c>
      <c r="F18" s="29">
        <f t="shared" si="3"/>
        <v>4270</v>
      </c>
      <c r="G18" s="29">
        <v>0</v>
      </c>
      <c r="H18" s="41">
        <f t="shared" si="4"/>
        <v>4270</v>
      </c>
      <c r="I18" s="29" t="s">
        <v>40</v>
      </c>
      <c r="J18" s="35"/>
    </row>
    <row r="19" ht="36">
      <c r="A19" s="29">
        <f t="shared" si="2"/>
        <v>11</v>
      </c>
      <c r="B19" s="40" t="s">
        <v>41</v>
      </c>
      <c r="C19" s="29">
        <v>20</v>
      </c>
      <c r="D19" s="29" t="s">
        <v>31</v>
      </c>
      <c r="E19" s="29">
        <v>1546</v>
      </c>
      <c r="F19" s="29">
        <f t="shared" si="3"/>
        <v>30920</v>
      </c>
      <c r="G19" s="29">
        <v>0</v>
      </c>
      <c r="H19" s="41">
        <f t="shared" si="4"/>
        <v>30920</v>
      </c>
      <c r="I19" s="29" t="s">
        <v>42</v>
      </c>
      <c r="J19" s="35"/>
    </row>
    <row r="20" ht="24">
      <c r="A20" s="29">
        <f t="shared" si="2"/>
        <v>12</v>
      </c>
      <c r="B20" s="40" t="s">
        <v>43</v>
      </c>
      <c r="C20" s="29">
        <v>10</v>
      </c>
      <c r="D20" s="29" t="s">
        <v>31</v>
      </c>
      <c r="E20" s="29">
        <v>2313</v>
      </c>
      <c r="F20" s="29">
        <f t="shared" si="3"/>
        <v>23130</v>
      </c>
      <c r="G20" s="29">
        <v>0</v>
      </c>
      <c r="H20" s="41">
        <f t="shared" si="4"/>
        <v>23130</v>
      </c>
      <c r="I20" s="29" t="s">
        <v>44</v>
      </c>
      <c r="J20" s="35"/>
    </row>
    <row r="21" ht="48">
      <c r="A21" s="29">
        <f t="shared" si="2"/>
        <v>13</v>
      </c>
      <c r="B21" s="40" t="s">
        <v>45</v>
      </c>
      <c r="C21" s="29">
        <v>30</v>
      </c>
      <c r="D21" s="29" t="s">
        <v>31</v>
      </c>
      <c r="E21" s="29">
        <v>3315</v>
      </c>
      <c r="F21" s="29">
        <f t="shared" si="3"/>
        <v>99450</v>
      </c>
      <c r="G21" s="29">
        <v>0</v>
      </c>
      <c r="H21" s="41">
        <f t="shared" si="4"/>
        <v>99450</v>
      </c>
      <c r="I21" s="29" t="s">
        <v>46</v>
      </c>
      <c r="J21" s="35"/>
    </row>
    <row r="22" ht="59.25" customHeight="1">
      <c r="A22" s="29">
        <f t="shared" si="2"/>
        <v>14</v>
      </c>
      <c r="B22" s="40" t="s">
        <v>47</v>
      </c>
      <c r="C22" s="29">
        <v>10</v>
      </c>
      <c r="D22" s="29" t="s">
        <v>31</v>
      </c>
      <c r="E22" s="29">
        <v>358</v>
      </c>
      <c r="F22" s="29">
        <f t="shared" si="3"/>
        <v>3580</v>
      </c>
      <c r="G22" s="29">
        <v>0</v>
      </c>
      <c r="H22" s="41">
        <f t="shared" si="4"/>
        <v>3580</v>
      </c>
      <c r="I22" s="29" t="s">
        <v>48</v>
      </c>
      <c r="J22" s="35"/>
    </row>
    <row r="23" ht="48">
      <c r="A23" s="29">
        <f t="shared" si="2"/>
        <v>15</v>
      </c>
      <c r="B23" s="40" t="s">
        <v>49</v>
      </c>
      <c r="C23" s="29">
        <v>100</v>
      </c>
      <c r="D23" s="29" t="s">
        <v>50</v>
      </c>
      <c r="E23" s="29">
        <v>80</v>
      </c>
      <c r="F23" s="29">
        <f t="shared" si="3"/>
        <v>8000</v>
      </c>
      <c r="G23" s="29">
        <v>0</v>
      </c>
      <c r="H23" s="41">
        <f t="shared" si="4"/>
        <v>8000</v>
      </c>
      <c r="I23" s="29" t="s">
        <v>51</v>
      </c>
      <c r="J23" s="35"/>
    </row>
    <row r="24" ht="36">
      <c r="A24" s="29">
        <f t="shared" si="2"/>
        <v>16</v>
      </c>
      <c r="B24" s="40" t="s">
        <v>52</v>
      </c>
      <c r="C24" s="29">
        <v>10</v>
      </c>
      <c r="D24" s="29" t="s">
        <v>31</v>
      </c>
      <c r="E24" s="29">
        <v>4738</v>
      </c>
      <c r="F24" s="29">
        <f t="shared" si="3"/>
        <v>47380</v>
      </c>
      <c r="G24" s="29">
        <v>0</v>
      </c>
      <c r="H24" s="41">
        <f t="shared" si="4"/>
        <v>47380</v>
      </c>
      <c r="I24" s="38" t="s">
        <v>53</v>
      </c>
      <c r="J24" s="35"/>
    </row>
    <row r="25" ht="48">
      <c r="A25" s="29">
        <f t="shared" si="2"/>
        <v>17</v>
      </c>
      <c r="B25" s="40" t="s">
        <v>54</v>
      </c>
      <c r="C25" s="29">
        <v>10</v>
      </c>
      <c r="D25" s="29" t="s">
        <v>31</v>
      </c>
      <c r="E25" s="29">
        <v>4413</v>
      </c>
      <c r="F25" s="29">
        <f t="shared" si="3"/>
        <v>44130</v>
      </c>
      <c r="G25" s="29">
        <v>0</v>
      </c>
      <c r="H25" s="41">
        <f t="shared" si="4"/>
        <v>44130</v>
      </c>
      <c r="I25" s="38" t="s">
        <v>53</v>
      </c>
      <c r="J25" s="35"/>
    </row>
    <row r="26" s="6" customFormat="1" ht="228">
      <c r="A26" s="31">
        <f t="shared" si="2"/>
        <v>18</v>
      </c>
      <c r="B26" s="36" t="s">
        <v>55</v>
      </c>
      <c r="C26" s="31">
        <v>7</v>
      </c>
      <c r="D26" s="31" t="s">
        <v>31</v>
      </c>
      <c r="E26" s="31">
        <v>4742.9499999999998</v>
      </c>
      <c r="F26" s="31">
        <f t="shared" si="3"/>
        <v>33200.650000000001</v>
      </c>
      <c r="G26" s="31">
        <v>0</v>
      </c>
      <c r="H26" s="34">
        <f t="shared" si="4"/>
        <v>33200.650000000001</v>
      </c>
      <c r="I26" s="31" t="s">
        <v>56</v>
      </c>
      <c r="J26" s="42"/>
    </row>
    <row r="27" ht="61.5" customHeight="1">
      <c r="A27" s="29">
        <f t="shared" si="2"/>
        <v>19</v>
      </c>
      <c r="B27" s="40" t="s">
        <v>57</v>
      </c>
      <c r="C27" s="29">
        <v>1</v>
      </c>
      <c r="D27" s="29" t="s">
        <v>31</v>
      </c>
      <c r="E27" s="29">
        <v>2902</v>
      </c>
      <c r="F27" s="29">
        <f t="shared" si="3"/>
        <v>2902</v>
      </c>
      <c r="G27" s="29">
        <v>0</v>
      </c>
      <c r="H27" s="41">
        <f t="shared" si="4"/>
        <v>2902</v>
      </c>
      <c r="I27" s="29" t="s">
        <v>58</v>
      </c>
      <c r="J27" s="35"/>
    </row>
    <row r="28" ht="36">
      <c r="A28" s="29">
        <f t="shared" si="2"/>
        <v>20</v>
      </c>
      <c r="B28" s="40" t="s">
        <v>59</v>
      </c>
      <c r="C28" s="29">
        <v>1</v>
      </c>
      <c r="D28" s="29" t="s">
        <v>60</v>
      </c>
      <c r="E28" s="29">
        <v>8670</v>
      </c>
      <c r="F28" s="29">
        <f t="shared" si="3"/>
        <v>8670</v>
      </c>
      <c r="G28" s="29">
        <v>0</v>
      </c>
      <c r="H28" s="41">
        <f t="shared" si="4"/>
        <v>8670</v>
      </c>
      <c r="I28" s="29" t="s">
        <v>61</v>
      </c>
      <c r="J28" s="35"/>
    </row>
    <row r="29" ht="61.5" customHeight="1">
      <c r="A29" s="29">
        <f t="shared" si="2"/>
        <v>21</v>
      </c>
      <c r="B29" s="40" t="s">
        <v>62</v>
      </c>
      <c r="C29" s="29">
        <v>1</v>
      </c>
      <c r="D29" s="29" t="s">
        <v>60</v>
      </c>
      <c r="E29" s="29">
        <v>2203</v>
      </c>
      <c r="F29" s="29">
        <f t="shared" si="3"/>
        <v>2203</v>
      </c>
      <c r="G29" s="29">
        <v>0</v>
      </c>
      <c r="H29" s="41">
        <f t="shared" si="4"/>
        <v>2203</v>
      </c>
      <c r="I29" s="29" t="s">
        <v>63</v>
      </c>
      <c r="J29" s="35"/>
    </row>
    <row r="30" ht="49.5" customHeight="1">
      <c r="A30" s="29">
        <f t="shared" si="2"/>
        <v>22</v>
      </c>
      <c r="B30" s="43" t="s">
        <v>64</v>
      </c>
      <c r="C30" s="29">
        <v>100</v>
      </c>
      <c r="D30" s="44" t="s">
        <v>31</v>
      </c>
      <c r="E30" s="44">
        <v>97</v>
      </c>
      <c r="F30" s="29">
        <f t="shared" si="3"/>
        <v>9700</v>
      </c>
      <c r="G30" s="29">
        <v>0</v>
      </c>
      <c r="H30" s="41">
        <f t="shared" si="4"/>
        <v>9700</v>
      </c>
      <c r="I30" s="29" t="s">
        <v>65</v>
      </c>
      <c r="J30" s="35"/>
    </row>
    <row r="31" ht="54" customHeight="1">
      <c r="A31" s="29">
        <f t="shared" si="2"/>
        <v>23</v>
      </c>
      <c r="B31" s="43" t="s">
        <v>66</v>
      </c>
      <c r="C31" s="29">
        <v>250</v>
      </c>
      <c r="D31" s="44" t="s">
        <v>31</v>
      </c>
      <c r="E31" s="44">
        <v>406</v>
      </c>
      <c r="F31" s="29">
        <f t="shared" si="3"/>
        <v>101500</v>
      </c>
      <c r="G31" s="29">
        <v>0</v>
      </c>
      <c r="H31" s="41">
        <f t="shared" si="4"/>
        <v>101500</v>
      </c>
      <c r="I31" s="29" t="s">
        <v>67</v>
      </c>
      <c r="J31" s="35"/>
    </row>
    <row r="32" s="5" customFormat="1" ht="84">
      <c r="A32" s="29">
        <f t="shared" si="2"/>
        <v>24</v>
      </c>
      <c r="B32" s="3" t="s">
        <v>68</v>
      </c>
      <c r="C32" s="29">
        <v>250</v>
      </c>
      <c r="D32" s="27" t="s">
        <v>60</v>
      </c>
      <c r="E32" s="45">
        <v>703</v>
      </c>
      <c r="F32" s="29">
        <f t="shared" si="3"/>
        <v>175750</v>
      </c>
      <c r="G32" s="29">
        <v>0</v>
      </c>
      <c r="H32" s="41">
        <f t="shared" si="4"/>
        <v>175750</v>
      </c>
      <c r="I32" s="29" t="s">
        <v>69</v>
      </c>
      <c r="J32" s="35"/>
    </row>
    <row r="33" ht="48">
      <c r="B33" s="46" t="s">
        <v>70</v>
      </c>
      <c r="C33" s="29"/>
      <c r="D33" s="29"/>
      <c r="E33" s="29"/>
      <c r="F33" s="29">
        <f t="shared" si="3"/>
        <v>0</v>
      </c>
      <c r="G33" s="29">
        <v>0</v>
      </c>
      <c r="H33" s="41">
        <f t="shared" si="4"/>
        <v>0</v>
      </c>
      <c r="I33" s="29" t="s">
        <v>71</v>
      </c>
      <c r="J33" s="35"/>
    </row>
    <row r="34" ht="24">
      <c r="A34" s="29">
        <f>A32+1</f>
        <v>25</v>
      </c>
      <c r="B34" s="46" t="s">
        <v>72</v>
      </c>
      <c r="C34" s="29">
        <v>5</v>
      </c>
      <c r="D34" s="47" t="s">
        <v>31</v>
      </c>
      <c r="E34" s="47">
        <v>220</v>
      </c>
      <c r="F34" s="29">
        <f t="shared" si="3"/>
        <v>1100</v>
      </c>
      <c r="G34" s="29">
        <v>0</v>
      </c>
      <c r="H34" s="41">
        <f t="shared" si="4"/>
        <v>1100</v>
      </c>
      <c r="I34" s="29"/>
      <c r="J34" s="35"/>
    </row>
    <row r="35" ht="48">
      <c r="A35" s="29">
        <f t="shared" ref="A35:A50" si="5">A34+1</f>
        <v>26</v>
      </c>
      <c r="B35" s="40" t="s">
        <v>73</v>
      </c>
      <c r="C35" s="29">
        <v>100</v>
      </c>
      <c r="D35" s="29" t="s">
        <v>31</v>
      </c>
      <c r="E35" s="29">
        <v>21</v>
      </c>
      <c r="F35" s="29">
        <f t="shared" si="3"/>
        <v>2100</v>
      </c>
      <c r="G35" s="29">
        <v>0</v>
      </c>
      <c r="H35" s="41">
        <f t="shared" si="4"/>
        <v>2100</v>
      </c>
      <c r="I35" s="29"/>
      <c r="J35" s="35"/>
    </row>
    <row r="36" ht="52.5" customHeight="1">
      <c r="A36" s="29">
        <f t="shared" si="5"/>
        <v>27</v>
      </c>
      <c r="B36" s="48" t="s">
        <v>74</v>
      </c>
      <c r="C36" s="29">
        <v>10</v>
      </c>
      <c r="D36" s="49" t="s">
        <v>75</v>
      </c>
      <c r="E36" s="49">
        <v>1153</v>
      </c>
      <c r="F36" s="29">
        <f t="shared" si="3"/>
        <v>11530</v>
      </c>
      <c r="G36" s="29">
        <v>0</v>
      </c>
      <c r="H36" s="41">
        <f t="shared" si="4"/>
        <v>11530</v>
      </c>
      <c r="I36" s="38" t="s">
        <v>76</v>
      </c>
      <c r="J36" s="35"/>
    </row>
    <row r="37" ht="66" customHeight="1">
      <c r="A37" s="29">
        <f t="shared" si="5"/>
        <v>28</v>
      </c>
      <c r="B37" s="40" t="s">
        <v>77</v>
      </c>
      <c r="C37" s="29">
        <v>150</v>
      </c>
      <c r="D37" s="49" t="s">
        <v>50</v>
      </c>
      <c r="E37" s="29">
        <v>124</v>
      </c>
      <c r="F37" s="29">
        <f t="shared" si="3"/>
        <v>18600</v>
      </c>
      <c r="G37" s="29">
        <v>0</v>
      </c>
      <c r="H37" s="41">
        <f t="shared" si="4"/>
        <v>18600</v>
      </c>
      <c r="I37" s="38" t="s">
        <v>76</v>
      </c>
      <c r="J37" s="35"/>
    </row>
    <row r="38" ht="60.75" customHeight="1">
      <c r="A38" s="29">
        <f t="shared" si="5"/>
        <v>29</v>
      </c>
      <c r="B38" s="40" t="s">
        <v>78</v>
      </c>
      <c r="C38" s="29">
        <v>1</v>
      </c>
      <c r="D38" s="29" t="s">
        <v>75</v>
      </c>
      <c r="E38" s="29">
        <v>2908</v>
      </c>
      <c r="F38" s="29">
        <f t="shared" si="3"/>
        <v>2908</v>
      </c>
      <c r="G38" s="29">
        <v>0</v>
      </c>
      <c r="H38" s="41">
        <f t="shared" si="4"/>
        <v>2908</v>
      </c>
      <c r="I38" s="38" t="s">
        <v>76</v>
      </c>
      <c r="J38" s="35"/>
    </row>
    <row r="39" ht="36">
      <c r="A39" s="29">
        <f t="shared" si="5"/>
        <v>30</v>
      </c>
      <c r="B39" s="40" t="s">
        <v>79</v>
      </c>
      <c r="C39" s="29">
        <v>10</v>
      </c>
      <c r="D39" s="29" t="s">
        <v>31</v>
      </c>
      <c r="E39" s="29">
        <v>195</v>
      </c>
      <c r="F39" s="29">
        <f t="shared" si="3"/>
        <v>1950</v>
      </c>
      <c r="G39" s="29">
        <v>0</v>
      </c>
      <c r="H39" s="41">
        <f t="shared" si="4"/>
        <v>1950</v>
      </c>
      <c r="I39" s="29" t="s">
        <v>80</v>
      </c>
      <c r="J39" s="35"/>
    </row>
    <row r="40" ht="63" customHeight="1">
      <c r="A40" s="29">
        <f t="shared" si="5"/>
        <v>31</v>
      </c>
      <c r="B40" s="40" t="s">
        <v>81</v>
      </c>
      <c r="C40" s="29">
        <v>5</v>
      </c>
      <c r="D40" s="29" t="s">
        <v>31</v>
      </c>
      <c r="E40" s="29">
        <v>3827</v>
      </c>
      <c r="F40" s="29">
        <f t="shared" si="3"/>
        <v>19135</v>
      </c>
      <c r="G40" s="29">
        <v>0</v>
      </c>
      <c r="H40" s="41">
        <f t="shared" si="4"/>
        <v>19135</v>
      </c>
      <c r="I40" s="29" t="s">
        <v>82</v>
      </c>
      <c r="J40" s="35"/>
    </row>
    <row r="41" ht="60">
      <c r="A41" s="29">
        <f t="shared" si="5"/>
        <v>32</v>
      </c>
      <c r="B41" s="38" t="s">
        <v>83</v>
      </c>
      <c r="C41" s="29">
        <v>1</v>
      </c>
      <c r="D41" s="29" t="s">
        <v>84</v>
      </c>
      <c r="E41" s="29">
        <v>16837</v>
      </c>
      <c r="F41" s="29">
        <f t="shared" si="3"/>
        <v>16837</v>
      </c>
      <c r="G41" s="29">
        <v>0</v>
      </c>
      <c r="H41" s="41">
        <f t="shared" si="4"/>
        <v>16837</v>
      </c>
      <c r="I41" s="29" t="s">
        <v>85</v>
      </c>
      <c r="J41" s="35"/>
    </row>
    <row r="42" ht="59.25" customHeight="1">
      <c r="A42" s="29">
        <f t="shared" si="5"/>
        <v>33</v>
      </c>
      <c r="B42" s="40" t="s">
        <v>86</v>
      </c>
      <c r="C42" s="29">
        <v>25</v>
      </c>
      <c r="D42" s="29" t="s">
        <v>50</v>
      </c>
      <c r="E42" s="29">
        <v>391</v>
      </c>
      <c r="F42" s="29">
        <f t="shared" si="3"/>
        <v>9775</v>
      </c>
      <c r="G42" s="29">
        <v>0</v>
      </c>
      <c r="H42" s="41">
        <f t="shared" si="4"/>
        <v>9775</v>
      </c>
      <c r="I42" s="29" t="s">
        <v>87</v>
      </c>
      <c r="J42" s="35"/>
    </row>
    <row r="43" ht="68.25" customHeight="1">
      <c r="A43" s="29">
        <f t="shared" si="5"/>
        <v>34</v>
      </c>
      <c r="B43" s="40" t="s">
        <v>88</v>
      </c>
      <c r="C43" s="29">
        <v>25</v>
      </c>
      <c r="D43" s="29" t="s">
        <v>50</v>
      </c>
      <c r="E43" s="29">
        <v>178</v>
      </c>
      <c r="F43" s="29">
        <f t="shared" si="3"/>
        <v>4450</v>
      </c>
      <c r="G43" s="29">
        <v>0</v>
      </c>
      <c r="H43" s="41">
        <f t="shared" si="4"/>
        <v>4450</v>
      </c>
      <c r="I43" s="29" t="s">
        <v>89</v>
      </c>
      <c r="J43" s="35"/>
    </row>
    <row r="44" s="5" customFormat="1" ht="36">
      <c r="A44" s="29">
        <f t="shared" si="5"/>
        <v>35</v>
      </c>
      <c r="B44" s="3" t="s">
        <v>90</v>
      </c>
      <c r="C44" s="45">
        <v>10</v>
      </c>
      <c r="D44" s="27" t="s">
        <v>31</v>
      </c>
      <c r="E44" s="45">
        <v>25</v>
      </c>
      <c r="F44" s="29">
        <f t="shared" si="3"/>
        <v>250</v>
      </c>
      <c r="G44" s="29">
        <v>0</v>
      </c>
      <c r="H44" s="41">
        <f t="shared" si="4"/>
        <v>250</v>
      </c>
      <c r="I44" s="29" t="s">
        <v>91</v>
      </c>
      <c r="J44" s="50"/>
    </row>
    <row r="45" ht="60">
      <c r="A45" s="29">
        <f t="shared" si="5"/>
        <v>36</v>
      </c>
      <c r="B45" s="40" t="s">
        <v>92</v>
      </c>
      <c r="C45" s="29">
        <v>3</v>
      </c>
      <c r="D45" s="29" t="s">
        <v>31</v>
      </c>
      <c r="E45" s="29">
        <v>3715</v>
      </c>
      <c r="F45" s="29">
        <f t="shared" si="3"/>
        <v>11145</v>
      </c>
      <c r="G45" s="29">
        <v>0</v>
      </c>
      <c r="H45" s="41">
        <f t="shared" si="4"/>
        <v>11145</v>
      </c>
      <c r="I45" s="29" t="s">
        <v>93</v>
      </c>
      <c r="J45" s="35"/>
    </row>
    <row r="46" s="7" customFormat="1" ht="58.5" customHeight="1">
      <c r="A46" s="29">
        <f t="shared" si="5"/>
        <v>37</v>
      </c>
      <c r="B46" s="51" t="s">
        <v>94</v>
      </c>
      <c r="C46" s="52">
        <v>2</v>
      </c>
      <c r="D46" s="52" t="s">
        <v>95</v>
      </c>
      <c r="E46" s="53">
        <v>66223</v>
      </c>
      <c r="F46" s="29">
        <f t="shared" si="3"/>
        <v>132446</v>
      </c>
      <c r="G46" s="29">
        <v>0</v>
      </c>
      <c r="H46" s="41">
        <f t="shared" si="4"/>
        <v>132446</v>
      </c>
      <c r="I46" s="29" t="s">
        <v>96</v>
      </c>
      <c r="J46" s="54"/>
    </row>
    <row r="47" s="6" customFormat="1" ht="120">
      <c r="A47" s="31">
        <f t="shared" si="5"/>
        <v>38</v>
      </c>
      <c r="B47" s="55" t="s">
        <v>97</v>
      </c>
      <c r="C47" s="31">
        <v>1</v>
      </c>
      <c r="D47" s="56" t="s">
        <v>31</v>
      </c>
      <c r="E47" s="57">
        <v>10863.110000000001</v>
      </c>
      <c r="F47" s="31">
        <f t="shared" si="3"/>
        <v>10863.110000000001</v>
      </c>
      <c r="G47" s="31">
        <v>0</v>
      </c>
      <c r="H47" s="34">
        <f t="shared" si="4"/>
        <v>10863.110000000001</v>
      </c>
      <c r="I47" s="31" t="s">
        <v>98</v>
      </c>
      <c r="J47" s="42"/>
    </row>
    <row r="48" s="7" customFormat="1" ht="156">
      <c r="A48" s="29">
        <f t="shared" si="5"/>
        <v>39</v>
      </c>
      <c r="B48" s="51" t="s">
        <v>99</v>
      </c>
      <c r="C48" s="29">
        <v>250</v>
      </c>
      <c r="D48" s="58" t="s">
        <v>100</v>
      </c>
      <c r="E48" s="17">
        <v>56</v>
      </c>
      <c r="F48" s="29">
        <f t="shared" si="3"/>
        <v>14000</v>
      </c>
      <c r="G48" s="29">
        <v>0</v>
      </c>
      <c r="H48" s="41">
        <f t="shared" ref="H48:H50" si="6">SUM(F48:G48)</f>
        <v>14000</v>
      </c>
      <c r="I48" s="29" t="s">
        <v>101</v>
      </c>
      <c r="J48" s="35"/>
    </row>
    <row r="49" s="7" customFormat="1" ht="96">
      <c r="A49" s="29">
        <f t="shared" si="5"/>
        <v>40</v>
      </c>
      <c r="B49" s="51" t="s">
        <v>102</v>
      </c>
      <c r="C49" s="29">
        <v>50</v>
      </c>
      <c r="D49" s="58" t="s">
        <v>103</v>
      </c>
      <c r="E49" s="17">
        <v>2091</v>
      </c>
      <c r="F49" s="29">
        <f t="shared" si="3"/>
        <v>104550</v>
      </c>
      <c r="G49" s="29">
        <v>0</v>
      </c>
      <c r="H49" s="41">
        <f t="shared" si="6"/>
        <v>104550</v>
      </c>
      <c r="I49" s="29" t="s">
        <v>104</v>
      </c>
      <c r="J49" s="35"/>
    </row>
    <row r="50" s="7" customFormat="1" ht="120">
      <c r="A50" s="29">
        <f t="shared" si="5"/>
        <v>41</v>
      </c>
      <c r="B50" s="51" t="s">
        <v>105</v>
      </c>
      <c r="C50" s="29">
        <v>250</v>
      </c>
      <c r="D50" s="58" t="s">
        <v>106</v>
      </c>
      <c r="E50" s="17">
        <v>2123</v>
      </c>
      <c r="F50" s="29">
        <f t="shared" si="3"/>
        <v>530750</v>
      </c>
      <c r="G50" s="29">
        <v>0</v>
      </c>
      <c r="H50" s="41">
        <f t="shared" si="6"/>
        <v>530750</v>
      </c>
      <c r="I50" s="29" t="s">
        <v>107</v>
      </c>
      <c r="J50" s="35"/>
    </row>
    <row r="51" s="7" customFormat="1">
      <c r="A51" s="29"/>
      <c r="B51" s="51"/>
      <c r="C51" s="29"/>
      <c r="D51" s="58"/>
      <c r="E51" s="17"/>
      <c r="F51" s="29"/>
      <c r="G51" s="29"/>
      <c r="H51" s="41"/>
      <c r="I51" s="29"/>
      <c r="J51" s="35"/>
    </row>
    <row r="52">
      <c r="A52" s="29"/>
      <c r="B52" s="59"/>
      <c r="C52" s="29"/>
      <c r="D52" s="29"/>
      <c r="E52" s="29"/>
      <c r="F52" s="60"/>
      <c r="G52" s="60"/>
      <c r="H52" s="60"/>
      <c r="I52" s="29"/>
      <c r="J52" s="35"/>
    </row>
    <row r="53">
      <c r="A53" s="60" t="s">
        <v>108</v>
      </c>
      <c r="B53" s="61" t="s">
        <v>109</v>
      </c>
      <c r="C53" s="29"/>
      <c r="D53" s="29"/>
      <c r="E53" s="29"/>
      <c r="F53" s="60"/>
      <c r="G53" s="60"/>
      <c r="H53" s="62"/>
      <c r="I53" s="60"/>
      <c r="J53" s="35"/>
    </row>
    <row r="54" ht="56.25" customHeight="1">
      <c r="A54" s="29">
        <v>1</v>
      </c>
      <c r="B54" s="40" t="s">
        <v>110</v>
      </c>
      <c r="C54" s="29">
        <v>1</v>
      </c>
      <c r="D54" s="29" t="s">
        <v>111</v>
      </c>
      <c r="E54" s="29">
        <v>1472</v>
      </c>
      <c r="F54" s="29">
        <f>C54*E54</f>
        <v>1472</v>
      </c>
      <c r="G54" s="29">
        <v>0</v>
      </c>
      <c r="H54" s="41">
        <f>SUM(F54:G54)</f>
        <v>1472</v>
      </c>
      <c r="I54" s="29" t="s">
        <v>112</v>
      </c>
      <c r="J54" s="35"/>
    </row>
    <row r="55" ht="72">
      <c r="A55" s="29">
        <f>A54+1</f>
        <v>2</v>
      </c>
      <c r="B55" s="40" t="s">
        <v>113</v>
      </c>
      <c r="C55" s="29">
        <v>2</v>
      </c>
      <c r="D55" s="29" t="s">
        <v>111</v>
      </c>
      <c r="E55" s="29">
        <v>98750</v>
      </c>
      <c r="F55" s="29">
        <f t="shared" ref="F55:F107" si="7">C55*E55</f>
        <v>197500</v>
      </c>
      <c r="G55" s="29">
        <v>0</v>
      </c>
      <c r="H55" s="41">
        <f t="shared" ref="H55:H107" si="8">SUM(F55:G55)</f>
        <v>197500</v>
      </c>
      <c r="I55" s="29" t="s">
        <v>114</v>
      </c>
      <c r="J55" s="35"/>
    </row>
    <row r="56" s="5" customFormat="1" ht="72">
      <c r="A56" s="29">
        <f t="shared" ref="A56:A93" si="9">A55+1</f>
        <v>3</v>
      </c>
      <c r="B56" s="63" t="s">
        <v>115</v>
      </c>
      <c r="C56" s="27">
        <v>25</v>
      </c>
      <c r="D56" s="27" t="s">
        <v>116</v>
      </c>
      <c r="E56" s="27">
        <v>358</v>
      </c>
      <c r="F56" s="29">
        <f t="shared" si="7"/>
        <v>8950</v>
      </c>
      <c r="G56" s="29">
        <v>0</v>
      </c>
      <c r="H56" s="41">
        <f t="shared" si="8"/>
        <v>8950</v>
      </c>
      <c r="I56" s="29" t="s">
        <v>117</v>
      </c>
      <c r="J56" s="64"/>
    </row>
    <row r="57" s="5" customFormat="1" ht="132">
      <c r="A57" s="29">
        <f t="shared" si="9"/>
        <v>4</v>
      </c>
      <c r="B57" s="63" t="s">
        <v>118</v>
      </c>
      <c r="C57" s="27">
        <v>25</v>
      </c>
      <c r="D57" s="27" t="s">
        <v>116</v>
      </c>
      <c r="E57" s="27">
        <v>289</v>
      </c>
      <c r="F57" s="29">
        <f t="shared" si="7"/>
        <v>7225</v>
      </c>
      <c r="G57" s="29">
        <v>0</v>
      </c>
      <c r="H57" s="41">
        <f t="shared" si="8"/>
        <v>7225</v>
      </c>
      <c r="I57" s="29" t="s">
        <v>119</v>
      </c>
      <c r="J57" s="64"/>
    </row>
    <row r="58" ht="72">
      <c r="A58" s="29">
        <f t="shared" si="9"/>
        <v>5</v>
      </c>
      <c r="B58" s="40" t="s">
        <v>120</v>
      </c>
      <c r="C58" s="29">
        <v>50</v>
      </c>
      <c r="D58" s="29" t="s">
        <v>116</v>
      </c>
      <c r="E58" s="29">
        <v>2264</v>
      </c>
      <c r="F58" s="29">
        <f t="shared" si="7"/>
        <v>113200</v>
      </c>
      <c r="G58" s="29">
        <v>0</v>
      </c>
      <c r="H58" s="41">
        <f t="shared" si="8"/>
        <v>113200</v>
      </c>
      <c r="I58" s="29" t="s">
        <v>121</v>
      </c>
      <c r="J58" s="35"/>
    </row>
    <row r="59" ht="48">
      <c r="A59" s="29">
        <f t="shared" si="9"/>
        <v>6</v>
      </c>
      <c r="B59" s="40" t="s">
        <v>122</v>
      </c>
      <c r="C59" s="29">
        <v>50</v>
      </c>
      <c r="D59" s="29" t="s">
        <v>116</v>
      </c>
      <c r="E59" s="29">
        <v>1139</v>
      </c>
      <c r="F59" s="29">
        <f t="shared" si="7"/>
        <v>56950</v>
      </c>
      <c r="G59" s="29">
        <v>0</v>
      </c>
      <c r="H59" s="41">
        <f t="shared" si="8"/>
        <v>56950</v>
      </c>
      <c r="I59" s="29" t="s">
        <v>121</v>
      </c>
      <c r="J59" s="35"/>
    </row>
    <row r="60" ht="48">
      <c r="A60" s="29">
        <f t="shared" si="9"/>
        <v>7</v>
      </c>
      <c r="B60" s="38" t="s">
        <v>123</v>
      </c>
      <c r="C60" s="29">
        <v>10000</v>
      </c>
      <c r="D60" s="29" t="s">
        <v>116</v>
      </c>
      <c r="E60" s="29">
        <v>7</v>
      </c>
      <c r="F60" s="29">
        <f t="shared" si="7"/>
        <v>70000</v>
      </c>
      <c r="G60" s="29">
        <v>0</v>
      </c>
      <c r="H60" s="41">
        <f t="shared" si="8"/>
        <v>70000</v>
      </c>
      <c r="I60" s="29" t="s">
        <v>124</v>
      </c>
      <c r="J60" s="35"/>
    </row>
    <row r="61" ht="73.5" customHeight="1">
      <c r="A61" s="29">
        <f t="shared" si="9"/>
        <v>8</v>
      </c>
      <c r="B61" s="40" t="s">
        <v>125</v>
      </c>
      <c r="C61" s="29">
        <v>5</v>
      </c>
      <c r="D61" s="29" t="s">
        <v>31</v>
      </c>
      <c r="E61" s="29">
        <v>1796</v>
      </c>
      <c r="F61" s="29">
        <f t="shared" si="7"/>
        <v>8980</v>
      </c>
      <c r="G61" s="29">
        <v>0</v>
      </c>
      <c r="H61" s="41">
        <f t="shared" si="8"/>
        <v>8980</v>
      </c>
      <c r="I61" s="29" t="s">
        <v>126</v>
      </c>
      <c r="J61" s="35"/>
    </row>
    <row r="62" ht="67.5" customHeight="1">
      <c r="A62" s="29">
        <f t="shared" si="9"/>
        <v>9</v>
      </c>
      <c r="B62" s="40" t="s">
        <v>127</v>
      </c>
      <c r="C62" s="29">
        <v>25</v>
      </c>
      <c r="D62" s="29" t="s">
        <v>116</v>
      </c>
      <c r="E62" s="29">
        <v>1993</v>
      </c>
      <c r="F62" s="29">
        <f t="shared" si="7"/>
        <v>49825</v>
      </c>
      <c r="G62" s="29">
        <v>0</v>
      </c>
      <c r="H62" s="41">
        <f t="shared" si="8"/>
        <v>49825</v>
      </c>
      <c r="I62" s="29" t="s">
        <v>128</v>
      </c>
      <c r="J62" s="35"/>
    </row>
    <row r="63" ht="64.5" customHeight="1">
      <c r="A63" s="29">
        <f t="shared" si="9"/>
        <v>10</v>
      </c>
      <c r="B63" s="40" t="s">
        <v>129</v>
      </c>
      <c r="C63" s="29">
        <v>25</v>
      </c>
      <c r="D63" s="29" t="s">
        <v>130</v>
      </c>
      <c r="E63" s="45">
        <v>1204</v>
      </c>
      <c r="F63" s="29">
        <f t="shared" si="7"/>
        <v>30100</v>
      </c>
      <c r="G63" s="29">
        <v>0</v>
      </c>
      <c r="H63" s="41">
        <f t="shared" si="8"/>
        <v>30100</v>
      </c>
      <c r="I63" s="29" t="s">
        <v>131</v>
      </c>
      <c r="J63" s="35"/>
    </row>
    <row r="64" ht="72.75" customHeight="1">
      <c r="A64" s="29">
        <f t="shared" si="9"/>
        <v>11</v>
      </c>
      <c r="B64" s="40" t="s">
        <v>132</v>
      </c>
      <c r="C64" s="29">
        <v>10</v>
      </c>
      <c r="D64" s="29" t="s">
        <v>133</v>
      </c>
      <c r="E64" s="29">
        <v>5007</v>
      </c>
      <c r="F64" s="29">
        <f t="shared" si="7"/>
        <v>50070</v>
      </c>
      <c r="G64" s="29">
        <v>0</v>
      </c>
      <c r="H64" s="41">
        <f t="shared" si="8"/>
        <v>50070</v>
      </c>
      <c r="I64" s="29" t="s">
        <v>134</v>
      </c>
      <c r="J64" s="35"/>
    </row>
    <row r="65" ht="60">
      <c r="A65" s="29">
        <f t="shared" si="9"/>
        <v>12</v>
      </c>
      <c r="B65" s="40" t="s">
        <v>135</v>
      </c>
      <c r="C65" s="29">
        <v>5</v>
      </c>
      <c r="D65" s="29" t="s">
        <v>130</v>
      </c>
      <c r="E65" s="41">
        <v>15324</v>
      </c>
      <c r="F65" s="29">
        <f t="shared" si="7"/>
        <v>76620</v>
      </c>
      <c r="G65" s="29">
        <v>0</v>
      </c>
      <c r="H65" s="41">
        <f t="shared" si="8"/>
        <v>76620</v>
      </c>
      <c r="I65" s="29" t="s">
        <v>136</v>
      </c>
      <c r="J65" s="35"/>
    </row>
    <row r="66" ht="60">
      <c r="A66" s="29">
        <f t="shared" si="9"/>
        <v>13</v>
      </c>
      <c r="B66" s="40" t="s">
        <v>137</v>
      </c>
      <c r="C66" s="29">
        <v>5</v>
      </c>
      <c r="D66" s="29" t="s">
        <v>130</v>
      </c>
      <c r="E66" s="41">
        <v>10809</v>
      </c>
      <c r="F66" s="29">
        <f t="shared" si="7"/>
        <v>54045</v>
      </c>
      <c r="G66" s="29">
        <v>0</v>
      </c>
      <c r="H66" s="41">
        <f t="shared" si="8"/>
        <v>54045</v>
      </c>
      <c r="I66" s="29" t="s">
        <v>138</v>
      </c>
      <c r="J66" s="35"/>
    </row>
    <row r="67" ht="48">
      <c r="A67" s="29">
        <f t="shared" si="9"/>
        <v>14</v>
      </c>
      <c r="B67" s="40" t="s">
        <v>139</v>
      </c>
      <c r="C67" s="29">
        <v>10</v>
      </c>
      <c r="D67" s="29" t="s">
        <v>140</v>
      </c>
      <c r="E67" s="29">
        <v>178</v>
      </c>
      <c r="F67" s="29">
        <f t="shared" si="7"/>
        <v>1780</v>
      </c>
      <c r="G67" s="29">
        <v>0</v>
      </c>
      <c r="H67" s="41">
        <f t="shared" si="8"/>
        <v>1780</v>
      </c>
      <c r="I67" s="29" t="s">
        <v>141</v>
      </c>
      <c r="J67" s="35"/>
    </row>
    <row r="68" ht="108">
      <c r="A68" s="29">
        <f t="shared" si="9"/>
        <v>15</v>
      </c>
      <c r="B68" s="40" t="s">
        <v>142</v>
      </c>
      <c r="C68" s="29">
        <v>25</v>
      </c>
      <c r="D68" s="29" t="s">
        <v>143</v>
      </c>
      <c r="E68" s="29">
        <v>183</v>
      </c>
      <c r="F68" s="29">
        <f t="shared" si="7"/>
        <v>4575</v>
      </c>
      <c r="G68" s="29">
        <v>0</v>
      </c>
      <c r="H68" s="41">
        <f t="shared" si="8"/>
        <v>4575</v>
      </c>
      <c r="I68" s="29" t="s">
        <v>144</v>
      </c>
      <c r="J68" s="35"/>
    </row>
    <row r="69" s="8" customFormat="1" ht="60">
      <c r="A69" s="29">
        <f t="shared" si="9"/>
        <v>16</v>
      </c>
      <c r="B69" s="40" t="s">
        <v>145</v>
      </c>
      <c r="C69" s="27">
        <v>25</v>
      </c>
      <c r="D69" s="27" t="s">
        <v>146</v>
      </c>
      <c r="E69" s="65">
        <v>228</v>
      </c>
      <c r="F69" s="29">
        <f t="shared" si="7"/>
        <v>5700</v>
      </c>
      <c r="G69" s="29">
        <v>0</v>
      </c>
      <c r="H69" s="41">
        <f t="shared" si="8"/>
        <v>5700</v>
      </c>
      <c r="I69" s="66" t="s">
        <v>147</v>
      </c>
      <c r="J69" s="64"/>
      <c r="K69" s="3"/>
      <c r="L69" s="3"/>
      <c r="M69" s="3"/>
      <c r="N69" s="3"/>
      <c r="O69" s="3"/>
      <c r="P69" s="3"/>
      <c r="Q69" s="3"/>
      <c r="R69" s="3"/>
      <c r="S69" s="3"/>
      <c r="T69" s="3"/>
      <c r="U69" s="3"/>
      <c r="V69" s="3"/>
      <c r="W69" s="3"/>
      <c r="X69" s="3"/>
      <c r="Y69" s="3"/>
      <c r="Z69" s="3"/>
      <c r="AA69" s="3"/>
      <c r="AB69" s="3"/>
      <c r="AC69" s="3"/>
      <c r="AD69" s="3"/>
      <c r="AE69" s="3"/>
      <c r="AF69" s="3"/>
      <c r="AG69" s="3"/>
      <c r="AJ69" s="3"/>
      <c r="AK69" s="3"/>
      <c r="AL69" s="3"/>
      <c r="AM69" s="3"/>
      <c r="AN69" s="3"/>
      <c r="AP69" s="16"/>
      <c r="AQ69" s="16"/>
      <c r="AR69" s="16"/>
      <c r="AS69" s="16"/>
      <c r="AT69" s="16"/>
      <c r="AU69" s="16"/>
      <c r="AV69" s="16"/>
      <c r="AW69" s="16"/>
      <c r="AX69" s="16"/>
      <c r="AY69" s="67"/>
      <c r="AZ69" s="67"/>
      <c r="BA69" s="67"/>
      <c r="BB69" s="67"/>
      <c r="BC69" s="67"/>
      <c r="BD69" s="67"/>
      <c r="BE69" s="67"/>
    </row>
    <row r="70" s="9" customFormat="1" ht="72">
      <c r="A70" s="29">
        <f t="shared" si="9"/>
        <v>17</v>
      </c>
      <c r="B70" s="40" t="s">
        <v>148</v>
      </c>
      <c r="C70" s="27">
        <v>13</v>
      </c>
      <c r="D70" s="27" t="s">
        <v>146</v>
      </c>
      <c r="E70" s="68">
        <v>301</v>
      </c>
      <c r="F70" s="29">
        <f t="shared" si="7"/>
        <v>3913</v>
      </c>
      <c r="G70" s="29">
        <v>0</v>
      </c>
      <c r="H70" s="41">
        <f t="shared" si="8"/>
        <v>3913</v>
      </c>
      <c r="I70" s="66" t="s">
        <v>149</v>
      </c>
      <c r="J70" s="64"/>
      <c r="K70" s="69"/>
      <c r="L70" s="69"/>
      <c r="M70" s="69"/>
      <c r="N70" s="69"/>
      <c r="O70" s="69"/>
      <c r="P70" s="69"/>
      <c r="Q70" s="69"/>
      <c r="R70" s="69"/>
      <c r="S70" s="69"/>
      <c r="T70" s="69"/>
      <c r="U70" s="69"/>
      <c r="V70" s="69"/>
      <c r="W70" s="69"/>
      <c r="X70" s="69"/>
      <c r="Y70" s="69"/>
      <c r="Z70" s="69"/>
      <c r="AA70" s="69"/>
      <c r="AB70" s="69"/>
      <c r="AC70" s="69"/>
      <c r="AD70" s="69"/>
      <c r="AE70" s="69"/>
      <c r="AF70" s="69"/>
      <c r="AG70" s="69"/>
      <c r="AJ70" s="69"/>
      <c r="AK70" s="69"/>
      <c r="AL70" s="69"/>
      <c r="AM70" s="69"/>
      <c r="AN70" s="69"/>
      <c r="AP70" s="70"/>
      <c r="AQ70" s="70"/>
      <c r="AR70" s="70"/>
      <c r="AS70" s="70"/>
      <c r="AT70" s="70"/>
      <c r="AU70" s="70"/>
      <c r="AV70" s="70"/>
      <c r="AW70" s="70"/>
      <c r="AX70" s="70"/>
      <c r="AY70" s="71"/>
      <c r="AZ70" s="71"/>
      <c r="BA70" s="71"/>
      <c r="BB70" s="71"/>
      <c r="BC70" s="71"/>
      <c r="BD70" s="71"/>
      <c r="BE70" s="71"/>
    </row>
    <row r="71" s="8" customFormat="1" ht="60">
      <c r="A71" s="29">
        <f t="shared" si="9"/>
        <v>18</v>
      </c>
      <c r="B71" s="40" t="s">
        <v>150</v>
      </c>
      <c r="C71" s="27">
        <v>5</v>
      </c>
      <c r="D71" s="27" t="s">
        <v>146</v>
      </c>
      <c r="E71" s="65">
        <v>145</v>
      </c>
      <c r="F71" s="29">
        <f t="shared" si="7"/>
        <v>725</v>
      </c>
      <c r="G71" s="29">
        <v>0</v>
      </c>
      <c r="H71" s="41">
        <f t="shared" si="8"/>
        <v>725</v>
      </c>
      <c r="I71" s="66" t="s">
        <v>151</v>
      </c>
      <c r="J71" s="64"/>
      <c r="K71" s="3"/>
      <c r="L71" s="3"/>
      <c r="M71" s="3"/>
      <c r="N71" s="3"/>
      <c r="O71" s="3"/>
      <c r="P71" s="3"/>
      <c r="Q71" s="3"/>
      <c r="R71" s="3"/>
      <c r="S71" s="3"/>
      <c r="T71" s="3"/>
      <c r="U71" s="3"/>
      <c r="V71" s="3"/>
      <c r="W71" s="3"/>
      <c r="X71" s="3"/>
      <c r="Y71" s="3"/>
      <c r="Z71" s="3"/>
      <c r="AA71" s="3"/>
      <c r="AB71" s="3"/>
      <c r="AC71" s="3"/>
      <c r="AD71" s="3"/>
      <c r="AE71" s="3"/>
      <c r="AF71" s="3"/>
      <c r="AG71" s="3"/>
      <c r="AJ71" s="3"/>
      <c r="AK71" s="3"/>
      <c r="AL71" s="3"/>
      <c r="AM71" s="3"/>
      <c r="AN71" s="3"/>
      <c r="AP71" s="16"/>
      <c r="AQ71" s="16"/>
      <c r="AR71" s="16"/>
      <c r="AS71" s="16"/>
      <c r="AT71" s="16"/>
      <c r="AU71" s="16"/>
      <c r="AV71" s="16"/>
      <c r="AW71" s="16"/>
      <c r="AX71" s="16"/>
      <c r="AY71" s="67"/>
      <c r="AZ71" s="67"/>
      <c r="BA71" s="67"/>
      <c r="BB71" s="67"/>
      <c r="BC71" s="67"/>
      <c r="BD71" s="67"/>
      <c r="BE71" s="67"/>
    </row>
    <row r="72" s="8" customFormat="1" ht="60">
      <c r="A72" s="29">
        <f t="shared" si="9"/>
        <v>19</v>
      </c>
      <c r="B72" s="40" t="s">
        <v>152</v>
      </c>
      <c r="C72" s="27">
        <v>5</v>
      </c>
      <c r="D72" s="27" t="s">
        <v>146</v>
      </c>
      <c r="E72" s="65">
        <v>88</v>
      </c>
      <c r="F72" s="29">
        <f t="shared" si="7"/>
        <v>440</v>
      </c>
      <c r="G72" s="29">
        <v>0</v>
      </c>
      <c r="H72" s="41">
        <f t="shared" si="8"/>
        <v>440</v>
      </c>
      <c r="I72" s="66" t="s">
        <v>153</v>
      </c>
      <c r="J72" s="64"/>
      <c r="K72" s="3"/>
      <c r="L72" s="3"/>
      <c r="M72" s="3"/>
      <c r="N72" s="3"/>
      <c r="O72" s="3"/>
      <c r="P72" s="3"/>
      <c r="Q72" s="3"/>
      <c r="R72" s="3"/>
      <c r="S72" s="3"/>
      <c r="T72" s="3"/>
      <c r="U72" s="3"/>
      <c r="V72" s="3"/>
      <c r="W72" s="3"/>
      <c r="X72" s="3"/>
      <c r="Y72" s="3"/>
      <c r="Z72" s="3"/>
      <c r="AA72" s="3"/>
      <c r="AB72" s="3"/>
      <c r="AC72" s="3"/>
      <c r="AD72" s="3"/>
      <c r="AE72" s="3"/>
      <c r="AF72" s="3"/>
      <c r="AG72" s="3"/>
      <c r="AJ72" s="3"/>
      <c r="AK72" s="3"/>
      <c r="AL72" s="3"/>
      <c r="AM72" s="3"/>
      <c r="AN72" s="3"/>
      <c r="AP72" s="16"/>
      <c r="AQ72" s="16"/>
      <c r="AR72" s="16"/>
      <c r="AS72" s="16"/>
      <c r="AT72" s="16"/>
      <c r="AU72" s="16"/>
      <c r="AV72" s="16"/>
      <c r="AW72" s="16"/>
      <c r="AX72" s="16"/>
      <c r="AY72" s="67"/>
      <c r="AZ72" s="67"/>
      <c r="BA72" s="67"/>
      <c r="BB72" s="67"/>
      <c r="BC72" s="67"/>
      <c r="BD72" s="67"/>
      <c r="BE72" s="67"/>
    </row>
    <row r="73" s="8" customFormat="1" ht="72">
      <c r="A73" s="29">
        <f t="shared" si="9"/>
        <v>20</v>
      </c>
      <c r="B73" s="40" t="s">
        <v>154</v>
      </c>
      <c r="C73" s="27">
        <v>5</v>
      </c>
      <c r="D73" s="27" t="s">
        <v>146</v>
      </c>
      <c r="E73" s="65">
        <v>203</v>
      </c>
      <c r="F73" s="29">
        <f t="shared" si="7"/>
        <v>1015</v>
      </c>
      <c r="G73" s="29">
        <v>0</v>
      </c>
      <c r="H73" s="41">
        <f t="shared" si="8"/>
        <v>1015</v>
      </c>
      <c r="I73" s="66" t="s">
        <v>155</v>
      </c>
      <c r="J73" s="64"/>
      <c r="K73" s="3"/>
      <c r="L73" s="3"/>
      <c r="M73" s="3"/>
      <c r="N73" s="3"/>
      <c r="O73" s="3"/>
      <c r="P73" s="3"/>
      <c r="Q73" s="3"/>
      <c r="R73" s="3"/>
      <c r="S73" s="3"/>
      <c r="T73" s="3"/>
      <c r="U73" s="3"/>
      <c r="V73" s="3"/>
      <c r="W73" s="3"/>
      <c r="X73" s="3"/>
      <c r="Y73" s="3"/>
      <c r="Z73" s="3"/>
      <c r="AA73" s="3"/>
      <c r="AB73" s="3"/>
      <c r="AC73" s="3"/>
      <c r="AD73" s="3"/>
      <c r="AE73" s="3"/>
      <c r="AF73" s="3"/>
      <c r="AG73" s="3"/>
      <c r="AJ73" s="3"/>
      <c r="AK73" s="3"/>
      <c r="AL73" s="3"/>
      <c r="AM73" s="3"/>
      <c r="AN73" s="3"/>
      <c r="AP73" s="16"/>
      <c r="AQ73" s="16"/>
      <c r="AR73" s="16"/>
      <c r="AS73" s="16"/>
      <c r="AT73" s="16"/>
      <c r="AU73" s="16"/>
      <c r="AV73" s="16"/>
      <c r="AW73" s="16"/>
      <c r="AX73" s="16"/>
      <c r="AY73" s="67"/>
      <c r="AZ73" s="67"/>
      <c r="BA73" s="67"/>
      <c r="BB73" s="67"/>
      <c r="BC73" s="67"/>
      <c r="BD73" s="67"/>
      <c r="BE73" s="67"/>
    </row>
    <row r="74" s="10" customFormat="1" ht="48">
      <c r="A74" s="29">
        <f t="shared" si="9"/>
        <v>21</v>
      </c>
      <c r="B74" s="40" t="s">
        <v>156</v>
      </c>
      <c r="C74" s="66">
        <v>5</v>
      </c>
      <c r="D74" s="66" t="s">
        <v>157</v>
      </c>
      <c r="E74" s="66">
        <v>510</v>
      </c>
      <c r="F74" s="29">
        <f t="shared" si="7"/>
        <v>2550</v>
      </c>
      <c r="G74" s="29">
        <v>0</v>
      </c>
      <c r="H74" s="41">
        <f t="shared" si="8"/>
        <v>2550</v>
      </c>
      <c r="I74" s="66" t="s">
        <v>158</v>
      </c>
      <c r="J74" s="72"/>
    </row>
    <row r="75" ht="48">
      <c r="A75" s="29">
        <f t="shared" si="9"/>
        <v>22</v>
      </c>
      <c r="B75" s="40" t="s">
        <v>159</v>
      </c>
      <c r="C75" s="29">
        <v>5</v>
      </c>
      <c r="D75" s="29" t="s">
        <v>157</v>
      </c>
      <c r="E75" s="29">
        <v>452</v>
      </c>
      <c r="F75" s="29">
        <f t="shared" si="7"/>
        <v>2260</v>
      </c>
      <c r="G75" s="29">
        <v>0</v>
      </c>
      <c r="H75" s="41">
        <f t="shared" si="8"/>
        <v>2260</v>
      </c>
      <c r="I75" s="29" t="s">
        <v>160</v>
      </c>
      <c r="J75" s="35"/>
    </row>
    <row r="76" ht="72">
      <c r="A76" s="29">
        <f t="shared" si="9"/>
        <v>23</v>
      </c>
      <c r="B76" s="40" t="s">
        <v>161</v>
      </c>
      <c r="C76" s="29">
        <v>3500</v>
      </c>
      <c r="D76" s="29" t="s">
        <v>162</v>
      </c>
      <c r="E76" s="41">
        <v>14</v>
      </c>
      <c r="F76" s="29">
        <f t="shared" si="7"/>
        <v>49000</v>
      </c>
      <c r="G76" s="29">
        <v>0</v>
      </c>
      <c r="H76" s="41">
        <f t="shared" si="8"/>
        <v>49000</v>
      </c>
      <c r="I76" s="29" t="s">
        <v>163</v>
      </c>
      <c r="J76" s="35"/>
    </row>
    <row r="77" ht="60">
      <c r="A77" s="29">
        <f t="shared" si="9"/>
        <v>24</v>
      </c>
      <c r="B77" s="40" t="s">
        <v>164</v>
      </c>
      <c r="C77" s="29">
        <v>15</v>
      </c>
      <c r="D77" s="29" t="s">
        <v>165</v>
      </c>
      <c r="E77" s="29">
        <v>338</v>
      </c>
      <c r="F77" s="29">
        <f t="shared" si="7"/>
        <v>5070</v>
      </c>
      <c r="G77" s="29">
        <v>0</v>
      </c>
      <c r="H77" s="41">
        <f t="shared" si="8"/>
        <v>5070</v>
      </c>
      <c r="I77" s="29" t="s">
        <v>166</v>
      </c>
      <c r="J77" s="35"/>
    </row>
    <row r="78" ht="60">
      <c r="A78" s="29">
        <f t="shared" si="9"/>
        <v>25</v>
      </c>
      <c r="B78" s="40" t="s">
        <v>167</v>
      </c>
      <c r="C78" s="29">
        <v>10</v>
      </c>
      <c r="D78" s="29" t="s">
        <v>31</v>
      </c>
      <c r="E78" s="29">
        <v>6652</v>
      </c>
      <c r="F78" s="29">
        <f t="shared" si="7"/>
        <v>66520</v>
      </c>
      <c r="G78" s="29">
        <v>0</v>
      </c>
      <c r="H78" s="41">
        <f t="shared" si="8"/>
        <v>66520</v>
      </c>
      <c r="I78" s="29" t="s">
        <v>168</v>
      </c>
      <c r="J78" s="35"/>
    </row>
    <row r="79" ht="36">
      <c r="A79" s="29">
        <f t="shared" si="9"/>
        <v>26</v>
      </c>
      <c r="B79" s="38" t="s">
        <v>169</v>
      </c>
      <c r="C79" s="29">
        <v>50</v>
      </c>
      <c r="D79" s="29" t="s">
        <v>170</v>
      </c>
      <c r="E79" s="29">
        <v>31</v>
      </c>
      <c r="F79" s="29">
        <f t="shared" si="7"/>
        <v>1550</v>
      </c>
      <c r="G79" s="29">
        <v>0</v>
      </c>
      <c r="H79" s="41">
        <f t="shared" si="8"/>
        <v>1550</v>
      </c>
      <c r="I79" s="29" t="s">
        <v>171</v>
      </c>
      <c r="J79" s="35"/>
    </row>
    <row r="80" ht="71.25" customHeight="1">
      <c r="A80" s="29">
        <f t="shared" si="9"/>
        <v>27</v>
      </c>
      <c r="B80" s="38" t="s">
        <v>172</v>
      </c>
      <c r="C80" s="29">
        <v>50</v>
      </c>
      <c r="D80" s="29" t="s">
        <v>116</v>
      </c>
      <c r="E80" s="29">
        <v>294</v>
      </c>
      <c r="F80" s="29">
        <f t="shared" si="7"/>
        <v>14700</v>
      </c>
      <c r="G80" s="29">
        <v>0</v>
      </c>
      <c r="H80" s="41">
        <f t="shared" si="8"/>
        <v>14700</v>
      </c>
      <c r="I80" s="29" t="s">
        <v>173</v>
      </c>
      <c r="J80" s="35"/>
    </row>
    <row r="81" ht="71.25" customHeight="1">
      <c r="A81" s="29">
        <f t="shared" si="9"/>
        <v>28</v>
      </c>
      <c r="B81" s="38" t="s">
        <v>174</v>
      </c>
      <c r="C81" s="29">
        <v>50</v>
      </c>
      <c r="D81" s="29" t="s">
        <v>175</v>
      </c>
      <c r="E81" s="29">
        <v>349</v>
      </c>
      <c r="F81" s="29">
        <f t="shared" si="7"/>
        <v>17450</v>
      </c>
      <c r="G81" s="29">
        <v>0</v>
      </c>
      <c r="H81" s="41">
        <f t="shared" si="8"/>
        <v>17450</v>
      </c>
      <c r="I81" s="29" t="s">
        <v>176</v>
      </c>
      <c r="J81" s="35"/>
    </row>
    <row r="82" ht="37.5" customHeight="1">
      <c r="A82" s="29">
        <f t="shared" si="9"/>
        <v>29</v>
      </c>
      <c r="B82" s="73" t="s">
        <v>177</v>
      </c>
      <c r="C82" s="29">
        <v>1</v>
      </c>
      <c r="D82" s="74" t="s">
        <v>31</v>
      </c>
      <c r="E82" s="74">
        <v>15360</v>
      </c>
      <c r="F82" s="29">
        <f t="shared" si="7"/>
        <v>15360</v>
      </c>
      <c r="G82" s="29">
        <v>0</v>
      </c>
      <c r="H82" s="41">
        <f t="shared" si="8"/>
        <v>15360</v>
      </c>
      <c r="I82" s="29" t="s">
        <v>178</v>
      </c>
      <c r="J82" s="35"/>
    </row>
    <row r="83" ht="36">
      <c r="A83" s="29">
        <f t="shared" si="9"/>
        <v>30</v>
      </c>
      <c r="B83" s="40" t="s">
        <v>179</v>
      </c>
      <c r="C83" s="29">
        <v>1</v>
      </c>
      <c r="D83" s="74" t="s">
        <v>31</v>
      </c>
      <c r="E83" s="29">
        <v>6805</v>
      </c>
      <c r="F83" s="29">
        <f t="shared" si="7"/>
        <v>6805</v>
      </c>
      <c r="G83" s="29">
        <v>0</v>
      </c>
      <c r="H83" s="41">
        <f t="shared" si="8"/>
        <v>6805</v>
      </c>
      <c r="I83" s="29" t="s">
        <v>180</v>
      </c>
      <c r="J83" s="35"/>
    </row>
    <row r="84" ht="48">
      <c r="A84" s="29">
        <f t="shared" si="9"/>
        <v>31</v>
      </c>
      <c r="B84" s="40" t="s">
        <v>181</v>
      </c>
      <c r="C84" s="29">
        <v>1</v>
      </c>
      <c r="D84" s="74" t="s">
        <v>31</v>
      </c>
      <c r="E84" s="29">
        <v>487</v>
      </c>
      <c r="F84" s="29">
        <f t="shared" si="7"/>
        <v>487</v>
      </c>
      <c r="G84" s="29">
        <v>0</v>
      </c>
      <c r="H84" s="41">
        <f t="shared" si="8"/>
        <v>487</v>
      </c>
      <c r="I84" s="29" t="s">
        <v>182</v>
      </c>
      <c r="J84" s="35"/>
    </row>
    <row r="85" ht="60">
      <c r="A85" s="29">
        <f t="shared" si="9"/>
        <v>32</v>
      </c>
      <c r="B85" s="40" t="s">
        <v>183</v>
      </c>
      <c r="C85" s="29">
        <v>1</v>
      </c>
      <c r="D85" s="29" t="s">
        <v>31</v>
      </c>
      <c r="E85" s="29">
        <v>6460</v>
      </c>
      <c r="F85" s="29">
        <f t="shared" si="7"/>
        <v>6460</v>
      </c>
      <c r="G85" s="29">
        <v>0</v>
      </c>
      <c r="H85" s="41">
        <f t="shared" si="8"/>
        <v>6460</v>
      </c>
      <c r="I85" s="29" t="s">
        <v>184</v>
      </c>
      <c r="J85" s="35"/>
    </row>
    <row r="86" ht="36">
      <c r="A86" s="29">
        <f t="shared" si="9"/>
        <v>33</v>
      </c>
      <c r="B86" s="40" t="s">
        <v>185</v>
      </c>
      <c r="C86" s="29">
        <v>5</v>
      </c>
      <c r="D86" s="29" t="s">
        <v>31</v>
      </c>
      <c r="E86" s="29">
        <v>1509</v>
      </c>
      <c r="F86" s="29">
        <f t="shared" si="7"/>
        <v>7545</v>
      </c>
      <c r="G86" s="29">
        <v>0</v>
      </c>
      <c r="H86" s="41">
        <f t="shared" si="8"/>
        <v>7545</v>
      </c>
      <c r="I86" s="29" t="s">
        <v>186</v>
      </c>
      <c r="J86" s="35"/>
    </row>
    <row r="87" ht="72">
      <c r="A87" s="29">
        <f t="shared" si="9"/>
        <v>34</v>
      </c>
      <c r="B87" s="40" t="s">
        <v>187</v>
      </c>
      <c r="C87" s="29">
        <v>100</v>
      </c>
      <c r="D87" s="29" t="s">
        <v>188</v>
      </c>
      <c r="E87" s="29">
        <v>134</v>
      </c>
      <c r="F87" s="29">
        <f t="shared" si="7"/>
        <v>13400</v>
      </c>
      <c r="G87" s="29">
        <v>0</v>
      </c>
      <c r="H87" s="41">
        <f t="shared" si="8"/>
        <v>13400</v>
      </c>
      <c r="I87" s="29" t="s">
        <v>189</v>
      </c>
      <c r="J87" s="35"/>
    </row>
    <row r="88" ht="48">
      <c r="A88" s="29">
        <f t="shared" si="9"/>
        <v>35</v>
      </c>
      <c r="B88" s="75" t="s">
        <v>190</v>
      </c>
      <c r="C88" s="29">
        <v>3</v>
      </c>
      <c r="D88" s="76" t="s">
        <v>60</v>
      </c>
      <c r="E88" s="76">
        <v>735</v>
      </c>
      <c r="F88" s="29">
        <f t="shared" si="7"/>
        <v>2205</v>
      </c>
      <c r="G88" s="29">
        <v>0</v>
      </c>
      <c r="H88" s="41">
        <f t="shared" si="8"/>
        <v>2205</v>
      </c>
      <c r="I88" s="77" t="s">
        <v>191</v>
      </c>
      <c r="J88" s="35"/>
    </row>
    <row r="89" ht="60">
      <c r="A89" s="29">
        <f t="shared" si="9"/>
        <v>36</v>
      </c>
      <c r="B89" s="75" t="s">
        <v>192</v>
      </c>
      <c r="C89" s="29">
        <v>1</v>
      </c>
      <c r="D89" s="76" t="s">
        <v>193</v>
      </c>
      <c r="E89" s="76">
        <v>155</v>
      </c>
      <c r="F89" s="29">
        <f t="shared" si="7"/>
        <v>155</v>
      </c>
      <c r="G89" s="29">
        <v>0</v>
      </c>
      <c r="H89" s="41">
        <f t="shared" si="8"/>
        <v>155</v>
      </c>
      <c r="I89" s="77"/>
      <c r="J89" s="35"/>
    </row>
    <row r="90" ht="56.25" customHeight="1">
      <c r="A90" s="29">
        <f t="shared" si="9"/>
        <v>37</v>
      </c>
      <c r="B90" s="75" t="s">
        <v>194</v>
      </c>
      <c r="C90" s="29">
        <v>30</v>
      </c>
      <c r="D90" s="76" t="s">
        <v>31</v>
      </c>
      <c r="E90" s="76">
        <v>8</v>
      </c>
      <c r="F90" s="29">
        <f t="shared" si="7"/>
        <v>240</v>
      </c>
      <c r="G90" s="29">
        <v>0</v>
      </c>
      <c r="H90" s="41">
        <f t="shared" si="8"/>
        <v>240</v>
      </c>
      <c r="I90" s="77"/>
      <c r="J90" s="35"/>
    </row>
    <row r="91" ht="48">
      <c r="A91" s="29">
        <f t="shared" si="9"/>
        <v>38</v>
      </c>
      <c r="B91" s="40" t="s">
        <v>195</v>
      </c>
      <c r="C91" s="29">
        <v>30</v>
      </c>
      <c r="D91" s="29" t="s">
        <v>31</v>
      </c>
      <c r="E91" s="29">
        <v>328</v>
      </c>
      <c r="F91" s="29">
        <f t="shared" si="7"/>
        <v>9840</v>
      </c>
      <c r="G91" s="29">
        <v>0</v>
      </c>
      <c r="H91" s="41">
        <f t="shared" si="8"/>
        <v>9840</v>
      </c>
      <c r="I91" s="29" t="s">
        <v>196</v>
      </c>
      <c r="J91" s="35"/>
    </row>
    <row r="92" ht="48">
      <c r="A92" s="29">
        <f t="shared" si="9"/>
        <v>39</v>
      </c>
      <c r="B92" s="40" t="s">
        <v>197</v>
      </c>
      <c r="C92" s="29">
        <v>4</v>
      </c>
      <c r="D92" s="29" t="s">
        <v>198</v>
      </c>
      <c r="E92" s="29">
        <v>1449</v>
      </c>
      <c r="F92" s="29">
        <f t="shared" si="7"/>
        <v>5796</v>
      </c>
      <c r="G92" s="29">
        <v>0</v>
      </c>
      <c r="H92" s="41">
        <f t="shared" si="8"/>
        <v>5796</v>
      </c>
      <c r="I92" s="29" t="s">
        <v>199</v>
      </c>
      <c r="J92" s="35"/>
    </row>
    <row r="93" ht="72">
      <c r="A93" s="29">
        <f t="shared" si="9"/>
        <v>40</v>
      </c>
      <c r="B93" s="78" t="s">
        <v>200</v>
      </c>
      <c r="C93" s="29">
        <v>1</v>
      </c>
      <c r="D93" s="79" t="s">
        <v>201</v>
      </c>
      <c r="E93" s="80">
        <v>319</v>
      </c>
      <c r="F93" s="29">
        <f t="shared" si="7"/>
        <v>319</v>
      </c>
      <c r="G93" s="29">
        <v>0</v>
      </c>
      <c r="H93" s="41">
        <f t="shared" si="8"/>
        <v>319</v>
      </c>
      <c r="I93" s="29" t="s">
        <v>202</v>
      </c>
      <c r="J93" s="35"/>
    </row>
    <row r="94" ht="60">
      <c r="A94" s="29"/>
      <c r="B94" s="78" t="s">
        <v>203</v>
      </c>
      <c r="C94" s="29">
        <v>1</v>
      </c>
      <c r="D94" s="29" t="s">
        <v>111</v>
      </c>
      <c r="E94" s="80">
        <v>98750</v>
      </c>
      <c r="F94" s="29">
        <f t="shared" si="7"/>
        <v>98750</v>
      </c>
      <c r="G94" s="29">
        <v>0</v>
      </c>
      <c r="H94" s="41">
        <f t="shared" si="8"/>
        <v>98750</v>
      </c>
      <c r="I94" s="29" t="s">
        <v>204</v>
      </c>
      <c r="J94" s="35"/>
    </row>
    <row r="95" ht="54" customHeight="1">
      <c r="A95" s="29">
        <f>A93+1</f>
        <v>41</v>
      </c>
      <c r="B95" s="81" t="s">
        <v>205</v>
      </c>
      <c r="C95" s="29">
        <v>2</v>
      </c>
      <c r="D95" s="29" t="s">
        <v>116</v>
      </c>
      <c r="E95" s="41">
        <v>2174</v>
      </c>
      <c r="F95" s="29">
        <f t="shared" si="7"/>
        <v>4348</v>
      </c>
      <c r="G95" s="29">
        <v>0</v>
      </c>
      <c r="H95" s="41">
        <f t="shared" si="8"/>
        <v>4348</v>
      </c>
      <c r="I95" s="29" t="s">
        <v>206</v>
      </c>
      <c r="J95" s="35"/>
      <c r="K95" s="14" t="e">
        <f>#REF!/#REF!</f>
        <v>#REF!</v>
      </c>
    </row>
    <row r="96" ht="76.5" customHeight="1">
      <c r="A96" s="29">
        <f t="shared" ref="A96:A107" si="10">A95+1</f>
        <v>42</v>
      </c>
      <c r="B96" s="81" t="s">
        <v>207</v>
      </c>
      <c r="C96" s="29">
        <v>50</v>
      </c>
      <c r="D96" s="41" t="s">
        <v>116</v>
      </c>
      <c r="E96" s="41">
        <v>294</v>
      </c>
      <c r="F96" s="29">
        <f t="shared" si="7"/>
        <v>14700</v>
      </c>
      <c r="G96" s="29">
        <v>0</v>
      </c>
      <c r="H96" s="41">
        <f t="shared" si="8"/>
        <v>14700</v>
      </c>
      <c r="I96" s="29" t="s">
        <v>173</v>
      </c>
      <c r="J96" s="35"/>
    </row>
    <row r="97" ht="72.75" customHeight="1">
      <c r="A97" s="29">
        <f t="shared" si="10"/>
        <v>43</v>
      </c>
      <c r="B97" s="81" t="s">
        <v>208</v>
      </c>
      <c r="C97" s="29">
        <v>25</v>
      </c>
      <c r="D97" s="41" t="s">
        <v>209</v>
      </c>
      <c r="E97" s="41">
        <v>2091</v>
      </c>
      <c r="F97" s="29">
        <f t="shared" si="7"/>
        <v>52275</v>
      </c>
      <c r="G97" s="29">
        <v>0</v>
      </c>
      <c r="H97" s="41">
        <f t="shared" si="8"/>
        <v>52275</v>
      </c>
      <c r="I97" s="29" t="s">
        <v>210</v>
      </c>
      <c r="J97" s="35"/>
    </row>
    <row r="98" ht="126.75" customHeight="1">
      <c r="A98" s="29">
        <f t="shared" si="10"/>
        <v>44</v>
      </c>
      <c r="B98" s="81" t="s">
        <v>211</v>
      </c>
      <c r="C98" s="29">
        <v>15</v>
      </c>
      <c r="D98" s="41" t="s">
        <v>106</v>
      </c>
      <c r="E98" s="41">
        <v>2123</v>
      </c>
      <c r="F98" s="29">
        <f t="shared" si="7"/>
        <v>31845</v>
      </c>
      <c r="G98" s="29">
        <v>0</v>
      </c>
      <c r="H98" s="41">
        <f t="shared" si="8"/>
        <v>31845</v>
      </c>
      <c r="I98" s="29" t="s">
        <v>212</v>
      </c>
      <c r="J98" s="35"/>
    </row>
    <row r="99" ht="124.5" customHeight="1">
      <c r="A99" s="29">
        <f t="shared" si="10"/>
        <v>45</v>
      </c>
      <c r="B99" s="81" t="s">
        <v>213</v>
      </c>
      <c r="C99" s="29">
        <v>50</v>
      </c>
      <c r="D99" s="41" t="s">
        <v>201</v>
      </c>
      <c r="E99" s="41">
        <v>505</v>
      </c>
      <c r="F99" s="29">
        <f t="shared" si="7"/>
        <v>25250</v>
      </c>
      <c r="G99" s="29">
        <v>0</v>
      </c>
      <c r="H99" s="41">
        <f t="shared" si="8"/>
        <v>25250</v>
      </c>
      <c r="I99" s="29" t="s">
        <v>214</v>
      </c>
      <c r="J99" s="35"/>
    </row>
    <row r="100" s="5" customFormat="1" ht="72">
      <c r="A100" s="29">
        <f t="shared" si="10"/>
        <v>46</v>
      </c>
      <c r="B100" s="3" t="s">
        <v>215</v>
      </c>
      <c r="C100" s="45">
        <v>10</v>
      </c>
      <c r="D100" s="27" t="s">
        <v>31</v>
      </c>
      <c r="E100" s="45">
        <v>776</v>
      </c>
      <c r="F100" s="29">
        <f t="shared" si="7"/>
        <v>7760</v>
      </c>
      <c r="G100" s="29">
        <v>0</v>
      </c>
      <c r="H100" s="41">
        <f t="shared" si="8"/>
        <v>7760</v>
      </c>
      <c r="I100" s="29" t="s">
        <v>216</v>
      </c>
      <c r="J100" s="50"/>
    </row>
    <row r="101" s="5" customFormat="1" ht="60">
      <c r="A101" s="29">
        <f t="shared" si="10"/>
        <v>47</v>
      </c>
      <c r="B101" s="3" t="s">
        <v>217</v>
      </c>
      <c r="C101" s="45">
        <v>1</v>
      </c>
      <c r="D101" s="27" t="s">
        <v>31</v>
      </c>
      <c r="E101" s="45">
        <v>2333</v>
      </c>
      <c r="F101" s="29">
        <f t="shared" si="7"/>
        <v>2333</v>
      </c>
      <c r="G101" s="29">
        <v>0</v>
      </c>
      <c r="H101" s="41">
        <f t="shared" si="8"/>
        <v>2333</v>
      </c>
      <c r="I101" s="29" t="s">
        <v>218</v>
      </c>
      <c r="J101" s="50"/>
    </row>
    <row r="102" s="5" customFormat="1" ht="60">
      <c r="A102" s="29">
        <f t="shared" si="10"/>
        <v>48</v>
      </c>
      <c r="B102" s="3" t="s">
        <v>219</v>
      </c>
      <c r="C102" s="45">
        <v>1</v>
      </c>
      <c r="D102" s="27" t="s">
        <v>31</v>
      </c>
      <c r="E102" s="45">
        <v>1662</v>
      </c>
      <c r="F102" s="29">
        <f t="shared" si="7"/>
        <v>1662</v>
      </c>
      <c r="G102" s="29">
        <v>0</v>
      </c>
      <c r="H102" s="41">
        <f t="shared" si="8"/>
        <v>1662</v>
      </c>
      <c r="I102" s="29" t="s">
        <v>220</v>
      </c>
      <c r="J102" s="50"/>
    </row>
    <row r="103" s="5" customFormat="1" ht="78" customHeight="1">
      <c r="A103" s="29">
        <f t="shared" si="10"/>
        <v>49</v>
      </c>
      <c r="B103" s="3" t="s">
        <v>221</v>
      </c>
      <c r="C103" s="45">
        <v>1</v>
      </c>
      <c r="D103" s="27" t="s">
        <v>31</v>
      </c>
      <c r="E103" s="45">
        <v>2042</v>
      </c>
      <c r="F103" s="29">
        <f t="shared" si="7"/>
        <v>2042</v>
      </c>
      <c r="G103" s="29">
        <v>0</v>
      </c>
      <c r="H103" s="41">
        <f t="shared" si="8"/>
        <v>2042</v>
      </c>
      <c r="I103" s="29" t="s">
        <v>222</v>
      </c>
      <c r="J103" s="50"/>
    </row>
    <row r="104" ht="60">
      <c r="A104" s="29">
        <f t="shared" si="10"/>
        <v>50</v>
      </c>
      <c r="B104" s="40" t="s">
        <v>223</v>
      </c>
      <c r="C104" s="29">
        <v>3</v>
      </c>
      <c r="D104" s="29" t="s">
        <v>31</v>
      </c>
      <c r="E104" s="29">
        <v>9398</v>
      </c>
      <c r="F104" s="29">
        <f t="shared" si="7"/>
        <v>28194</v>
      </c>
      <c r="G104" s="29">
        <v>0</v>
      </c>
      <c r="H104" s="41">
        <f t="shared" si="8"/>
        <v>28194</v>
      </c>
      <c r="I104" s="29" t="s">
        <v>224</v>
      </c>
      <c r="J104" s="35"/>
    </row>
    <row r="105" s="7" customFormat="1" ht="60">
      <c r="A105" s="29">
        <f t="shared" si="10"/>
        <v>51</v>
      </c>
      <c r="B105" s="51" t="s">
        <v>225</v>
      </c>
      <c r="C105" s="52">
        <v>1.5</v>
      </c>
      <c r="D105" s="52" t="s">
        <v>95</v>
      </c>
      <c r="E105" s="53">
        <v>7410</v>
      </c>
      <c r="F105" s="29">
        <f t="shared" si="7"/>
        <v>11115</v>
      </c>
      <c r="G105" s="29">
        <v>0</v>
      </c>
      <c r="H105" s="41">
        <f t="shared" si="8"/>
        <v>11115</v>
      </c>
      <c r="I105" s="29" t="s">
        <v>226</v>
      </c>
      <c r="J105" s="54"/>
    </row>
    <row r="106" s="7" customFormat="1" ht="60">
      <c r="A106" s="29">
        <f t="shared" si="10"/>
        <v>52</v>
      </c>
      <c r="B106" s="51" t="s">
        <v>227</v>
      </c>
      <c r="C106" s="52">
        <v>1.5</v>
      </c>
      <c r="D106" s="52" t="s">
        <v>228</v>
      </c>
      <c r="E106" s="53">
        <v>10956</v>
      </c>
      <c r="F106" s="29">
        <f t="shared" si="7"/>
        <v>16434</v>
      </c>
      <c r="G106" s="29">
        <v>0</v>
      </c>
      <c r="H106" s="41">
        <f t="shared" si="8"/>
        <v>16434</v>
      </c>
      <c r="I106" s="29" t="s">
        <v>229</v>
      </c>
      <c r="J106" s="54"/>
    </row>
    <row r="107" s="7" customFormat="1" ht="72">
      <c r="A107" s="29">
        <f t="shared" si="10"/>
        <v>53</v>
      </c>
      <c r="B107" s="51" t="s">
        <v>230</v>
      </c>
      <c r="C107" s="52">
        <v>3</v>
      </c>
      <c r="D107" s="52" t="s">
        <v>31</v>
      </c>
      <c r="E107" s="53">
        <v>6344</v>
      </c>
      <c r="F107" s="29">
        <f t="shared" si="7"/>
        <v>19032</v>
      </c>
      <c r="G107" s="29">
        <v>0</v>
      </c>
      <c r="H107" s="41">
        <f t="shared" si="8"/>
        <v>19032</v>
      </c>
      <c r="I107" s="29" t="s">
        <v>231</v>
      </c>
      <c r="J107" s="54"/>
    </row>
    <row r="108">
      <c r="A108" s="29"/>
      <c r="B108" s="38"/>
      <c r="C108" s="29"/>
      <c r="D108" s="29"/>
      <c r="E108" s="82"/>
      <c r="F108" s="29"/>
      <c r="G108" s="29"/>
      <c r="H108" s="29"/>
      <c r="I108" s="82"/>
      <c r="J108" s="35"/>
      <c r="K108" s="83"/>
      <c r="L108" s="83"/>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83"/>
      <c r="EO108" s="83"/>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c r="FL108" s="83"/>
      <c r="FM108" s="83"/>
      <c r="FN108" s="83"/>
      <c r="FO108" s="83"/>
      <c r="FP108" s="83"/>
      <c r="FQ108" s="83"/>
      <c r="FR108" s="83"/>
      <c r="FS108" s="83"/>
      <c r="FT108" s="83"/>
      <c r="FU108" s="83"/>
      <c r="FV108" s="83"/>
      <c r="FW108" s="83"/>
      <c r="FX108" s="83"/>
      <c r="FY108" s="83"/>
      <c r="FZ108" s="83"/>
      <c r="GA108" s="83"/>
      <c r="GB108" s="83"/>
      <c r="GC108" s="83"/>
      <c r="GD108" s="83"/>
      <c r="GE108" s="83"/>
      <c r="GF108" s="83"/>
      <c r="GG108" s="83"/>
      <c r="GH108" s="83"/>
      <c r="GI108" s="83"/>
      <c r="GJ108" s="83"/>
      <c r="GK108" s="83"/>
      <c r="GL108" s="83"/>
      <c r="GM108" s="83"/>
      <c r="GN108" s="83"/>
      <c r="GO108" s="83"/>
      <c r="GP108" s="83"/>
      <c r="GQ108" s="83"/>
      <c r="GR108" s="83"/>
      <c r="GS108" s="83"/>
      <c r="GT108" s="83"/>
      <c r="GU108" s="83"/>
      <c r="GV108" s="83"/>
      <c r="GW108" s="83"/>
      <c r="GX108" s="83"/>
      <c r="GY108" s="83"/>
      <c r="GZ108" s="83"/>
      <c r="HA108" s="83"/>
      <c r="HB108" s="83"/>
      <c r="HC108" s="83"/>
      <c r="HD108" s="83"/>
      <c r="HE108" s="83"/>
      <c r="HF108" s="83"/>
      <c r="HG108" s="83"/>
      <c r="HH108" s="83"/>
      <c r="HI108" s="83"/>
      <c r="HJ108" s="83"/>
      <c r="HK108" s="83"/>
    </row>
    <row r="109" s="3" customFormat="1">
      <c r="A109" s="27"/>
      <c r="B109" s="63"/>
      <c r="C109" s="27"/>
      <c r="D109" s="27"/>
      <c r="E109" s="27"/>
      <c r="F109" s="27"/>
      <c r="G109" s="84"/>
      <c r="H109" s="27"/>
      <c r="I109" s="27"/>
      <c r="J109" s="64"/>
    </row>
    <row r="110" s="5" customFormat="1">
      <c r="A110" s="19"/>
      <c r="B110" s="23" t="s">
        <v>232</v>
      </c>
      <c r="C110" s="27"/>
      <c r="D110" s="19"/>
      <c r="E110" s="19"/>
      <c r="F110" s="85">
        <f>SUM(F54:F109)</f>
        <v>1286537</v>
      </c>
      <c r="G110" s="85">
        <f>SUM(G58:G109)</f>
        <v>0</v>
      </c>
      <c r="H110" s="85">
        <f>SUM(H54:H109)</f>
        <v>1286537</v>
      </c>
      <c r="I110" s="19"/>
      <c r="J110" s="64"/>
    </row>
    <row r="111" s="5" customFormat="1" ht="36">
      <c r="A111" s="58" t="s">
        <v>233</v>
      </c>
      <c r="B111" s="86" t="s">
        <v>234</v>
      </c>
      <c r="C111" s="58"/>
      <c r="D111" s="27"/>
      <c r="E111" s="27"/>
      <c r="F111" s="27"/>
      <c r="G111" s="84"/>
      <c r="H111" s="27"/>
      <c r="I111" s="27" t="s">
        <v>235</v>
      </c>
      <c r="J111" s="87"/>
    </row>
    <row r="112" s="3" customFormat="1" ht="60">
      <c r="A112" s="27">
        <v>1</v>
      </c>
      <c r="B112" s="63" t="s">
        <v>236</v>
      </c>
      <c r="C112" s="27">
        <v>2</v>
      </c>
      <c r="D112" s="27" t="s">
        <v>237</v>
      </c>
      <c r="E112" s="27">
        <f>1.18*800000</f>
        <v>944000</v>
      </c>
      <c r="F112" s="27">
        <f>C112*E112</f>
        <v>1888000</v>
      </c>
      <c r="G112" s="27">
        <v>0</v>
      </c>
      <c r="H112" s="27">
        <f>SUM(F112:G112)</f>
        <v>1888000</v>
      </c>
      <c r="I112" s="29" t="s">
        <v>238</v>
      </c>
      <c r="J112" s="64"/>
    </row>
    <row r="113" s="3" customFormat="1" ht="48">
      <c r="A113" s="27">
        <v>2</v>
      </c>
      <c r="B113" s="63" t="s">
        <v>239</v>
      </c>
      <c r="C113" s="27">
        <v>0</v>
      </c>
      <c r="D113" s="27" t="s">
        <v>237</v>
      </c>
      <c r="E113" s="27">
        <f>1.18*900000</f>
        <v>1062000</v>
      </c>
      <c r="F113" s="27">
        <f t="shared" ref="F113:F117" si="11">C113*E113</f>
        <v>0</v>
      </c>
      <c r="G113" s="27">
        <v>0</v>
      </c>
      <c r="H113" s="27">
        <f t="shared" ref="H113:H117" si="12">SUM(F113:G113)</f>
        <v>0</v>
      </c>
      <c r="I113" s="29" t="s">
        <v>240</v>
      </c>
      <c r="J113" s="64"/>
    </row>
    <row r="114" s="3" customFormat="1" ht="48">
      <c r="A114" s="27">
        <v>3</v>
      </c>
      <c r="B114" s="63" t="s">
        <v>241</v>
      </c>
      <c r="C114" s="27">
        <v>1</v>
      </c>
      <c r="D114" s="27" t="s">
        <v>237</v>
      </c>
      <c r="E114" s="27">
        <f>1.18*150000</f>
        <v>177000</v>
      </c>
      <c r="F114" s="27">
        <f t="shared" si="11"/>
        <v>177000</v>
      </c>
      <c r="G114" s="27">
        <v>0</v>
      </c>
      <c r="H114" s="27">
        <f t="shared" si="12"/>
        <v>177000</v>
      </c>
      <c r="I114" s="29" t="s">
        <v>242</v>
      </c>
      <c r="J114" s="64"/>
    </row>
    <row r="115" s="3" customFormat="1" ht="48">
      <c r="A115" s="27">
        <v>4</v>
      </c>
      <c r="B115" s="63" t="s">
        <v>243</v>
      </c>
      <c r="C115" s="27">
        <v>1</v>
      </c>
      <c r="D115" s="27" t="s">
        <v>237</v>
      </c>
      <c r="E115" s="27">
        <f>1.18*100000</f>
        <v>118000</v>
      </c>
      <c r="F115" s="27">
        <f t="shared" si="11"/>
        <v>118000</v>
      </c>
      <c r="G115" s="27">
        <v>0</v>
      </c>
      <c r="H115" s="27">
        <f t="shared" si="12"/>
        <v>118000</v>
      </c>
      <c r="I115" s="29" t="s">
        <v>244</v>
      </c>
      <c r="J115" s="64"/>
    </row>
    <row r="116" s="3" customFormat="1" ht="48">
      <c r="A116" s="27">
        <v>5</v>
      </c>
      <c r="B116" s="63" t="s">
        <v>245</v>
      </c>
      <c r="C116" s="27">
        <v>10</v>
      </c>
      <c r="D116" s="27" t="s">
        <v>237</v>
      </c>
      <c r="E116" s="27">
        <f>1.18*5500</f>
        <v>6490</v>
      </c>
      <c r="F116" s="27">
        <f t="shared" si="11"/>
        <v>64900</v>
      </c>
      <c r="G116" s="27">
        <v>0</v>
      </c>
      <c r="H116" s="27">
        <f t="shared" si="12"/>
        <v>64900</v>
      </c>
      <c r="I116" s="29" t="s">
        <v>246</v>
      </c>
      <c r="J116" s="64"/>
    </row>
    <row r="117" s="3" customFormat="1" ht="36">
      <c r="A117" s="27">
        <v>6</v>
      </c>
      <c r="B117" s="63" t="s">
        <v>247</v>
      </c>
      <c r="C117" s="27">
        <v>1</v>
      </c>
      <c r="D117" s="27" t="s">
        <v>237</v>
      </c>
      <c r="E117" s="27">
        <f>1.18*55000</f>
        <v>64900</v>
      </c>
      <c r="F117" s="27">
        <f t="shared" si="11"/>
        <v>64900</v>
      </c>
      <c r="G117" s="27">
        <v>0</v>
      </c>
      <c r="H117" s="27">
        <f t="shared" si="12"/>
        <v>64900</v>
      </c>
      <c r="I117" s="29" t="s">
        <v>248</v>
      </c>
      <c r="J117" s="64"/>
    </row>
    <row r="118" s="3" customFormat="1">
      <c r="A118" s="27"/>
      <c r="B118" s="63"/>
      <c r="C118" s="27"/>
      <c r="D118" s="27"/>
      <c r="E118" s="27"/>
      <c r="F118" s="27"/>
      <c r="G118" s="27"/>
      <c r="H118" s="27"/>
      <c r="I118" s="27"/>
      <c r="J118" s="64"/>
    </row>
    <row r="119" s="5" customFormat="1">
      <c r="A119" s="27"/>
      <c r="B119" s="23" t="s">
        <v>249</v>
      </c>
      <c r="C119" s="27"/>
      <c r="D119" s="27"/>
      <c r="E119" s="27"/>
      <c r="F119" s="85">
        <f>SUM(F112:F118)</f>
        <v>2312800</v>
      </c>
      <c r="G119" s="85">
        <f t="shared" ref="G119" si="13">SUM(G112:G118)</f>
        <v>0</v>
      </c>
      <c r="H119" s="85">
        <f>SUM(H112:H118)</f>
        <v>2312800</v>
      </c>
      <c r="I119" s="27"/>
      <c r="J119" s="64"/>
    </row>
    <row r="120" s="5" customFormat="1">
      <c r="A120" s="27"/>
      <c r="B120" s="88"/>
      <c r="C120" s="27"/>
      <c r="D120" s="27"/>
      <c r="E120" s="27"/>
      <c r="F120" s="89"/>
      <c r="G120" s="89"/>
      <c r="H120" s="89"/>
      <c r="I120" s="27"/>
      <c r="J120" s="64"/>
    </row>
    <row r="121" s="5" customFormat="1">
      <c r="A121" s="19" t="s">
        <v>250</v>
      </c>
      <c r="B121" s="23" t="s">
        <v>251</v>
      </c>
      <c r="C121" s="27"/>
      <c r="D121" s="27"/>
      <c r="E121" s="27"/>
      <c r="F121" s="90" t="e">
        <f>F119+F110+#REF!</f>
        <v>#REF!</v>
      </c>
      <c r="G121" s="90">
        <f>G119+G110+G56</f>
        <v>0</v>
      </c>
      <c r="H121" s="90" t="e">
        <f>H119+H110+#REF!</f>
        <v>#REF!</v>
      </c>
      <c r="I121" s="27"/>
      <c r="J121" s="64"/>
    </row>
    <row r="122" s="5" customFormat="1">
      <c r="A122" s="27"/>
      <c r="B122" s="23"/>
      <c r="C122" s="27"/>
      <c r="D122" s="27"/>
      <c r="E122" s="27"/>
      <c r="F122" s="91"/>
      <c r="G122" s="91"/>
      <c r="H122" s="91"/>
      <c r="I122" s="27"/>
      <c r="J122" s="64"/>
    </row>
    <row r="123" s="3" customFormat="1">
      <c r="A123" s="27" t="s">
        <v>252</v>
      </c>
      <c r="B123" s="63" t="s">
        <v>253</v>
      </c>
      <c r="C123" s="27"/>
      <c r="D123" s="19"/>
      <c r="E123" s="19"/>
      <c r="F123" s="84" t="e">
        <f>H121*1%</f>
        <v>#REF!</v>
      </c>
      <c r="G123" s="91">
        <v>0</v>
      </c>
      <c r="H123" s="84" t="e">
        <f>SUM(F123:G123)</f>
        <v>#REF!</v>
      </c>
      <c r="I123" s="19"/>
      <c r="J123" s="64"/>
    </row>
    <row r="124" s="3" customFormat="1">
      <c r="A124" s="27"/>
      <c r="B124" s="63"/>
      <c r="C124" s="27"/>
      <c r="D124" s="19"/>
      <c r="E124" s="19"/>
      <c r="F124" s="84"/>
      <c r="G124" s="91"/>
      <c r="H124" s="91"/>
      <c r="I124" s="19"/>
      <c r="J124" s="64"/>
    </row>
    <row r="125" s="3" customFormat="1">
      <c r="A125" s="27" t="s">
        <v>254</v>
      </c>
      <c r="B125" s="23" t="s">
        <v>255</v>
      </c>
      <c r="C125" s="92"/>
      <c r="D125" s="19"/>
      <c r="E125" s="27"/>
      <c r="F125" s="90" t="e">
        <f>SUM(F121:F123)</f>
        <v>#REF!</v>
      </c>
      <c r="G125" s="90">
        <f t="shared" ref="G125:H125" si="14">SUM(G121:G123)</f>
        <v>0</v>
      </c>
      <c r="H125" s="90" t="e">
        <f t="shared" si="14"/>
        <v>#REF!</v>
      </c>
      <c r="I125" s="84"/>
      <c r="J125" s="93"/>
    </row>
    <row r="126" s="3" customFormat="1">
      <c r="A126" s="27"/>
      <c r="B126" s="23"/>
      <c r="C126" s="92"/>
      <c r="D126" s="19"/>
      <c r="E126" s="27"/>
      <c r="F126" s="91"/>
      <c r="G126" s="91"/>
      <c r="H126" s="91"/>
      <c r="I126" s="84"/>
      <c r="J126" s="93"/>
    </row>
    <row r="127" s="5" customFormat="1">
      <c r="A127" s="19" t="s">
        <v>233</v>
      </c>
      <c r="B127" s="94" t="s">
        <v>256</v>
      </c>
      <c r="C127" s="27"/>
      <c r="D127" s="27"/>
      <c r="E127" s="27"/>
      <c r="F127" s="84" t="e">
        <f>H121*0.1%</f>
        <v>#REF!</v>
      </c>
      <c r="G127" s="84">
        <v>0</v>
      </c>
      <c r="H127" s="92" t="e">
        <f>SUM(F127:G127)</f>
        <v>#REF!</v>
      </c>
      <c r="I127" s="95"/>
      <c r="J127" s="45"/>
    </row>
    <row r="128" s="5" customFormat="1">
      <c r="A128" s="19" t="s">
        <v>257</v>
      </c>
      <c r="B128" s="94" t="s">
        <v>258</v>
      </c>
      <c r="C128" s="92"/>
      <c r="D128" s="19"/>
      <c r="E128" s="27"/>
      <c r="F128" s="84" t="e">
        <f>H121*10.05%</f>
        <v>#REF!</v>
      </c>
      <c r="G128" s="84">
        <v>0</v>
      </c>
      <c r="H128" s="92" t="e">
        <f>SUM(F128:G128)</f>
        <v>#REF!</v>
      </c>
      <c r="I128" s="84"/>
      <c r="J128" s="45"/>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c r="DZ128" s="13"/>
      <c r="EA128" s="13"/>
      <c r="EB128" s="13"/>
      <c r="EC128" s="13"/>
      <c r="ED128" s="13"/>
      <c r="EE128" s="13"/>
      <c r="EF128" s="13"/>
      <c r="EG128" s="13"/>
      <c r="EH128" s="13"/>
      <c r="EI128" s="13"/>
      <c r="EJ128" s="13"/>
      <c r="EK128" s="13"/>
      <c r="EL128" s="13"/>
      <c r="EM128" s="13"/>
      <c r="EN128" s="13"/>
      <c r="EO128" s="13"/>
      <c r="EP128" s="13"/>
      <c r="EQ128" s="13"/>
      <c r="ER128" s="13"/>
      <c r="ES128" s="13"/>
      <c r="ET128" s="13"/>
      <c r="EU128" s="13"/>
      <c r="EV128" s="13"/>
      <c r="EW128" s="13"/>
      <c r="EX128" s="13"/>
      <c r="EY128" s="13"/>
      <c r="EZ128" s="13"/>
      <c r="FA128" s="13"/>
      <c r="FB128" s="13"/>
      <c r="FC128" s="13"/>
      <c r="FD128" s="13"/>
      <c r="FE128" s="13"/>
      <c r="FF128" s="13"/>
      <c r="FG128" s="13"/>
      <c r="FH128" s="13"/>
      <c r="FI128" s="13"/>
      <c r="FJ128" s="13"/>
      <c r="FK128" s="13"/>
      <c r="FL128" s="13"/>
      <c r="FM128" s="13"/>
      <c r="FN128" s="13"/>
      <c r="FO128" s="13"/>
      <c r="FP128" s="13"/>
      <c r="FQ128" s="13"/>
      <c r="FR128" s="13"/>
      <c r="FS128" s="13"/>
      <c r="FT128" s="13"/>
      <c r="FU128" s="13"/>
      <c r="FV128" s="13"/>
      <c r="FW128" s="13"/>
      <c r="FX128" s="13"/>
      <c r="FY128" s="13"/>
      <c r="FZ128" s="13"/>
      <c r="GA128" s="13"/>
      <c r="GB128" s="13"/>
      <c r="GC128" s="13"/>
      <c r="GD128" s="13"/>
      <c r="GE128" s="13"/>
      <c r="GF128" s="13"/>
      <c r="GG128" s="13"/>
      <c r="GH128" s="13"/>
      <c r="GI128" s="13"/>
      <c r="GJ128" s="13"/>
      <c r="GK128" s="13"/>
      <c r="GL128" s="13"/>
      <c r="GM128" s="13"/>
      <c r="GN128" s="13"/>
      <c r="GO128" s="13"/>
      <c r="GP128" s="13"/>
      <c r="GQ128" s="13"/>
      <c r="GR128" s="13"/>
      <c r="GS128" s="13"/>
      <c r="GT128" s="13"/>
      <c r="GU128" s="13"/>
      <c r="GV128" s="13"/>
      <c r="GW128" s="13"/>
      <c r="GX128" s="13"/>
      <c r="GY128" s="13"/>
      <c r="GZ128" s="13"/>
      <c r="HA128" s="13"/>
      <c r="HB128" s="13"/>
      <c r="HC128" s="13"/>
      <c r="HD128" s="13"/>
      <c r="HE128" s="13"/>
      <c r="HF128" s="13"/>
      <c r="HG128" s="13"/>
      <c r="HH128" s="13"/>
      <c r="HI128" s="13"/>
    </row>
    <row r="129" s="3" customFormat="1">
      <c r="A129" s="27"/>
      <c r="C129" s="92"/>
      <c r="D129" s="19"/>
      <c r="E129" s="27"/>
      <c r="F129" s="91"/>
      <c r="G129" s="91"/>
      <c r="H129" s="96"/>
      <c r="I129" s="27"/>
      <c r="J129" s="93"/>
    </row>
    <row r="130" s="3" customFormat="1" ht="24">
      <c r="A130" s="27" t="s">
        <v>259</v>
      </c>
      <c r="B130" s="97" t="s">
        <v>260</v>
      </c>
      <c r="C130" s="92">
        <v>1</v>
      </c>
      <c r="D130" s="27" t="s">
        <v>193</v>
      </c>
      <c r="E130" s="98">
        <v>399290.84999999998</v>
      </c>
      <c r="F130" s="98">
        <f>E130*C130</f>
        <v>399290.84999999998</v>
      </c>
      <c r="G130" s="98">
        <v>0</v>
      </c>
      <c r="H130" s="99">
        <f>SUM(F130:G130)</f>
        <v>399290.84999999998</v>
      </c>
      <c r="I130" s="27"/>
      <c r="J130" s="93"/>
    </row>
    <row r="131" s="5" customFormat="1">
      <c r="A131" s="27"/>
      <c r="B131" s="1"/>
      <c r="C131" s="92"/>
      <c r="D131" s="19"/>
      <c r="E131" s="27"/>
      <c r="F131" s="91"/>
      <c r="G131" s="91"/>
      <c r="H131" s="96"/>
      <c r="I131" s="27"/>
      <c r="J131" s="93"/>
    </row>
    <row r="132" s="5" customFormat="1">
      <c r="A132" s="27"/>
      <c r="B132" s="23" t="s">
        <v>261</v>
      </c>
      <c r="C132" s="92"/>
      <c r="D132" s="19"/>
      <c r="E132" s="27"/>
      <c r="F132" s="85" t="e">
        <f>SUM(F125:F131)</f>
        <v>#REF!</v>
      </c>
      <c r="G132" s="85">
        <f>SUM(G125:G131)</f>
        <v>0</v>
      </c>
      <c r="H132" s="85" t="e">
        <f>SUM(H125:H131)</f>
        <v>#REF!</v>
      </c>
      <c r="I132" s="27"/>
      <c r="J132" s="93"/>
    </row>
    <row r="133" s="5" customFormat="1">
      <c r="A133" s="27"/>
      <c r="B133" s="23"/>
      <c r="C133" s="92"/>
      <c r="D133" s="19"/>
      <c r="E133" s="27"/>
      <c r="F133" s="91"/>
      <c r="G133" s="91"/>
      <c r="H133" s="91"/>
      <c r="I133" s="27"/>
      <c r="J133" s="93"/>
    </row>
    <row r="134" s="5" customFormat="1">
      <c r="A134" s="27"/>
      <c r="B134" s="23"/>
      <c r="C134" s="92"/>
      <c r="D134" s="19"/>
      <c r="E134" s="27"/>
      <c r="F134" s="91"/>
      <c r="G134" s="91"/>
      <c r="H134" s="91"/>
      <c r="I134" s="27"/>
      <c r="J134" s="93"/>
    </row>
    <row r="135">
      <c r="A135" s="29"/>
      <c r="B135" s="59"/>
      <c r="C135" s="29"/>
      <c r="D135" s="40"/>
      <c r="E135" s="82"/>
      <c r="F135" s="100"/>
      <c r="G135" s="100"/>
      <c r="H135" s="100"/>
      <c r="I135" s="82"/>
      <c r="J135" s="35"/>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c r="CZ135" s="101"/>
      <c r="DA135" s="101"/>
      <c r="DB135" s="101"/>
      <c r="DC135" s="101"/>
      <c r="DD135" s="101"/>
      <c r="DE135" s="101"/>
      <c r="DF135" s="101"/>
      <c r="DG135" s="101"/>
      <c r="DH135" s="101"/>
      <c r="DI135" s="101"/>
      <c r="DJ135" s="101"/>
      <c r="DK135" s="101"/>
      <c r="DL135" s="101"/>
      <c r="DM135" s="101"/>
      <c r="DN135" s="101"/>
      <c r="DO135" s="101"/>
      <c r="DP135" s="101"/>
      <c r="DQ135" s="101"/>
      <c r="DR135" s="101"/>
      <c r="DS135" s="101"/>
      <c r="DT135" s="101"/>
      <c r="DU135" s="101"/>
      <c r="DV135" s="101"/>
      <c r="DW135" s="101"/>
      <c r="DX135" s="101"/>
      <c r="DY135" s="101"/>
      <c r="DZ135" s="101"/>
      <c r="EA135" s="101"/>
      <c r="EB135" s="101"/>
      <c r="EC135" s="101"/>
      <c r="ED135" s="101"/>
      <c r="EE135" s="101"/>
      <c r="EF135" s="101"/>
      <c r="EG135" s="101"/>
      <c r="EH135" s="101"/>
      <c r="EI135" s="101"/>
      <c r="EJ135" s="101"/>
      <c r="EK135" s="101"/>
      <c r="EL135" s="101"/>
      <c r="EM135" s="101"/>
      <c r="EN135" s="101"/>
      <c r="EO135" s="101"/>
      <c r="EP135" s="101"/>
      <c r="EQ135" s="101"/>
      <c r="ER135" s="101"/>
      <c r="ES135" s="101"/>
      <c r="ET135" s="101"/>
      <c r="EU135" s="101"/>
      <c r="EV135" s="101"/>
      <c r="EW135" s="101"/>
      <c r="EX135" s="101"/>
      <c r="EY135" s="101"/>
      <c r="EZ135" s="101"/>
      <c r="FA135" s="101"/>
      <c r="FB135" s="101"/>
      <c r="FC135" s="101"/>
      <c r="FD135" s="101"/>
      <c r="FE135" s="101"/>
      <c r="FF135" s="101"/>
      <c r="FG135" s="101"/>
      <c r="FH135" s="101"/>
      <c r="FI135" s="101"/>
      <c r="FJ135" s="101"/>
      <c r="FK135" s="101"/>
      <c r="FL135" s="101"/>
      <c r="FM135" s="101"/>
      <c r="FN135" s="101"/>
      <c r="FO135" s="101"/>
      <c r="FP135" s="101"/>
      <c r="FQ135" s="101"/>
      <c r="FR135" s="101"/>
      <c r="FS135" s="101"/>
      <c r="FT135" s="101"/>
      <c r="FU135" s="101"/>
      <c r="FV135" s="101"/>
      <c r="FW135" s="101"/>
      <c r="FX135" s="101"/>
      <c r="FY135" s="101"/>
      <c r="FZ135" s="101"/>
      <c r="GA135" s="101"/>
      <c r="GB135" s="101"/>
      <c r="GC135" s="101"/>
      <c r="GD135" s="101"/>
      <c r="GE135" s="101"/>
      <c r="GF135" s="101"/>
      <c r="GG135" s="101"/>
      <c r="GH135" s="101"/>
      <c r="GI135" s="101"/>
      <c r="GJ135" s="101"/>
      <c r="GK135" s="101"/>
      <c r="GL135" s="101"/>
      <c r="GM135" s="101"/>
      <c r="GN135" s="101"/>
      <c r="GO135" s="101"/>
      <c r="GP135" s="101"/>
      <c r="GQ135" s="101"/>
      <c r="GR135" s="101"/>
      <c r="GS135" s="101"/>
      <c r="GT135" s="101"/>
      <c r="GU135" s="101"/>
      <c r="GV135" s="101"/>
      <c r="GW135" s="101"/>
      <c r="GX135" s="101"/>
      <c r="GY135" s="101"/>
      <c r="GZ135" s="101"/>
      <c r="HA135" s="101"/>
      <c r="HB135" s="101"/>
      <c r="HC135" s="101"/>
      <c r="HD135" s="101"/>
      <c r="HE135" s="101"/>
      <c r="HF135" s="101"/>
      <c r="HG135" s="101"/>
      <c r="HH135" s="101"/>
      <c r="HI135" s="101"/>
      <c r="HJ135" s="101"/>
      <c r="HK135" s="101"/>
      <c r="HL135" s="101"/>
    </row>
    <row r="136">
      <c r="A136" s="29"/>
      <c r="B136" s="59"/>
      <c r="C136" s="29"/>
      <c r="D136" s="40"/>
      <c r="E136" s="82"/>
      <c r="F136" s="100"/>
      <c r="G136" s="100"/>
      <c r="H136" s="102"/>
      <c r="I136" s="82"/>
      <c r="J136" s="35"/>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c r="CZ136" s="101"/>
      <c r="DA136" s="101"/>
      <c r="DB136" s="101"/>
      <c r="DC136" s="101"/>
      <c r="DD136" s="101"/>
      <c r="DE136" s="101"/>
      <c r="DF136" s="101"/>
      <c r="DG136" s="101"/>
      <c r="DH136" s="101"/>
      <c r="DI136" s="101"/>
      <c r="DJ136" s="101"/>
      <c r="DK136" s="101"/>
      <c r="DL136" s="101"/>
      <c r="DM136" s="101"/>
      <c r="DN136" s="101"/>
      <c r="DO136" s="101"/>
      <c r="DP136" s="101"/>
      <c r="DQ136" s="101"/>
      <c r="DR136" s="101"/>
      <c r="DS136" s="101"/>
      <c r="DT136" s="101"/>
      <c r="DU136" s="101"/>
      <c r="DV136" s="101"/>
      <c r="DW136" s="101"/>
      <c r="DX136" s="101"/>
      <c r="DY136" s="101"/>
      <c r="DZ136" s="101"/>
      <c r="EA136" s="101"/>
      <c r="EB136" s="101"/>
      <c r="EC136" s="101"/>
      <c r="ED136" s="101"/>
      <c r="EE136" s="101"/>
      <c r="EF136" s="101"/>
      <c r="EG136" s="101"/>
      <c r="EH136" s="101"/>
      <c r="EI136" s="101"/>
      <c r="EJ136" s="101"/>
      <c r="EK136" s="101"/>
      <c r="EL136" s="101"/>
      <c r="EM136" s="101"/>
      <c r="EN136" s="101"/>
      <c r="EO136" s="101"/>
      <c r="EP136" s="101"/>
      <c r="EQ136" s="101"/>
      <c r="ER136" s="101"/>
      <c r="ES136" s="101"/>
      <c r="ET136" s="101"/>
      <c r="EU136" s="101"/>
      <c r="EV136" s="101"/>
      <c r="EW136" s="101"/>
      <c r="EX136" s="101"/>
      <c r="EY136" s="101"/>
      <c r="EZ136" s="101"/>
      <c r="FA136" s="101"/>
      <c r="FB136" s="101"/>
      <c r="FC136" s="101"/>
      <c r="FD136" s="101"/>
      <c r="FE136" s="101"/>
      <c r="FF136" s="101"/>
      <c r="FG136" s="101"/>
      <c r="FH136" s="101"/>
      <c r="FI136" s="101"/>
      <c r="FJ136" s="101"/>
      <c r="FK136" s="101"/>
      <c r="FL136" s="101"/>
      <c r="FM136" s="101"/>
      <c r="FN136" s="101"/>
      <c r="FO136" s="101"/>
      <c r="FP136" s="101"/>
      <c r="FQ136" s="101"/>
      <c r="FR136" s="101"/>
      <c r="FS136" s="101"/>
      <c r="FT136" s="101"/>
      <c r="FU136" s="101"/>
      <c r="FV136" s="101"/>
      <c r="FW136" s="101"/>
      <c r="FX136" s="101"/>
      <c r="FY136" s="101"/>
      <c r="FZ136" s="101"/>
      <c r="GA136" s="101"/>
      <c r="GB136" s="101"/>
      <c r="GC136" s="101"/>
      <c r="GD136" s="101"/>
      <c r="GE136" s="101"/>
      <c r="GF136" s="101"/>
      <c r="GG136" s="101"/>
      <c r="GH136" s="101"/>
      <c r="GI136" s="101"/>
      <c r="GJ136" s="101"/>
      <c r="GK136" s="101"/>
      <c r="GL136" s="101"/>
      <c r="GM136" s="101"/>
      <c r="GN136" s="101"/>
      <c r="GO136" s="101"/>
      <c r="GP136" s="101"/>
      <c r="GQ136" s="101"/>
      <c r="GR136" s="101"/>
      <c r="GS136" s="101"/>
      <c r="GT136" s="101"/>
      <c r="GU136" s="101"/>
      <c r="GV136" s="101"/>
      <c r="GW136" s="101"/>
      <c r="GX136" s="101"/>
      <c r="GY136" s="101"/>
      <c r="GZ136" s="101"/>
      <c r="HA136" s="101"/>
      <c r="HB136" s="101"/>
      <c r="HC136" s="101"/>
      <c r="HD136" s="101"/>
      <c r="HE136" s="101"/>
      <c r="HF136" s="101"/>
      <c r="HG136" s="101"/>
      <c r="HH136" s="101"/>
      <c r="HI136" s="101"/>
      <c r="HJ136" s="101"/>
      <c r="HK136" s="101"/>
      <c r="HL136" s="101"/>
    </row>
    <row r="137">
      <c r="A137" s="29"/>
      <c r="B137" s="59"/>
      <c r="C137" s="29"/>
      <c r="D137" s="40"/>
      <c r="E137" s="82"/>
      <c r="F137" s="100"/>
      <c r="G137" s="100"/>
      <c r="H137" s="102"/>
      <c r="I137" s="82"/>
      <c r="J137" s="35"/>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c r="CZ137" s="101"/>
      <c r="DA137" s="101"/>
      <c r="DB137" s="101"/>
      <c r="DC137" s="101"/>
      <c r="DD137" s="101"/>
      <c r="DE137" s="101"/>
      <c r="DF137" s="101"/>
      <c r="DG137" s="101"/>
      <c r="DH137" s="101"/>
      <c r="DI137" s="101"/>
      <c r="DJ137" s="101"/>
      <c r="DK137" s="101"/>
      <c r="DL137" s="101"/>
      <c r="DM137" s="101"/>
      <c r="DN137" s="101"/>
      <c r="DO137" s="101"/>
      <c r="DP137" s="101"/>
      <c r="DQ137" s="101"/>
      <c r="DR137" s="101"/>
      <c r="DS137" s="101"/>
      <c r="DT137" s="101"/>
      <c r="DU137" s="101"/>
      <c r="DV137" s="101"/>
      <c r="DW137" s="101"/>
      <c r="DX137" s="101"/>
      <c r="DY137" s="101"/>
      <c r="DZ137" s="101"/>
      <c r="EA137" s="101"/>
      <c r="EB137" s="101"/>
      <c r="EC137" s="101"/>
      <c r="ED137" s="101"/>
      <c r="EE137" s="101"/>
      <c r="EF137" s="101"/>
      <c r="EG137" s="101"/>
      <c r="EH137" s="101"/>
      <c r="EI137" s="101"/>
      <c r="EJ137" s="101"/>
      <c r="EK137" s="101"/>
      <c r="EL137" s="101"/>
      <c r="EM137" s="101"/>
      <c r="EN137" s="101"/>
      <c r="EO137" s="101"/>
      <c r="EP137" s="101"/>
      <c r="EQ137" s="101"/>
      <c r="ER137" s="101"/>
      <c r="ES137" s="101"/>
      <c r="ET137" s="101"/>
      <c r="EU137" s="101"/>
      <c r="EV137" s="101"/>
      <c r="EW137" s="101"/>
      <c r="EX137" s="101"/>
      <c r="EY137" s="101"/>
      <c r="EZ137" s="101"/>
      <c r="FA137" s="101"/>
      <c r="FB137" s="101"/>
      <c r="FC137" s="101"/>
      <c r="FD137" s="101"/>
      <c r="FE137" s="101"/>
      <c r="FF137" s="101"/>
      <c r="FG137" s="101"/>
      <c r="FH137" s="101"/>
      <c r="FI137" s="101"/>
      <c r="FJ137" s="101"/>
      <c r="FK137" s="101"/>
      <c r="FL137" s="101"/>
      <c r="FM137" s="101"/>
      <c r="FN137" s="101"/>
      <c r="FO137" s="101"/>
      <c r="FP137" s="101"/>
      <c r="FQ137" s="101"/>
      <c r="FR137" s="101"/>
      <c r="FS137" s="101"/>
      <c r="FT137" s="101"/>
      <c r="FU137" s="101"/>
      <c r="FV137" s="101"/>
      <c r="FW137" s="101"/>
      <c r="FX137" s="101"/>
      <c r="FY137" s="101"/>
      <c r="FZ137" s="101"/>
      <c r="GA137" s="101"/>
      <c r="GB137" s="101"/>
      <c r="GC137" s="101"/>
      <c r="GD137" s="101"/>
      <c r="GE137" s="101"/>
      <c r="GF137" s="101"/>
      <c r="GG137" s="101"/>
      <c r="GH137" s="101"/>
      <c r="GI137" s="101"/>
      <c r="GJ137" s="101"/>
      <c r="GK137" s="101"/>
      <c r="GL137" s="101"/>
      <c r="GM137" s="101"/>
      <c r="GN137" s="101"/>
      <c r="GO137" s="101"/>
      <c r="GP137" s="101"/>
      <c r="GQ137" s="101"/>
      <c r="GR137" s="101"/>
      <c r="GS137" s="101"/>
      <c r="GT137" s="101"/>
      <c r="GU137" s="101"/>
      <c r="GV137" s="101"/>
      <c r="GW137" s="101"/>
      <c r="GX137" s="101"/>
      <c r="GY137" s="101"/>
      <c r="GZ137" s="101"/>
      <c r="HA137" s="101"/>
      <c r="HB137" s="101"/>
      <c r="HC137" s="101"/>
      <c r="HD137" s="101"/>
      <c r="HE137" s="101"/>
      <c r="HF137" s="101"/>
      <c r="HG137" s="101"/>
      <c r="HH137" s="101"/>
      <c r="HI137" s="101"/>
      <c r="HJ137" s="101"/>
      <c r="HK137" s="101"/>
      <c r="HL137" s="101"/>
    </row>
    <row r="138">
      <c r="A138" s="29"/>
      <c r="B138" s="59"/>
      <c r="C138" s="29"/>
      <c r="D138" s="40"/>
      <c r="E138" s="82"/>
      <c r="F138" s="100"/>
      <c r="G138" s="100"/>
      <c r="H138" s="103"/>
      <c r="I138" s="82"/>
      <c r="J138" s="35"/>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c r="CZ138" s="101"/>
      <c r="DA138" s="101"/>
      <c r="DB138" s="101"/>
      <c r="DC138" s="101"/>
      <c r="DD138" s="101"/>
      <c r="DE138" s="101"/>
      <c r="DF138" s="101"/>
      <c r="DG138" s="101"/>
      <c r="DH138" s="101"/>
      <c r="DI138" s="101"/>
      <c r="DJ138" s="101"/>
      <c r="DK138" s="101"/>
      <c r="DL138" s="101"/>
      <c r="DM138" s="101"/>
      <c r="DN138" s="101"/>
      <c r="DO138" s="101"/>
      <c r="DP138" s="101"/>
      <c r="DQ138" s="101"/>
      <c r="DR138" s="101"/>
      <c r="DS138" s="101"/>
      <c r="DT138" s="101"/>
      <c r="DU138" s="101"/>
      <c r="DV138" s="101"/>
      <c r="DW138" s="101"/>
      <c r="DX138" s="101"/>
      <c r="DY138" s="101"/>
      <c r="DZ138" s="101"/>
      <c r="EA138" s="101"/>
      <c r="EB138" s="101"/>
      <c r="EC138" s="101"/>
      <c r="ED138" s="101"/>
      <c r="EE138" s="101"/>
      <c r="EF138" s="101"/>
      <c r="EG138" s="101"/>
      <c r="EH138" s="101"/>
      <c r="EI138" s="101"/>
      <c r="EJ138" s="101"/>
      <c r="EK138" s="101"/>
      <c r="EL138" s="101"/>
      <c r="EM138" s="101"/>
      <c r="EN138" s="101"/>
      <c r="EO138" s="101"/>
      <c r="EP138" s="101"/>
      <c r="EQ138" s="101"/>
      <c r="ER138" s="101"/>
      <c r="ES138" s="101"/>
      <c r="ET138" s="101"/>
      <c r="EU138" s="101"/>
      <c r="EV138" s="101"/>
      <c r="EW138" s="101"/>
      <c r="EX138" s="101"/>
      <c r="EY138" s="101"/>
      <c r="EZ138" s="101"/>
      <c r="FA138" s="101"/>
      <c r="FB138" s="101"/>
      <c r="FC138" s="101"/>
      <c r="FD138" s="101"/>
      <c r="FE138" s="101"/>
      <c r="FF138" s="101"/>
      <c r="FG138" s="101"/>
      <c r="FH138" s="101"/>
      <c r="FI138" s="101"/>
      <c r="FJ138" s="101"/>
      <c r="FK138" s="101"/>
      <c r="FL138" s="101"/>
      <c r="FM138" s="101"/>
      <c r="FN138" s="101"/>
      <c r="FO138" s="101"/>
      <c r="FP138" s="101"/>
      <c r="FQ138" s="101"/>
      <c r="FR138" s="101"/>
      <c r="FS138" s="101"/>
      <c r="FT138" s="101"/>
      <c r="FU138" s="101"/>
      <c r="FV138" s="101"/>
      <c r="FW138" s="101"/>
      <c r="FX138" s="101"/>
      <c r="FY138" s="101"/>
      <c r="FZ138" s="101"/>
      <c r="GA138" s="101"/>
      <c r="GB138" s="101"/>
      <c r="GC138" s="101"/>
      <c r="GD138" s="101"/>
      <c r="GE138" s="101"/>
      <c r="GF138" s="101"/>
      <c r="GG138" s="101"/>
      <c r="GH138" s="101"/>
      <c r="GI138" s="101"/>
      <c r="GJ138" s="101"/>
      <c r="GK138" s="101"/>
      <c r="GL138" s="101"/>
      <c r="GM138" s="101"/>
      <c r="GN138" s="101"/>
      <c r="GO138" s="101"/>
      <c r="GP138" s="101"/>
      <c r="GQ138" s="101"/>
      <c r="GR138" s="101"/>
      <c r="GS138" s="101"/>
      <c r="GT138" s="101"/>
      <c r="GU138" s="101"/>
      <c r="GV138" s="101"/>
      <c r="GW138" s="101"/>
      <c r="GX138" s="101"/>
      <c r="GY138" s="101"/>
      <c r="GZ138" s="101"/>
      <c r="HA138" s="101"/>
      <c r="HB138" s="101"/>
      <c r="HC138" s="101"/>
      <c r="HD138" s="101"/>
      <c r="HE138" s="101"/>
      <c r="HF138" s="101"/>
      <c r="HG138" s="101"/>
      <c r="HH138" s="101"/>
      <c r="HI138" s="101"/>
      <c r="HJ138" s="101"/>
      <c r="HK138" s="101"/>
      <c r="HL138" s="101"/>
    </row>
    <row r="139">
      <c r="A139" s="29"/>
      <c r="B139" s="59"/>
      <c r="C139" s="29"/>
      <c r="D139" s="40"/>
      <c r="E139" s="82"/>
      <c r="F139" s="100"/>
      <c r="G139" s="100"/>
      <c r="H139" s="103"/>
      <c r="I139" s="82"/>
      <c r="J139" s="35"/>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c r="CZ139" s="101"/>
      <c r="DA139" s="101"/>
      <c r="DB139" s="101"/>
      <c r="DC139" s="101"/>
      <c r="DD139" s="101"/>
      <c r="DE139" s="101"/>
      <c r="DF139" s="101"/>
      <c r="DG139" s="101"/>
      <c r="DH139" s="101"/>
      <c r="DI139" s="101"/>
      <c r="DJ139" s="101"/>
      <c r="DK139" s="101"/>
      <c r="DL139" s="101"/>
      <c r="DM139" s="101"/>
      <c r="DN139" s="101"/>
      <c r="DO139" s="101"/>
      <c r="DP139" s="101"/>
      <c r="DQ139" s="101"/>
      <c r="DR139" s="101"/>
      <c r="DS139" s="101"/>
      <c r="DT139" s="101"/>
      <c r="DU139" s="101"/>
      <c r="DV139" s="101"/>
      <c r="DW139" s="101"/>
      <c r="DX139" s="101"/>
      <c r="DY139" s="101"/>
      <c r="DZ139" s="101"/>
      <c r="EA139" s="101"/>
      <c r="EB139" s="101"/>
      <c r="EC139" s="101"/>
      <c r="ED139" s="101"/>
      <c r="EE139" s="101"/>
      <c r="EF139" s="101"/>
      <c r="EG139" s="101"/>
      <c r="EH139" s="101"/>
      <c r="EI139" s="101"/>
      <c r="EJ139" s="101"/>
      <c r="EK139" s="101"/>
      <c r="EL139" s="101"/>
      <c r="EM139" s="101"/>
      <c r="EN139" s="101"/>
      <c r="EO139" s="101"/>
      <c r="EP139" s="101"/>
      <c r="EQ139" s="101"/>
      <c r="ER139" s="101"/>
      <c r="ES139" s="101"/>
      <c r="ET139" s="101"/>
      <c r="EU139" s="101"/>
      <c r="EV139" s="101"/>
      <c r="EW139" s="101"/>
      <c r="EX139" s="101"/>
      <c r="EY139" s="101"/>
      <c r="EZ139" s="101"/>
      <c r="FA139" s="101"/>
      <c r="FB139" s="101"/>
      <c r="FC139" s="101"/>
      <c r="FD139" s="101"/>
      <c r="FE139" s="101"/>
      <c r="FF139" s="101"/>
      <c r="FG139" s="101"/>
      <c r="FH139" s="101"/>
      <c r="FI139" s="101"/>
      <c r="FJ139" s="101"/>
      <c r="FK139" s="101"/>
      <c r="FL139" s="101"/>
      <c r="FM139" s="101"/>
      <c r="FN139" s="101"/>
      <c r="FO139" s="101"/>
      <c r="FP139" s="101"/>
      <c r="FQ139" s="101"/>
      <c r="FR139" s="101"/>
      <c r="FS139" s="101"/>
      <c r="FT139" s="101"/>
      <c r="FU139" s="101"/>
      <c r="FV139" s="101"/>
      <c r="FW139" s="101"/>
      <c r="FX139" s="101"/>
      <c r="FY139" s="101"/>
      <c r="FZ139" s="101"/>
      <c r="GA139" s="101"/>
      <c r="GB139" s="101"/>
      <c r="GC139" s="101"/>
      <c r="GD139" s="101"/>
      <c r="GE139" s="101"/>
      <c r="GF139" s="101"/>
      <c r="GG139" s="101"/>
      <c r="GH139" s="101"/>
      <c r="GI139" s="101"/>
      <c r="GJ139" s="101"/>
      <c r="GK139" s="101"/>
      <c r="GL139" s="101"/>
      <c r="GM139" s="101"/>
      <c r="GN139" s="101"/>
      <c r="GO139" s="101"/>
      <c r="GP139" s="101"/>
      <c r="GQ139" s="101"/>
      <c r="GR139" s="101"/>
      <c r="GS139" s="101"/>
      <c r="GT139" s="101"/>
      <c r="GU139" s="101"/>
      <c r="GV139" s="101"/>
      <c r="GW139" s="101"/>
      <c r="GX139" s="101"/>
      <c r="GY139" s="101"/>
      <c r="GZ139" s="101"/>
      <c r="HA139" s="101"/>
      <c r="HB139" s="101"/>
      <c r="HC139" s="101"/>
      <c r="HD139" s="101"/>
      <c r="HE139" s="101"/>
      <c r="HF139" s="101"/>
      <c r="HG139" s="101"/>
      <c r="HH139" s="101"/>
      <c r="HI139" s="101"/>
      <c r="HJ139" s="101"/>
      <c r="HK139" s="101"/>
      <c r="HL139" s="101"/>
    </row>
    <row r="140">
      <c r="A140" s="29"/>
      <c r="B140" s="59"/>
      <c r="C140" s="29"/>
      <c r="D140" s="40"/>
      <c r="E140" s="82"/>
      <c r="F140" s="100"/>
      <c r="G140" s="100"/>
      <c r="H140" s="103"/>
      <c r="I140" s="82"/>
      <c r="J140" s="35"/>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c r="CZ140" s="101"/>
      <c r="DA140" s="101"/>
      <c r="DB140" s="101"/>
      <c r="DC140" s="101"/>
      <c r="DD140" s="101"/>
      <c r="DE140" s="101"/>
      <c r="DF140" s="101"/>
      <c r="DG140" s="101"/>
      <c r="DH140" s="101"/>
      <c r="DI140" s="101"/>
      <c r="DJ140" s="101"/>
      <c r="DK140" s="101"/>
      <c r="DL140" s="101"/>
      <c r="DM140" s="101"/>
      <c r="DN140" s="101"/>
      <c r="DO140" s="101"/>
      <c r="DP140" s="101"/>
      <c r="DQ140" s="101"/>
      <c r="DR140" s="101"/>
      <c r="DS140" s="101"/>
      <c r="DT140" s="101"/>
      <c r="DU140" s="101"/>
      <c r="DV140" s="101"/>
      <c r="DW140" s="101"/>
      <c r="DX140" s="101"/>
      <c r="DY140" s="101"/>
      <c r="DZ140" s="101"/>
      <c r="EA140" s="101"/>
      <c r="EB140" s="101"/>
      <c r="EC140" s="101"/>
      <c r="ED140" s="101"/>
      <c r="EE140" s="101"/>
      <c r="EF140" s="101"/>
      <c r="EG140" s="101"/>
      <c r="EH140" s="101"/>
      <c r="EI140" s="101"/>
      <c r="EJ140" s="101"/>
      <c r="EK140" s="101"/>
      <c r="EL140" s="101"/>
      <c r="EM140" s="101"/>
      <c r="EN140" s="101"/>
      <c r="EO140" s="101"/>
      <c r="EP140" s="101"/>
      <c r="EQ140" s="101"/>
      <c r="ER140" s="101"/>
      <c r="ES140" s="101"/>
      <c r="ET140" s="101"/>
      <c r="EU140" s="101"/>
      <c r="EV140" s="101"/>
      <c r="EW140" s="101"/>
      <c r="EX140" s="101"/>
      <c r="EY140" s="101"/>
      <c r="EZ140" s="101"/>
      <c r="FA140" s="101"/>
      <c r="FB140" s="101"/>
      <c r="FC140" s="101"/>
      <c r="FD140" s="101"/>
      <c r="FE140" s="101"/>
      <c r="FF140" s="101"/>
      <c r="FG140" s="101"/>
      <c r="FH140" s="101"/>
      <c r="FI140" s="101"/>
      <c r="FJ140" s="101"/>
      <c r="FK140" s="101"/>
      <c r="FL140" s="101"/>
      <c r="FM140" s="101"/>
      <c r="FN140" s="101"/>
      <c r="FO140" s="101"/>
      <c r="FP140" s="101"/>
      <c r="FQ140" s="101"/>
      <c r="FR140" s="101"/>
      <c r="FS140" s="101"/>
      <c r="FT140" s="101"/>
      <c r="FU140" s="101"/>
      <c r="FV140" s="101"/>
      <c r="FW140" s="101"/>
      <c r="FX140" s="101"/>
      <c r="FY140" s="101"/>
      <c r="FZ140" s="101"/>
      <c r="GA140" s="101"/>
      <c r="GB140" s="101"/>
      <c r="GC140" s="101"/>
      <c r="GD140" s="101"/>
      <c r="GE140" s="101"/>
      <c r="GF140" s="101"/>
      <c r="GG140" s="101"/>
      <c r="GH140" s="101"/>
      <c r="GI140" s="101"/>
      <c r="GJ140" s="101"/>
      <c r="GK140" s="101"/>
      <c r="GL140" s="101"/>
      <c r="GM140" s="101"/>
      <c r="GN140" s="101"/>
      <c r="GO140" s="101"/>
      <c r="GP140" s="101"/>
      <c r="GQ140" s="101"/>
      <c r="GR140" s="101"/>
      <c r="GS140" s="101"/>
      <c r="GT140" s="101"/>
      <c r="GU140" s="101"/>
      <c r="GV140" s="101"/>
      <c r="GW140" s="101"/>
      <c r="GX140" s="101"/>
      <c r="GY140" s="101"/>
      <c r="GZ140" s="101"/>
      <c r="HA140" s="101"/>
      <c r="HB140" s="101"/>
      <c r="HC140" s="101"/>
      <c r="HD140" s="101"/>
      <c r="HE140" s="101"/>
      <c r="HF140" s="101"/>
      <c r="HG140" s="101"/>
      <c r="HH140" s="101"/>
      <c r="HI140" s="101"/>
      <c r="HJ140" s="101"/>
      <c r="HK140" s="101"/>
      <c r="HL140" s="101"/>
    </row>
    <row r="141">
      <c r="A141" s="29"/>
      <c r="B141" s="59"/>
      <c r="C141" s="29"/>
      <c r="D141" s="40"/>
      <c r="E141" s="82"/>
      <c r="F141" s="100"/>
      <c r="G141" s="100"/>
      <c r="H141" s="103"/>
      <c r="I141" s="82"/>
      <c r="J141" s="35"/>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c r="CZ141" s="101"/>
      <c r="DA141" s="101"/>
      <c r="DB141" s="101"/>
      <c r="DC141" s="101"/>
      <c r="DD141" s="101"/>
      <c r="DE141" s="101"/>
      <c r="DF141" s="101"/>
      <c r="DG141" s="101"/>
      <c r="DH141" s="101"/>
      <c r="DI141" s="101"/>
      <c r="DJ141" s="101"/>
      <c r="DK141" s="101"/>
      <c r="DL141" s="101"/>
      <c r="DM141" s="101"/>
      <c r="DN141" s="101"/>
      <c r="DO141" s="101"/>
      <c r="DP141" s="101"/>
      <c r="DQ141" s="101"/>
      <c r="DR141" s="101"/>
      <c r="DS141" s="101"/>
      <c r="DT141" s="101"/>
      <c r="DU141" s="101"/>
      <c r="DV141" s="101"/>
      <c r="DW141" s="101"/>
      <c r="DX141" s="101"/>
      <c r="DY141" s="101"/>
      <c r="DZ141" s="101"/>
      <c r="EA141" s="101"/>
      <c r="EB141" s="101"/>
      <c r="EC141" s="101"/>
      <c r="ED141" s="101"/>
      <c r="EE141" s="101"/>
      <c r="EF141" s="101"/>
      <c r="EG141" s="101"/>
      <c r="EH141" s="101"/>
      <c r="EI141" s="101"/>
      <c r="EJ141" s="101"/>
      <c r="EK141" s="101"/>
      <c r="EL141" s="101"/>
      <c r="EM141" s="101"/>
      <c r="EN141" s="101"/>
      <c r="EO141" s="101"/>
      <c r="EP141" s="101"/>
      <c r="EQ141" s="101"/>
      <c r="ER141" s="101"/>
      <c r="ES141" s="101"/>
      <c r="ET141" s="101"/>
      <c r="EU141" s="101"/>
      <c r="EV141" s="101"/>
      <c r="EW141" s="101"/>
      <c r="EX141" s="101"/>
      <c r="EY141" s="101"/>
      <c r="EZ141" s="101"/>
      <c r="FA141" s="101"/>
      <c r="FB141" s="101"/>
      <c r="FC141" s="101"/>
      <c r="FD141" s="101"/>
      <c r="FE141" s="101"/>
      <c r="FF141" s="101"/>
      <c r="FG141" s="101"/>
      <c r="FH141" s="101"/>
      <c r="FI141" s="101"/>
      <c r="FJ141" s="101"/>
      <c r="FK141" s="101"/>
      <c r="FL141" s="101"/>
      <c r="FM141" s="101"/>
      <c r="FN141" s="101"/>
      <c r="FO141" s="101"/>
      <c r="FP141" s="101"/>
      <c r="FQ141" s="101"/>
      <c r="FR141" s="101"/>
      <c r="FS141" s="101"/>
      <c r="FT141" s="101"/>
      <c r="FU141" s="101"/>
      <c r="FV141" s="101"/>
      <c r="FW141" s="101"/>
      <c r="FX141" s="101"/>
      <c r="FY141" s="101"/>
      <c r="FZ141" s="101"/>
      <c r="GA141" s="101"/>
      <c r="GB141" s="101"/>
      <c r="GC141" s="101"/>
      <c r="GD141" s="101"/>
      <c r="GE141" s="101"/>
      <c r="GF141" s="101"/>
      <c r="GG141" s="101"/>
      <c r="GH141" s="101"/>
      <c r="GI141" s="101"/>
      <c r="GJ141" s="101"/>
      <c r="GK141" s="101"/>
      <c r="GL141" s="101"/>
      <c r="GM141" s="101"/>
      <c r="GN141" s="101"/>
      <c r="GO141" s="101"/>
      <c r="GP141" s="101"/>
      <c r="GQ141" s="101"/>
      <c r="GR141" s="101"/>
      <c r="GS141" s="101"/>
      <c r="GT141" s="101"/>
      <c r="GU141" s="101"/>
      <c r="GV141" s="101"/>
      <c r="GW141" s="101"/>
      <c r="GX141" s="101"/>
      <c r="GY141" s="101"/>
      <c r="GZ141" s="101"/>
      <c r="HA141" s="101"/>
      <c r="HB141" s="101"/>
      <c r="HC141" s="101"/>
      <c r="HD141" s="101"/>
      <c r="HE141" s="101"/>
      <c r="HF141" s="101"/>
      <c r="HG141" s="101"/>
      <c r="HH141" s="101"/>
      <c r="HI141" s="101"/>
      <c r="HJ141" s="101"/>
      <c r="HK141" s="101"/>
      <c r="HL141" s="101"/>
    </row>
    <row r="142">
      <c r="A142" s="29"/>
      <c r="B142" s="59"/>
      <c r="C142" s="29"/>
      <c r="D142" s="40"/>
      <c r="E142" s="82"/>
      <c r="F142" s="100"/>
      <c r="G142" s="100"/>
      <c r="H142" s="103"/>
      <c r="I142" s="82"/>
      <c r="J142" s="35"/>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c r="CZ142" s="101"/>
      <c r="DA142" s="101"/>
      <c r="DB142" s="101"/>
      <c r="DC142" s="101"/>
      <c r="DD142" s="101"/>
      <c r="DE142" s="101"/>
      <c r="DF142" s="101"/>
      <c r="DG142" s="101"/>
      <c r="DH142" s="101"/>
      <c r="DI142" s="101"/>
      <c r="DJ142" s="101"/>
      <c r="DK142" s="101"/>
      <c r="DL142" s="101"/>
      <c r="DM142" s="101"/>
      <c r="DN142" s="101"/>
      <c r="DO142" s="101"/>
      <c r="DP142" s="101"/>
      <c r="DQ142" s="101"/>
      <c r="DR142" s="101"/>
      <c r="DS142" s="101"/>
      <c r="DT142" s="101"/>
      <c r="DU142" s="101"/>
      <c r="DV142" s="101"/>
      <c r="DW142" s="101"/>
      <c r="DX142" s="101"/>
      <c r="DY142" s="101"/>
      <c r="DZ142" s="101"/>
      <c r="EA142" s="101"/>
      <c r="EB142" s="101"/>
      <c r="EC142" s="101"/>
      <c r="ED142" s="101"/>
      <c r="EE142" s="101"/>
      <c r="EF142" s="101"/>
      <c r="EG142" s="101"/>
      <c r="EH142" s="101"/>
      <c r="EI142" s="101"/>
      <c r="EJ142" s="101"/>
      <c r="EK142" s="101"/>
      <c r="EL142" s="101"/>
      <c r="EM142" s="101"/>
      <c r="EN142" s="101"/>
      <c r="EO142" s="101"/>
      <c r="EP142" s="101"/>
      <c r="EQ142" s="101"/>
      <c r="ER142" s="101"/>
      <c r="ES142" s="101"/>
      <c r="ET142" s="101"/>
      <c r="EU142" s="101"/>
      <c r="EV142" s="101"/>
      <c r="EW142" s="101"/>
      <c r="EX142" s="101"/>
      <c r="EY142" s="101"/>
      <c r="EZ142" s="101"/>
      <c r="FA142" s="101"/>
      <c r="FB142" s="101"/>
      <c r="FC142" s="101"/>
      <c r="FD142" s="101"/>
      <c r="FE142" s="101"/>
      <c r="FF142" s="101"/>
      <c r="FG142" s="101"/>
      <c r="FH142" s="101"/>
      <c r="FI142" s="101"/>
      <c r="FJ142" s="101"/>
      <c r="FK142" s="101"/>
      <c r="FL142" s="101"/>
      <c r="FM142" s="101"/>
      <c r="FN142" s="101"/>
      <c r="FO142" s="101"/>
      <c r="FP142" s="101"/>
      <c r="FQ142" s="101"/>
      <c r="FR142" s="101"/>
      <c r="FS142" s="101"/>
      <c r="FT142" s="101"/>
      <c r="FU142" s="101"/>
      <c r="FV142" s="101"/>
      <c r="FW142" s="101"/>
      <c r="FX142" s="101"/>
      <c r="FY142" s="101"/>
      <c r="FZ142" s="101"/>
      <c r="GA142" s="101"/>
      <c r="GB142" s="101"/>
      <c r="GC142" s="101"/>
      <c r="GD142" s="101"/>
      <c r="GE142" s="101"/>
      <c r="GF142" s="101"/>
      <c r="GG142" s="101"/>
      <c r="GH142" s="101"/>
      <c r="GI142" s="101"/>
      <c r="GJ142" s="101"/>
      <c r="GK142" s="101"/>
      <c r="GL142" s="101"/>
      <c r="GM142" s="101"/>
      <c r="GN142" s="101"/>
      <c r="GO142" s="101"/>
      <c r="GP142" s="101"/>
      <c r="GQ142" s="101"/>
      <c r="GR142" s="101"/>
      <c r="GS142" s="101"/>
      <c r="GT142" s="101"/>
      <c r="GU142" s="101"/>
      <c r="GV142" s="101"/>
      <c r="GW142" s="101"/>
      <c r="GX142" s="101"/>
      <c r="GY142" s="101"/>
      <c r="GZ142" s="101"/>
      <c r="HA142" s="101"/>
      <c r="HB142" s="101"/>
      <c r="HC142" s="101"/>
      <c r="HD142" s="101"/>
      <c r="HE142" s="101"/>
      <c r="HF142" s="101"/>
      <c r="HG142" s="101"/>
      <c r="HH142" s="101"/>
      <c r="HI142" s="101"/>
      <c r="HJ142" s="101"/>
      <c r="HK142" s="101"/>
      <c r="HL142" s="101"/>
    </row>
    <row r="143" s="5" customFormat="1">
      <c r="A143" s="45"/>
      <c r="B143" s="3"/>
      <c r="C143" s="3"/>
      <c r="D143" s="3"/>
      <c r="E143" s="3"/>
      <c r="F143" s="84"/>
      <c r="G143" s="84"/>
      <c r="H143" s="84"/>
      <c r="I143" s="95"/>
      <c r="J143" s="28"/>
    </row>
    <row r="144" s="5" customFormat="1">
      <c r="A144" s="45"/>
      <c r="B144" s="94"/>
      <c r="C144" s="3"/>
      <c r="D144" s="3"/>
      <c r="E144" s="3"/>
      <c r="F144" s="98"/>
      <c r="G144" s="98"/>
      <c r="H144" s="98"/>
      <c r="I144" s="95"/>
      <c r="J144" s="28"/>
    </row>
    <row r="145">
      <c r="A145" s="29"/>
      <c r="B145" s="59"/>
      <c r="C145" s="29"/>
      <c r="D145" s="40"/>
      <c r="E145" s="82"/>
      <c r="F145" s="100"/>
      <c r="G145" s="100"/>
      <c r="H145" s="100"/>
      <c r="I145" s="82"/>
      <c r="J145" s="35"/>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c r="CZ145" s="101"/>
      <c r="DA145" s="101"/>
      <c r="DB145" s="101"/>
      <c r="DC145" s="101"/>
      <c r="DD145" s="101"/>
      <c r="DE145" s="101"/>
      <c r="DF145" s="101"/>
      <c r="DG145" s="101"/>
      <c r="DH145" s="101"/>
      <c r="DI145" s="101"/>
      <c r="DJ145" s="101"/>
      <c r="DK145" s="101"/>
      <c r="DL145" s="101"/>
      <c r="DM145" s="101"/>
      <c r="DN145" s="101"/>
      <c r="DO145" s="101"/>
      <c r="DP145" s="101"/>
      <c r="DQ145" s="101"/>
      <c r="DR145" s="101"/>
      <c r="DS145" s="101"/>
      <c r="DT145" s="101"/>
      <c r="DU145" s="101"/>
      <c r="DV145" s="101"/>
      <c r="DW145" s="101"/>
      <c r="DX145" s="101"/>
      <c r="DY145" s="101"/>
      <c r="DZ145" s="101"/>
      <c r="EA145" s="101"/>
      <c r="EB145" s="101"/>
      <c r="EC145" s="101"/>
      <c r="ED145" s="101"/>
      <c r="EE145" s="101"/>
      <c r="EF145" s="101"/>
      <c r="EG145" s="101"/>
      <c r="EH145" s="101"/>
      <c r="EI145" s="101"/>
      <c r="EJ145" s="101"/>
      <c r="EK145" s="101"/>
      <c r="EL145" s="101"/>
      <c r="EM145" s="101"/>
      <c r="EN145" s="101"/>
      <c r="EO145" s="101"/>
      <c r="EP145" s="101"/>
      <c r="EQ145" s="101"/>
      <c r="ER145" s="101"/>
      <c r="ES145" s="101"/>
      <c r="ET145" s="101"/>
      <c r="EU145" s="101"/>
      <c r="EV145" s="101"/>
      <c r="EW145" s="101"/>
      <c r="EX145" s="101"/>
      <c r="EY145" s="101"/>
      <c r="EZ145" s="101"/>
      <c r="FA145" s="101"/>
      <c r="FB145" s="101"/>
      <c r="FC145" s="101"/>
      <c r="FD145" s="101"/>
      <c r="FE145" s="101"/>
      <c r="FF145" s="101"/>
      <c r="FG145" s="101"/>
      <c r="FH145" s="101"/>
      <c r="FI145" s="101"/>
      <c r="FJ145" s="101"/>
      <c r="FK145" s="101"/>
      <c r="FL145" s="101"/>
      <c r="FM145" s="101"/>
      <c r="FN145" s="101"/>
      <c r="FO145" s="101"/>
      <c r="FP145" s="101"/>
      <c r="FQ145" s="101"/>
      <c r="FR145" s="101"/>
      <c r="FS145" s="101"/>
      <c r="FT145" s="101"/>
      <c r="FU145" s="101"/>
      <c r="FV145" s="101"/>
      <c r="FW145" s="101"/>
      <c r="FX145" s="101"/>
      <c r="FY145" s="101"/>
      <c r="FZ145" s="101"/>
      <c r="GA145" s="101"/>
      <c r="GB145" s="101"/>
      <c r="GC145" s="101"/>
      <c r="GD145" s="101"/>
      <c r="GE145" s="101"/>
      <c r="GF145" s="101"/>
      <c r="GG145" s="101"/>
      <c r="GH145" s="101"/>
      <c r="GI145" s="101"/>
      <c r="GJ145" s="101"/>
      <c r="GK145" s="101"/>
      <c r="GL145" s="101"/>
      <c r="GM145" s="101"/>
      <c r="GN145" s="101"/>
      <c r="GO145" s="101"/>
      <c r="GP145" s="101"/>
      <c r="GQ145" s="101"/>
      <c r="GR145" s="101"/>
      <c r="GS145" s="101"/>
      <c r="GT145" s="101"/>
      <c r="GU145" s="101"/>
      <c r="GV145" s="101"/>
      <c r="GW145" s="101"/>
      <c r="GX145" s="101"/>
      <c r="GY145" s="101"/>
      <c r="GZ145" s="101"/>
      <c r="HA145" s="101"/>
      <c r="HB145" s="101"/>
      <c r="HC145" s="101"/>
      <c r="HD145" s="101"/>
      <c r="HE145" s="101"/>
      <c r="HF145" s="101"/>
      <c r="HG145" s="101"/>
      <c r="HH145" s="101"/>
      <c r="HI145" s="101"/>
      <c r="HJ145" s="101"/>
      <c r="HK145" s="101"/>
      <c r="HL145" s="101"/>
    </row>
    <row r="146" s="2" customFormat="1">
      <c r="A146" s="45"/>
      <c r="B146" s="3"/>
      <c r="C146" s="27"/>
      <c r="D146" s="27"/>
      <c r="E146" s="27"/>
      <c r="F146" s="27"/>
      <c r="G146" s="27"/>
      <c r="H146" s="45"/>
      <c r="I146" s="27"/>
      <c r="J146" s="64"/>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3"/>
      <c r="EL146" s="13"/>
      <c r="EM146" s="13"/>
      <c r="EN146" s="13"/>
      <c r="EO146" s="13"/>
      <c r="EP146" s="13"/>
      <c r="EQ146" s="13"/>
      <c r="ER146" s="13"/>
      <c r="ES146" s="13"/>
      <c r="ET146" s="13"/>
      <c r="EU146" s="13"/>
      <c r="EV146" s="13"/>
      <c r="EW146" s="13"/>
      <c r="EX146" s="13"/>
      <c r="EY146" s="13"/>
      <c r="EZ146" s="13"/>
      <c r="FA146" s="13"/>
      <c r="FB146" s="13"/>
      <c r="FC146" s="13"/>
      <c r="FD146" s="13"/>
      <c r="FE146" s="13"/>
      <c r="FF146" s="13"/>
      <c r="FG146" s="13"/>
      <c r="FH146" s="13"/>
      <c r="FI146" s="13"/>
      <c r="FJ146" s="13"/>
      <c r="FK146" s="13"/>
      <c r="FL146" s="13"/>
      <c r="FM146" s="13"/>
      <c r="FN146" s="13"/>
      <c r="FO146" s="13"/>
      <c r="FP146" s="13"/>
      <c r="FQ146" s="13"/>
      <c r="FR146" s="13"/>
      <c r="FS146" s="13"/>
      <c r="FT146" s="13"/>
      <c r="FU146" s="13"/>
      <c r="FV146" s="13"/>
      <c r="FW146" s="13"/>
      <c r="FX146" s="13"/>
      <c r="FY146" s="13"/>
      <c r="FZ146" s="13"/>
      <c r="GA146" s="13"/>
      <c r="GB146" s="13"/>
      <c r="GC146" s="13"/>
      <c r="GD146" s="13"/>
      <c r="GE146" s="13"/>
      <c r="GF146" s="13"/>
      <c r="GG146" s="13"/>
      <c r="GH146" s="13"/>
      <c r="GI146" s="13"/>
      <c r="GJ146" s="13"/>
      <c r="GK146" s="13"/>
      <c r="GL146" s="13"/>
      <c r="GM146" s="13"/>
      <c r="GN146" s="13"/>
      <c r="GO146" s="13"/>
      <c r="GP146" s="13"/>
      <c r="GQ146" s="13"/>
      <c r="GR146" s="13"/>
      <c r="GS146" s="13"/>
      <c r="GT146" s="13"/>
      <c r="GU146" s="13"/>
      <c r="GV146" s="13"/>
      <c r="GW146" s="13"/>
      <c r="GX146" s="13"/>
      <c r="GY146" s="13"/>
      <c r="GZ146" s="13"/>
      <c r="HA146" s="13"/>
      <c r="HB146" s="13"/>
      <c r="HC146" s="13"/>
      <c r="HD146" s="13"/>
      <c r="HE146" s="13"/>
      <c r="HF146" s="13"/>
      <c r="HG146" s="13"/>
      <c r="HH146" s="13"/>
      <c r="HI146" s="13"/>
      <c r="HJ146" s="13"/>
      <c r="HK146" s="13"/>
      <c r="HL146" s="13"/>
      <c r="HM146" s="13"/>
      <c r="HN146" s="13"/>
      <c r="HO146" s="13"/>
      <c r="HP146" s="13"/>
      <c r="HQ146" s="13"/>
      <c r="HR146" s="13"/>
      <c r="HS146" s="13"/>
      <c r="HT146" s="13"/>
      <c r="HU146" s="13"/>
      <c r="HV146" s="13"/>
      <c r="HW146" s="13"/>
      <c r="HX146" s="13"/>
      <c r="HY146" s="13"/>
      <c r="HZ146" s="13"/>
      <c r="IA146" s="13"/>
      <c r="IB146" s="13"/>
      <c r="IC146" s="5"/>
      <c r="ID146" s="5"/>
      <c r="IE146" s="5"/>
      <c r="IF146" s="5"/>
      <c r="IG146" s="5"/>
      <c r="IH146" s="5"/>
      <c r="II146" s="5"/>
      <c r="IJ146" s="5"/>
      <c r="IK146" s="5"/>
      <c r="IL146" s="5"/>
      <c r="IM146" s="5"/>
      <c r="IN146" s="5"/>
    </row>
    <row r="147">
      <c r="A147" s="29"/>
      <c r="B147" s="59"/>
      <c r="C147" s="29"/>
      <c r="D147" s="40"/>
      <c r="E147" s="82"/>
      <c r="F147" s="100"/>
      <c r="G147" s="100"/>
      <c r="H147" s="100"/>
      <c r="I147" s="82"/>
      <c r="J147" s="35"/>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c r="CZ147" s="101"/>
      <c r="DA147" s="101"/>
      <c r="DB147" s="101"/>
      <c r="DC147" s="101"/>
      <c r="DD147" s="101"/>
      <c r="DE147" s="101"/>
      <c r="DF147" s="101"/>
      <c r="DG147" s="101"/>
      <c r="DH147" s="101"/>
      <c r="DI147" s="101"/>
      <c r="DJ147" s="101"/>
      <c r="DK147" s="101"/>
      <c r="DL147" s="101"/>
      <c r="DM147" s="101"/>
      <c r="DN147" s="101"/>
      <c r="DO147" s="101"/>
      <c r="DP147" s="101"/>
      <c r="DQ147" s="101"/>
      <c r="DR147" s="101"/>
      <c r="DS147" s="101"/>
      <c r="DT147" s="101"/>
      <c r="DU147" s="101"/>
      <c r="DV147" s="101"/>
      <c r="DW147" s="101"/>
      <c r="DX147" s="101"/>
      <c r="DY147" s="101"/>
      <c r="DZ147" s="101"/>
      <c r="EA147" s="101"/>
      <c r="EB147" s="101"/>
      <c r="EC147" s="101"/>
      <c r="ED147" s="101"/>
      <c r="EE147" s="101"/>
      <c r="EF147" s="101"/>
      <c r="EG147" s="101"/>
      <c r="EH147" s="101"/>
      <c r="EI147" s="101"/>
      <c r="EJ147" s="101"/>
      <c r="EK147" s="101"/>
      <c r="EL147" s="101"/>
      <c r="EM147" s="101"/>
      <c r="EN147" s="101"/>
      <c r="EO147" s="101"/>
      <c r="EP147" s="101"/>
      <c r="EQ147" s="101"/>
      <c r="ER147" s="101"/>
      <c r="ES147" s="101"/>
      <c r="ET147" s="101"/>
      <c r="EU147" s="101"/>
      <c r="EV147" s="101"/>
      <c r="EW147" s="101"/>
      <c r="EX147" s="101"/>
      <c r="EY147" s="101"/>
      <c r="EZ147" s="101"/>
      <c r="FA147" s="101"/>
      <c r="FB147" s="101"/>
      <c r="FC147" s="101"/>
      <c r="FD147" s="101"/>
      <c r="FE147" s="101"/>
      <c r="FF147" s="101"/>
      <c r="FG147" s="101"/>
      <c r="FH147" s="101"/>
      <c r="FI147" s="101"/>
      <c r="FJ147" s="101"/>
      <c r="FK147" s="101"/>
      <c r="FL147" s="101"/>
      <c r="FM147" s="101"/>
      <c r="FN147" s="101"/>
      <c r="FO147" s="101"/>
      <c r="FP147" s="101"/>
      <c r="FQ147" s="101"/>
      <c r="FR147" s="101"/>
      <c r="FS147" s="101"/>
      <c r="FT147" s="101"/>
      <c r="FU147" s="101"/>
      <c r="FV147" s="101"/>
      <c r="FW147" s="101"/>
      <c r="FX147" s="101"/>
      <c r="FY147" s="101"/>
      <c r="FZ147" s="101"/>
      <c r="GA147" s="101"/>
      <c r="GB147" s="101"/>
      <c r="GC147" s="101"/>
      <c r="GD147" s="101"/>
      <c r="GE147" s="101"/>
      <c r="GF147" s="101"/>
      <c r="GG147" s="101"/>
      <c r="GH147" s="101"/>
      <c r="GI147" s="101"/>
      <c r="GJ147" s="101"/>
      <c r="GK147" s="101"/>
      <c r="GL147" s="101"/>
      <c r="GM147" s="101"/>
      <c r="GN147" s="101"/>
      <c r="GO147" s="101"/>
      <c r="GP147" s="101"/>
      <c r="GQ147" s="101"/>
      <c r="GR147" s="101"/>
      <c r="GS147" s="101"/>
      <c r="GT147" s="101"/>
      <c r="GU147" s="101"/>
      <c r="GV147" s="101"/>
      <c r="GW147" s="101"/>
      <c r="GX147" s="101"/>
      <c r="GY147" s="101"/>
      <c r="GZ147" s="101"/>
      <c r="HA147" s="101"/>
      <c r="HB147" s="101"/>
      <c r="HC147" s="101"/>
      <c r="HD147" s="101"/>
      <c r="HE147" s="101"/>
      <c r="HF147" s="101"/>
      <c r="HG147" s="101"/>
      <c r="HH147" s="101"/>
      <c r="HI147" s="101"/>
      <c r="HJ147" s="101"/>
      <c r="HK147" s="101"/>
      <c r="HL147" s="101"/>
    </row>
    <row r="148">
      <c r="A148" s="29"/>
      <c r="B148" s="59"/>
      <c r="C148" s="29"/>
      <c r="D148" s="40"/>
      <c r="E148" s="82"/>
      <c r="F148" s="100"/>
      <c r="G148" s="100"/>
      <c r="H148" s="100"/>
      <c r="I148" s="82"/>
      <c r="J148" s="35"/>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c r="CZ148" s="101"/>
      <c r="DA148" s="101"/>
      <c r="DB148" s="101"/>
      <c r="DC148" s="101"/>
      <c r="DD148" s="101"/>
      <c r="DE148" s="101"/>
      <c r="DF148" s="101"/>
      <c r="DG148" s="101"/>
      <c r="DH148" s="101"/>
      <c r="DI148" s="101"/>
      <c r="DJ148" s="101"/>
      <c r="DK148" s="101"/>
      <c r="DL148" s="101"/>
      <c r="DM148" s="101"/>
      <c r="DN148" s="101"/>
      <c r="DO148" s="101"/>
      <c r="DP148" s="101"/>
      <c r="DQ148" s="101"/>
      <c r="DR148" s="101"/>
      <c r="DS148" s="101"/>
      <c r="DT148" s="101"/>
      <c r="DU148" s="101"/>
      <c r="DV148" s="101"/>
      <c r="DW148" s="101"/>
      <c r="DX148" s="101"/>
      <c r="DY148" s="101"/>
      <c r="DZ148" s="101"/>
      <c r="EA148" s="101"/>
      <c r="EB148" s="101"/>
      <c r="EC148" s="101"/>
      <c r="ED148" s="101"/>
      <c r="EE148" s="101"/>
      <c r="EF148" s="101"/>
      <c r="EG148" s="101"/>
      <c r="EH148" s="101"/>
      <c r="EI148" s="101"/>
      <c r="EJ148" s="101"/>
      <c r="EK148" s="101"/>
      <c r="EL148" s="101"/>
      <c r="EM148" s="101"/>
      <c r="EN148" s="101"/>
      <c r="EO148" s="101"/>
      <c r="EP148" s="101"/>
      <c r="EQ148" s="101"/>
      <c r="ER148" s="101"/>
      <c r="ES148" s="101"/>
      <c r="ET148" s="101"/>
      <c r="EU148" s="101"/>
      <c r="EV148" s="101"/>
      <c r="EW148" s="101"/>
      <c r="EX148" s="101"/>
      <c r="EY148" s="101"/>
      <c r="EZ148" s="101"/>
      <c r="FA148" s="101"/>
      <c r="FB148" s="101"/>
      <c r="FC148" s="101"/>
      <c r="FD148" s="101"/>
      <c r="FE148" s="101"/>
      <c r="FF148" s="101"/>
      <c r="FG148" s="101"/>
      <c r="FH148" s="101"/>
      <c r="FI148" s="101"/>
      <c r="FJ148" s="101"/>
      <c r="FK148" s="101"/>
      <c r="FL148" s="101"/>
      <c r="FM148" s="101"/>
      <c r="FN148" s="101"/>
      <c r="FO148" s="101"/>
      <c r="FP148" s="101"/>
      <c r="FQ148" s="101"/>
      <c r="FR148" s="101"/>
      <c r="FS148" s="101"/>
      <c r="FT148" s="101"/>
      <c r="FU148" s="101"/>
      <c r="FV148" s="101"/>
      <c r="FW148" s="101"/>
      <c r="FX148" s="101"/>
      <c r="FY148" s="101"/>
      <c r="FZ148" s="101"/>
      <c r="GA148" s="101"/>
      <c r="GB148" s="101"/>
      <c r="GC148" s="101"/>
      <c r="GD148" s="101"/>
      <c r="GE148" s="101"/>
      <c r="GF148" s="101"/>
      <c r="GG148" s="101"/>
      <c r="GH148" s="101"/>
      <c r="GI148" s="101"/>
      <c r="GJ148" s="101"/>
      <c r="GK148" s="101"/>
      <c r="GL148" s="101"/>
      <c r="GM148" s="101"/>
      <c r="GN148" s="101"/>
      <c r="GO148" s="101"/>
      <c r="GP148" s="101"/>
      <c r="GQ148" s="101"/>
      <c r="GR148" s="101"/>
      <c r="GS148" s="101"/>
      <c r="GT148" s="101"/>
      <c r="GU148" s="101"/>
      <c r="GV148" s="101"/>
      <c r="GW148" s="101"/>
      <c r="GX148" s="101"/>
      <c r="GY148" s="101"/>
      <c r="GZ148" s="101"/>
      <c r="HA148" s="101"/>
      <c r="HB148" s="101"/>
      <c r="HC148" s="101"/>
      <c r="HD148" s="101"/>
      <c r="HE148" s="101"/>
      <c r="HF148" s="101"/>
      <c r="HG148" s="101"/>
      <c r="HH148" s="101"/>
      <c r="HI148" s="101"/>
      <c r="HJ148" s="101"/>
      <c r="HK148" s="101"/>
      <c r="HL148" s="101"/>
    </row>
    <row r="149" s="11" customFormat="1" ht="27.75" customHeight="1">
      <c r="A149" s="104"/>
      <c r="B149" s="105"/>
      <c r="C149" s="105"/>
      <c r="D149" s="105"/>
      <c r="E149" s="105"/>
      <c r="F149" s="105"/>
      <c r="G149" s="105"/>
      <c r="H149" s="105"/>
      <c r="I149" s="105"/>
      <c r="J149" s="106"/>
      <c r="K149" s="107"/>
      <c r="L149" s="107"/>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7"/>
      <c r="DV149" s="107"/>
      <c r="DW149" s="107"/>
      <c r="DX149" s="107"/>
      <c r="DY149" s="107"/>
      <c r="DZ149" s="107"/>
      <c r="EA149" s="107"/>
      <c r="EB149" s="107"/>
      <c r="EC149" s="107"/>
      <c r="ED149" s="107"/>
      <c r="EE149" s="107"/>
      <c r="EF149" s="107"/>
      <c r="EG149" s="107"/>
      <c r="EH149" s="107"/>
      <c r="EI149" s="107"/>
      <c r="EJ149" s="107"/>
      <c r="EK149" s="107"/>
      <c r="EL149" s="107"/>
      <c r="EM149" s="107"/>
      <c r="EN149" s="107"/>
      <c r="EO149" s="107"/>
      <c r="EP149" s="107"/>
      <c r="EQ149" s="107"/>
      <c r="ER149" s="107"/>
      <c r="ES149" s="107"/>
      <c r="ET149" s="107"/>
      <c r="EU149" s="107"/>
      <c r="EV149" s="107"/>
      <c r="EW149" s="107"/>
      <c r="EX149" s="107"/>
      <c r="EY149" s="107"/>
      <c r="EZ149" s="107"/>
      <c r="FA149" s="107"/>
      <c r="FB149" s="107"/>
      <c r="FC149" s="107"/>
      <c r="FD149" s="107"/>
      <c r="FE149" s="107"/>
      <c r="FF149" s="107"/>
      <c r="FG149" s="107"/>
      <c r="FH149" s="107"/>
      <c r="FI149" s="107"/>
      <c r="FJ149" s="107"/>
      <c r="FK149" s="107"/>
      <c r="FL149" s="107"/>
      <c r="FM149" s="107"/>
      <c r="FN149" s="107"/>
      <c r="FO149" s="107"/>
      <c r="FP149" s="107"/>
      <c r="FQ149" s="107"/>
      <c r="FR149" s="107"/>
      <c r="FS149" s="107"/>
      <c r="FT149" s="107"/>
      <c r="FU149" s="107"/>
      <c r="FV149" s="107"/>
      <c r="FW149" s="107"/>
      <c r="FX149" s="107"/>
      <c r="FY149" s="107"/>
      <c r="FZ149" s="107"/>
      <c r="GA149" s="107"/>
      <c r="GB149" s="107"/>
      <c r="GC149" s="107"/>
      <c r="GD149" s="107"/>
      <c r="GE149" s="107"/>
      <c r="GF149" s="107"/>
      <c r="GG149" s="107"/>
      <c r="GH149" s="107"/>
      <c r="GI149" s="107"/>
      <c r="GJ149" s="107"/>
      <c r="GK149" s="107"/>
      <c r="GL149" s="107"/>
      <c r="GM149" s="107"/>
      <c r="GN149" s="107"/>
      <c r="GO149" s="107"/>
      <c r="GP149" s="107"/>
      <c r="GQ149" s="107"/>
      <c r="GR149" s="107"/>
      <c r="GS149" s="107"/>
      <c r="GT149" s="107"/>
      <c r="GU149" s="107"/>
      <c r="GV149" s="107"/>
      <c r="GW149" s="107"/>
      <c r="GX149" s="107"/>
      <c r="GY149" s="107"/>
      <c r="GZ149" s="107"/>
      <c r="HA149" s="107"/>
      <c r="HB149" s="107"/>
      <c r="HC149" s="107"/>
      <c r="HD149" s="107"/>
      <c r="HE149" s="107"/>
      <c r="HF149" s="107"/>
      <c r="HG149" s="107"/>
      <c r="HH149" s="107"/>
      <c r="HI149" s="107"/>
      <c r="HJ149" s="107"/>
      <c r="HK149" s="107"/>
      <c r="HL149" s="107"/>
      <c r="HM149" s="107"/>
      <c r="HN149" s="107"/>
      <c r="HO149" s="107"/>
      <c r="HP149" s="107"/>
      <c r="HQ149" s="107"/>
      <c r="HR149" s="107"/>
      <c r="HS149" s="107"/>
    </row>
    <row r="150" s="11" customFormat="1" ht="27" customHeight="1">
      <c r="A150" s="104"/>
      <c r="B150" s="108"/>
      <c r="C150" s="108"/>
      <c r="D150" s="108"/>
      <c r="E150" s="108"/>
      <c r="F150" s="108"/>
      <c r="G150" s="108"/>
      <c r="H150" s="108"/>
      <c r="I150" s="108"/>
      <c r="J150" s="106"/>
      <c r="K150" s="107"/>
      <c r="L150" s="107"/>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7"/>
      <c r="DV150" s="107"/>
      <c r="DW150" s="107"/>
      <c r="DX150" s="107"/>
      <c r="DY150" s="107"/>
      <c r="DZ150" s="107"/>
      <c r="EA150" s="107"/>
      <c r="EB150" s="107"/>
      <c r="EC150" s="107"/>
      <c r="ED150" s="107"/>
      <c r="EE150" s="107"/>
      <c r="EF150" s="107"/>
      <c r="EG150" s="107"/>
      <c r="EH150" s="107"/>
      <c r="EI150" s="107"/>
      <c r="EJ150" s="107"/>
      <c r="EK150" s="107"/>
      <c r="EL150" s="107"/>
      <c r="EM150" s="107"/>
      <c r="EN150" s="107"/>
      <c r="EO150" s="107"/>
      <c r="EP150" s="107"/>
      <c r="EQ150" s="107"/>
      <c r="ER150" s="107"/>
      <c r="ES150" s="107"/>
      <c r="ET150" s="107"/>
      <c r="EU150" s="107"/>
      <c r="EV150" s="107"/>
      <c r="EW150" s="107"/>
      <c r="EX150" s="107"/>
      <c r="EY150" s="107"/>
      <c r="EZ150" s="107"/>
      <c r="FA150" s="107"/>
      <c r="FB150" s="107"/>
      <c r="FC150" s="107"/>
      <c r="FD150" s="107"/>
      <c r="FE150" s="107"/>
      <c r="FF150" s="107"/>
      <c r="FG150" s="107"/>
      <c r="FH150" s="107"/>
      <c r="FI150" s="107"/>
      <c r="FJ150" s="107"/>
      <c r="FK150" s="107"/>
      <c r="FL150" s="107"/>
      <c r="FM150" s="107"/>
      <c r="FN150" s="107"/>
      <c r="FO150" s="107"/>
      <c r="FP150" s="107"/>
      <c r="FQ150" s="107"/>
      <c r="FR150" s="107"/>
      <c r="FS150" s="107"/>
      <c r="FT150" s="107"/>
      <c r="FU150" s="107"/>
      <c r="FV150" s="107"/>
      <c r="FW150" s="107"/>
      <c r="FX150" s="107"/>
      <c r="FY150" s="107"/>
      <c r="FZ150" s="107"/>
      <c r="GA150" s="107"/>
      <c r="GB150" s="107"/>
      <c r="GC150" s="107"/>
      <c r="GD150" s="107"/>
      <c r="GE150" s="107"/>
      <c r="GF150" s="107"/>
      <c r="GG150" s="107"/>
      <c r="GH150" s="107"/>
      <c r="GI150" s="107"/>
      <c r="GJ150" s="107"/>
      <c r="GK150" s="107"/>
      <c r="GL150" s="107"/>
      <c r="GM150" s="107"/>
      <c r="GN150" s="107"/>
      <c r="GO150" s="107"/>
      <c r="GP150" s="107"/>
      <c r="GQ150" s="107"/>
      <c r="GR150" s="107"/>
      <c r="GS150" s="107"/>
      <c r="GT150" s="107"/>
      <c r="GU150" s="107"/>
      <c r="GV150" s="107"/>
      <c r="GW150" s="107"/>
      <c r="GX150" s="107"/>
      <c r="GY150" s="107"/>
      <c r="GZ150" s="107"/>
      <c r="HA150" s="107"/>
      <c r="HB150" s="107"/>
      <c r="HC150" s="107"/>
      <c r="HD150" s="107"/>
      <c r="HE150" s="107"/>
      <c r="HF150" s="107"/>
      <c r="HG150" s="107"/>
      <c r="HH150" s="107"/>
      <c r="HI150" s="107"/>
      <c r="HJ150" s="107"/>
      <c r="HK150" s="107"/>
      <c r="HL150" s="107"/>
      <c r="HM150" s="107"/>
      <c r="HN150" s="107"/>
      <c r="HO150" s="107"/>
      <c r="HP150" s="107"/>
      <c r="HQ150" s="107"/>
      <c r="HR150" s="107"/>
      <c r="HS150" s="107"/>
    </row>
    <row r="151" s="11" customFormat="1" ht="31.5" customHeight="1">
      <c r="A151" s="104"/>
      <c r="B151" s="108"/>
      <c r="C151" s="108"/>
      <c r="D151" s="108"/>
      <c r="E151" s="108"/>
      <c r="F151" s="108"/>
      <c r="G151" s="108"/>
      <c r="H151" s="108"/>
      <c r="I151" s="108"/>
      <c r="J151" s="106"/>
      <c r="K151" s="107"/>
      <c r="L151" s="107"/>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7"/>
      <c r="DV151" s="107"/>
      <c r="DW151" s="107"/>
      <c r="DX151" s="107"/>
      <c r="DY151" s="107"/>
      <c r="DZ151" s="107"/>
      <c r="EA151" s="107"/>
      <c r="EB151" s="107"/>
      <c r="EC151" s="107"/>
      <c r="ED151" s="107"/>
      <c r="EE151" s="107"/>
      <c r="EF151" s="107"/>
      <c r="EG151" s="107"/>
      <c r="EH151" s="107"/>
      <c r="EI151" s="107"/>
      <c r="EJ151" s="107"/>
      <c r="EK151" s="107"/>
      <c r="EL151" s="107"/>
      <c r="EM151" s="107"/>
      <c r="EN151" s="107"/>
      <c r="EO151" s="107"/>
      <c r="EP151" s="107"/>
      <c r="EQ151" s="107"/>
      <c r="ER151" s="107"/>
      <c r="ES151" s="107"/>
      <c r="ET151" s="107"/>
      <c r="EU151" s="107"/>
      <c r="EV151" s="107"/>
      <c r="EW151" s="107"/>
      <c r="EX151" s="107"/>
      <c r="EY151" s="107"/>
      <c r="EZ151" s="107"/>
      <c r="FA151" s="107"/>
      <c r="FB151" s="107"/>
      <c r="FC151" s="107"/>
      <c r="FD151" s="107"/>
      <c r="FE151" s="107"/>
      <c r="FF151" s="107"/>
      <c r="FG151" s="107"/>
      <c r="FH151" s="107"/>
      <c r="FI151" s="107"/>
      <c r="FJ151" s="107"/>
      <c r="FK151" s="107"/>
      <c r="FL151" s="107"/>
      <c r="FM151" s="107"/>
      <c r="FN151" s="107"/>
      <c r="FO151" s="107"/>
      <c r="FP151" s="107"/>
      <c r="FQ151" s="107"/>
      <c r="FR151" s="107"/>
      <c r="FS151" s="107"/>
      <c r="FT151" s="107"/>
      <c r="FU151" s="107"/>
      <c r="FV151" s="107"/>
      <c r="FW151" s="107"/>
      <c r="FX151" s="107"/>
      <c r="FY151" s="107"/>
      <c r="FZ151" s="107"/>
      <c r="GA151" s="107"/>
      <c r="GB151" s="107"/>
      <c r="GC151" s="107"/>
      <c r="GD151" s="107"/>
      <c r="GE151" s="107"/>
      <c r="GF151" s="107"/>
      <c r="GG151" s="107"/>
      <c r="GH151" s="107"/>
      <c r="GI151" s="107"/>
      <c r="GJ151" s="107"/>
      <c r="GK151" s="107"/>
      <c r="GL151" s="107"/>
      <c r="GM151" s="107"/>
      <c r="GN151" s="107"/>
      <c r="GO151" s="107"/>
      <c r="GP151" s="107"/>
      <c r="GQ151" s="107"/>
      <c r="GR151" s="107"/>
      <c r="GS151" s="107"/>
      <c r="GT151" s="107"/>
      <c r="GU151" s="107"/>
      <c r="GV151" s="107"/>
      <c r="GW151" s="107"/>
      <c r="GX151" s="107"/>
      <c r="GY151" s="107"/>
      <c r="GZ151" s="107"/>
      <c r="HA151" s="107"/>
      <c r="HB151" s="107"/>
      <c r="HC151" s="107"/>
      <c r="HD151" s="107"/>
      <c r="HE151" s="107"/>
      <c r="HF151" s="107"/>
      <c r="HG151" s="107"/>
      <c r="HH151" s="107"/>
      <c r="HI151" s="107"/>
      <c r="HJ151" s="107"/>
      <c r="HK151" s="107"/>
      <c r="HL151" s="107"/>
      <c r="HM151" s="107"/>
      <c r="HN151" s="107"/>
      <c r="HO151" s="107"/>
      <c r="HP151" s="107"/>
      <c r="HQ151" s="107"/>
      <c r="HR151" s="107"/>
      <c r="HS151" s="107"/>
    </row>
    <row r="152">
      <c r="A152" s="29"/>
      <c r="B152" s="59"/>
      <c r="C152" s="29"/>
      <c r="D152" s="40"/>
      <c r="E152" s="82"/>
      <c r="F152" s="100"/>
      <c r="G152" s="100"/>
      <c r="H152" s="100"/>
      <c r="I152" s="82"/>
      <c r="J152" s="35"/>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c r="CZ152" s="101"/>
      <c r="DA152" s="101"/>
      <c r="DB152" s="101"/>
      <c r="DC152" s="101"/>
      <c r="DD152" s="101"/>
      <c r="DE152" s="101"/>
      <c r="DF152" s="101"/>
      <c r="DG152" s="101"/>
      <c r="DH152" s="101"/>
      <c r="DI152" s="101"/>
      <c r="DJ152" s="101"/>
      <c r="DK152" s="101"/>
      <c r="DL152" s="101"/>
      <c r="DM152" s="101"/>
      <c r="DN152" s="101"/>
      <c r="DO152" s="101"/>
      <c r="DP152" s="101"/>
      <c r="DQ152" s="101"/>
      <c r="DR152" s="101"/>
      <c r="DS152" s="101"/>
      <c r="DT152" s="101"/>
      <c r="DU152" s="101"/>
      <c r="DV152" s="101"/>
      <c r="DW152" s="101"/>
      <c r="DX152" s="101"/>
      <c r="DY152" s="101"/>
      <c r="DZ152" s="101"/>
      <c r="EA152" s="101"/>
      <c r="EB152" s="101"/>
      <c r="EC152" s="101"/>
      <c r="ED152" s="101"/>
      <c r="EE152" s="101"/>
      <c r="EF152" s="101"/>
      <c r="EG152" s="101"/>
      <c r="EH152" s="101"/>
      <c r="EI152" s="101"/>
      <c r="EJ152" s="101"/>
      <c r="EK152" s="101"/>
      <c r="EL152" s="101"/>
      <c r="EM152" s="101"/>
      <c r="EN152" s="101"/>
      <c r="EO152" s="101"/>
      <c r="EP152" s="101"/>
      <c r="EQ152" s="101"/>
      <c r="ER152" s="101"/>
      <c r="ES152" s="101"/>
      <c r="ET152" s="101"/>
      <c r="EU152" s="101"/>
      <c r="EV152" s="101"/>
      <c r="EW152" s="101"/>
      <c r="EX152" s="101"/>
      <c r="EY152" s="101"/>
      <c r="EZ152" s="101"/>
      <c r="FA152" s="101"/>
      <c r="FB152" s="101"/>
      <c r="FC152" s="101"/>
      <c r="FD152" s="101"/>
      <c r="FE152" s="101"/>
      <c r="FF152" s="101"/>
      <c r="FG152" s="101"/>
      <c r="FH152" s="101"/>
      <c r="FI152" s="101"/>
      <c r="FJ152" s="101"/>
      <c r="FK152" s="101"/>
      <c r="FL152" s="101"/>
      <c r="FM152" s="101"/>
      <c r="FN152" s="101"/>
      <c r="FO152" s="101"/>
      <c r="FP152" s="101"/>
      <c r="FQ152" s="101"/>
      <c r="FR152" s="101"/>
      <c r="FS152" s="101"/>
      <c r="FT152" s="101"/>
      <c r="FU152" s="101"/>
      <c r="FV152" s="101"/>
      <c r="FW152" s="101"/>
      <c r="FX152" s="101"/>
      <c r="FY152" s="101"/>
      <c r="FZ152" s="101"/>
      <c r="GA152" s="101"/>
      <c r="GB152" s="101"/>
      <c r="GC152" s="101"/>
      <c r="GD152" s="101"/>
      <c r="GE152" s="101"/>
      <c r="GF152" s="101"/>
      <c r="GG152" s="101"/>
      <c r="GH152" s="101"/>
      <c r="GI152" s="101"/>
      <c r="GJ152" s="101"/>
      <c r="GK152" s="101"/>
      <c r="GL152" s="101"/>
      <c r="GM152" s="101"/>
      <c r="GN152" s="101"/>
      <c r="GO152" s="101"/>
      <c r="GP152" s="101"/>
      <c r="GQ152" s="101"/>
      <c r="GR152" s="101"/>
      <c r="GS152" s="101"/>
      <c r="GT152" s="101"/>
      <c r="GU152" s="101"/>
      <c r="GV152" s="101"/>
      <c r="GW152" s="101"/>
      <c r="GX152" s="101"/>
      <c r="GY152" s="101"/>
      <c r="GZ152" s="101"/>
      <c r="HA152" s="101"/>
      <c r="HB152" s="101"/>
      <c r="HC152" s="101"/>
      <c r="HD152" s="101"/>
      <c r="HE152" s="101"/>
      <c r="HF152" s="101"/>
      <c r="HG152" s="101"/>
      <c r="HH152" s="101"/>
      <c r="HI152" s="101"/>
      <c r="HJ152" s="101"/>
      <c r="HK152" s="101"/>
      <c r="HL152" s="101"/>
    </row>
    <row r="153" ht="79.5" customHeight="1">
      <c r="A153" s="29"/>
      <c r="B153" s="81"/>
      <c r="C153" s="29"/>
      <c r="D153" s="41"/>
      <c r="E153" s="41"/>
      <c r="F153" s="29"/>
      <c r="G153" s="29"/>
      <c r="H153" s="41"/>
      <c r="I153" s="29"/>
      <c r="J153" s="35"/>
    </row>
    <row r="154">
      <c r="A154" s="29"/>
      <c r="B154" s="59"/>
      <c r="C154" s="29"/>
      <c r="D154" s="40"/>
      <c r="E154" s="82"/>
      <c r="F154" s="100"/>
      <c r="G154" s="100"/>
      <c r="H154" s="100"/>
      <c r="I154" s="82"/>
      <c r="J154" s="35"/>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c r="CZ154" s="101"/>
      <c r="DA154" s="101"/>
      <c r="DB154" s="101"/>
      <c r="DC154" s="101"/>
      <c r="DD154" s="101"/>
      <c r="DE154" s="101"/>
      <c r="DF154" s="101"/>
      <c r="DG154" s="101"/>
      <c r="DH154" s="101"/>
      <c r="DI154" s="101"/>
      <c r="DJ154" s="101"/>
      <c r="DK154" s="101"/>
      <c r="DL154" s="101"/>
      <c r="DM154" s="101"/>
      <c r="DN154" s="101"/>
      <c r="DO154" s="101"/>
      <c r="DP154" s="101"/>
      <c r="DQ154" s="101"/>
      <c r="DR154" s="101"/>
      <c r="DS154" s="101"/>
      <c r="DT154" s="101"/>
      <c r="DU154" s="101"/>
      <c r="DV154" s="101"/>
      <c r="DW154" s="101"/>
      <c r="DX154" s="101"/>
      <c r="DY154" s="101"/>
      <c r="DZ154" s="101"/>
      <c r="EA154" s="101"/>
      <c r="EB154" s="101"/>
      <c r="EC154" s="101"/>
      <c r="ED154" s="101"/>
      <c r="EE154" s="101"/>
      <c r="EF154" s="101"/>
      <c r="EG154" s="101"/>
      <c r="EH154" s="101"/>
      <c r="EI154" s="101"/>
      <c r="EJ154" s="101"/>
      <c r="EK154" s="101"/>
      <c r="EL154" s="101"/>
      <c r="EM154" s="101"/>
      <c r="EN154" s="101"/>
      <c r="EO154" s="101"/>
      <c r="EP154" s="101"/>
      <c r="EQ154" s="101"/>
      <c r="ER154" s="101"/>
      <c r="ES154" s="101"/>
      <c r="ET154" s="101"/>
      <c r="EU154" s="101"/>
      <c r="EV154" s="101"/>
      <c r="EW154" s="101"/>
      <c r="EX154" s="101"/>
      <c r="EY154" s="101"/>
      <c r="EZ154" s="101"/>
      <c r="FA154" s="101"/>
      <c r="FB154" s="101"/>
      <c r="FC154" s="101"/>
      <c r="FD154" s="101"/>
      <c r="FE154" s="101"/>
      <c r="FF154" s="101"/>
      <c r="FG154" s="101"/>
      <c r="FH154" s="101"/>
      <c r="FI154" s="101"/>
      <c r="FJ154" s="101"/>
      <c r="FK154" s="101"/>
      <c r="FL154" s="101"/>
      <c r="FM154" s="101"/>
      <c r="FN154" s="101"/>
      <c r="FO154" s="101"/>
      <c r="FP154" s="101"/>
      <c r="FQ154" s="101"/>
      <c r="FR154" s="101"/>
      <c r="FS154" s="101"/>
      <c r="FT154" s="101"/>
      <c r="FU154" s="101"/>
      <c r="FV154" s="101"/>
      <c r="FW154" s="101"/>
      <c r="FX154" s="101"/>
      <c r="FY154" s="101"/>
      <c r="FZ154" s="101"/>
      <c r="GA154" s="101"/>
      <c r="GB154" s="101"/>
      <c r="GC154" s="101"/>
      <c r="GD154" s="101"/>
      <c r="GE154" s="101"/>
      <c r="GF154" s="101"/>
      <c r="GG154" s="101"/>
      <c r="GH154" s="101"/>
      <c r="GI154" s="101"/>
      <c r="GJ154" s="101"/>
      <c r="GK154" s="101"/>
      <c r="GL154" s="101"/>
      <c r="GM154" s="101"/>
      <c r="GN154" s="101"/>
      <c r="GO154" s="101"/>
      <c r="GP154" s="101"/>
      <c r="GQ154" s="101"/>
      <c r="GR154" s="101"/>
      <c r="GS154" s="101"/>
      <c r="GT154" s="101"/>
      <c r="GU154" s="101"/>
      <c r="GV154" s="101"/>
      <c r="GW154" s="101"/>
      <c r="GX154" s="101"/>
      <c r="GY154" s="101"/>
      <c r="GZ154" s="101"/>
      <c r="HA154" s="101"/>
      <c r="HB154" s="101"/>
      <c r="HC154" s="101"/>
      <c r="HD154" s="101"/>
      <c r="HE154" s="101"/>
      <c r="HF154" s="101"/>
      <c r="HG154" s="101"/>
      <c r="HH154" s="101"/>
      <c r="HI154" s="101"/>
      <c r="HJ154" s="101"/>
      <c r="HK154" s="101"/>
      <c r="HL154" s="101"/>
    </row>
    <row r="155">
      <c r="A155" s="29"/>
      <c r="B155" s="59"/>
      <c r="C155" s="29"/>
      <c r="D155" s="40"/>
      <c r="E155" s="82"/>
      <c r="F155" s="100"/>
      <c r="G155" s="100"/>
      <c r="H155" s="100"/>
      <c r="I155" s="82"/>
      <c r="J155" s="35"/>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c r="CZ155" s="101"/>
      <c r="DA155" s="101"/>
      <c r="DB155" s="101"/>
      <c r="DC155" s="101"/>
      <c r="DD155" s="101"/>
      <c r="DE155" s="101"/>
      <c r="DF155" s="101"/>
      <c r="DG155" s="101"/>
      <c r="DH155" s="101"/>
      <c r="DI155" s="101"/>
      <c r="DJ155" s="101"/>
      <c r="DK155" s="101"/>
      <c r="DL155" s="101"/>
      <c r="DM155" s="101"/>
      <c r="DN155" s="101"/>
      <c r="DO155" s="101"/>
      <c r="DP155" s="101"/>
      <c r="DQ155" s="101"/>
      <c r="DR155" s="101"/>
      <c r="DS155" s="101"/>
      <c r="DT155" s="101"/>
      <c r="DU155" s="101"/>
      <c r="DV155" s="101"/>
      <c r="DW155" s="101"/>
      <c r="DX155" s="101"/>
      <c r="DY155" s="101"/>
      <c r="DZ155" s="101"/>
      <c r="EA155" s="101"/>
      <c r="EB155" s="101"/>
      <c r="EC155" s="101"/>
      <c r="ED155" s="101"/>
      <c r="EE155" s="101"/>
      <c r="EF155" s="101"/>
      <c r="EG155" s="101"/>
      <c r="EH155" s="101"/>
      <c r="EI155" s="101"/>
      <c r="EJ155" s="101"/>
      <c r="EK155" s="101"/>
      <c r="EL155" s="101"/>
      <c r="EM155" s="101"/>
      <c r="EN155" s="101"/>
      <c r="EO155" s="101"/>
      <c r="EP155" s="101"/>
      <c r="EQ155" s="101"/>
      <c r="ER155" s="101"/>
      <c r="ES155" s="101"/>
      <c r="ET155" s="101"/>
      <c r="EU155" s="101"/>
      <c r="EV155" s="101"/>
      <c r="EW155" s="101"/>
      <c r="EX155" s="101"/>
      <c r="EY155" s="101"/>
      <c r="EZ155" s="101"/>
      <c r="FA155" s="101"/>
      <c r="FB155" s="101"/>
      <c r="FC155" s="101"/>
      <c r="FD155" s="101"/>
      <c r="FE155" s="101"/>
      <c r="FF155" s="101"/>
      <c r="FG155" s="101"/>
      <c r="FH155" s="101"/>
      <c r="FI155" s="101"/>
      <c r="FJ155" s="101"/>
      <c r="FK155" s="101"/>
      <c r="FL155" s="101"/>
      <c r="FM155" s="101"/>
      <c r="FN155" s="101"/>
      <c r="FO155" s="101"/>
      <c r="FP155" s="101"/>
      <c r="FQ155" s="101"/>
      <c r="FR155" s="101"/>
      <c r="FS155" s="101"/>
      <c r="FT155" s="101"/>
      <c r="FU155" s="101"/>
      <c r="FV155" s="101"/>
      <c r="FW155" s="101"/>
      <c r="FX155" s="101"/>
      <c r="FY155" s="101"/>
      <c r="FZ155" s="101"/>
      <c r="GA155" s="101"/>
      <c r="GB155" s="101"/>
      <c r="GC155" s="101"/>
      <c r="GD155" s="101"/>
      <c r="GE155" s="101"/>
      <c r="GF155" s="101"/>
      <c r="GG155" s="101"/>
      <c r="GH155" s="101"/>
      <c r="GI155" s="101"/>
      <c r="GJ155" s="101"/>
      <c r="GK155" s="101"/>
      <c r="GL155" s="101"/>
      <c r="GM155" s="101"/>
      <c r="GN155" s="101"/>
      <c r="GO155" s="101"/>
      <c r="GP155" s="101"/>
      <c r="GQ155" s="101"/>
      <c r="GR155" s="101"/>
      <c r="GS155" s="101"/>
      <c r="GT155" s="101"/>
      <c r="GU155" s="101"/>
      <c r="GV155" s="101"/>
      <c r="GW155" s="101"/>
      <c r="GX155" s="101"/>
      <c r="GY155" s="101"/>
      <c r="GZ155" s="101"/>
      <c r="HA155" s="101"/>
      <c r="HB155" s="101"/>
      <c r="HC155" s="101"/>
      <c r="HD155" s="101"/>
      <c r="HE155" s="101"/>
      <c r="HF155" s="101"/>
      <c r="HG155" s="101"/>
      <c r="HH155" s="101"/>
      <c r="HI155" s="101"/>
      <c r="HJ155" s="101"/>
      <c r="HK155" s="101"/>
      <c r="HL155" s="101"/>
    </row>
    <row r="156">
      <c r="A156" s="29"/>
      <c r="B156" s="59"/>
      <c r="C156" s="29"/>
      <c r="D156" s="40"/>
      <c r="E156" s="82"/>
      <c r="F156" s="100"/>
      <c r="G156" s="100"/>
      <c r="H156" s="100"/>
      <c r="I156" s="82"/>
      <c r="J156" s="35"/>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c r="CZ156" s="101"/>
      <c r="DA156" s="101"/>
      <c r="DB156" s="101"/>
      <c r="DC156" s="101"/>
      <c r="DD156" s="101"/>
      <c r="DE156" s="101"/>
      <c r="DF156" s="101"/>
      <c r="DG156" s="101"/>
      <c r="DH156" s="101"/>
      <c r="DI156" s="101"/>
      <c r="DJ156" s="101"/>
      <c r="DK156" s="101"/>
      <c r="DL156" s="101"/>
      <c r="DM156" s="101"/>
      <c r="DN156" s="101"/>
      <c r="DO156" s="101"/>
      <c r="DP156" s="101"/>
      <c r="DQ156" s="101"/>
      <c r="DR156" s="101"/>
      <c r="DS156" s="101"/>
      <c r="DT156" s="101"/>
      <c r="DU156" s="101"/>
      <c r="DV156" s="101"/>
      <c r="DW156" s="101"/>
      <c r="DX156" s="101"/>
      <c r="DY156" s="101"/>
      <c r="DZ156" s="101"/>
      <c r="EA156" s="101"/>
      <c r="EB156" s="101"/>
      <c r="EC156" s="101"/>
      <c r="ED156" s="101"/>
      <c r="EE156" s="101"/>
      <c r="EF156" s="101"/>
      <c r="EG156" s="101"/>
      <c r="EH156" s="101"/>
      <c r="EI156" s="101"/>
      <c r="EJ156" s="101"/>
      <c r="EK156" s="101"/>
      <c r="EL156" s="101"/>
      <c r="EM156" s="101"/>
      <c r="EN156" s="101"/>
      <c r="EO156" s="101"/>
      <c r="EP156" s="101"/>
      <c r="EQ156" s="101"/>
      <c r="ER156" s="101"/>
      <c r="ES156" s="101"/>
      <c r="ET156" s="101"/>
      <c r="EU156" s="101"/>
      <c r="EV156" s="101"/>
      <c r="EW156" s="101"/>
      <c r="EX156" s="101"/>
      <c r="EY156" s="101"/>
      <c r="EZ156" s="101"/>
      <c r="FA156" s="101"/>
      <c r="FB156" s="101"/>
      <c r="FC156" s="101"/>
      <c r="FD156" s="101"/>
      <c r="FE156" s="101"/>
      <c r="FF156" s="101"/>
      <c r="FG156" s="101"/>
      <c r="FH156" s="101"/>
      <c r="FI156" s="101"/>
      <c r="FJ156" s="101"/>
      <c r="FK156" s="101"/>
      <c r="FL156" s="101"/>
      <c r="FM156" s="101"/>
      <c r="FN156" s="101"/>
      <c r="FO156" s="101"/>
      <c r="FP156" s="101"/>
      <c r="FQ156" s="101"/>
      <c r="FR156" s="101"/>
      <c r="FS156" s="101"/>
      <c r="FT156" s="101"/>
      <c r="FU156" s="101"/>
      <c r="FV156" s="101"/>
      <c r="FW156" s="101"/>
      <c r="FX156" s="101"/>
      <c r="FY156" s="101"/>
      <c r="FZ156" s="101"/>
      <c r="GA156" s="101"/>
      <c r="GB156" s="101"/>
      <c r="GC156" s="101"/>
      <c r="GD156" s="101"/>
      <c r="GE156" s="101"/>
      <c r="GF156" s="101"/>
      <c r="GG156" s="101"/>
      <c r="GH156" s="101"/>
      <c r="GI156" s="101"/>
      <c r="GJ156" s="101"/>
      <c r="GK156" s="101"/>
      <c r="GL156" s="101"/>
      <c r="GM156" s="101"/>
      <c r="GN156" s="101"/>
      <c r="GO156" s="101"/>
      <c r="GP156" s="101"/>
      <c r="GQ156" s="101"/>
      <c r="GR156" s="101"/>
      <c r="GS156" s="101"/>
      <c r="GT156" s="101"/>
      <c r="GU156" s="101"/>
      <c r="GV156" s="101"/>
      <c r="GW156" s="101"/>
      <c r="GX156" s="101"/>
      <c r="GY156" s="101"/>
      <c r="GZ156" s="101"/>
      <c r="HA156" s="101"/>
      <c r="HB156" s="101"/>
      <c r="HC156" s="101"/>
      <c r="HD156" s="101"/>
      <c r="HE156" s="101"/>
      <c r="HF156" s="101"/>
      <c r="HG156" s="101"/>
      <c r="HH156" s="101"/>
      <c r="HI156" s="101"/>
      <c r="HJ156" s="101"/>
      <c r="HK156" s="101"/>
      <c r="HL156" s="101"/>
    </row>
    <row r="157" s="5" customFormat="1" ht="71.25" customHeight="1">
      <c r="A157" s="45"/>
      <c r="B157" s="3"/>
      <c r="C157" s="45"/>
      <c r="D157" s="27"/>
      <c r="E157" s="45"/>
      <c r="F157" s="29"/>
      <c r="G157" s="29"/>
      <c r="H157" s="41"/>
      <c r="I157" s="41"/>
      <c r="J157" s="50"/>
    </row>
    <row r="158" s="5" customFormat="1" ht="78.75" customHeight="1">
      <c r="A158" s="45"/>
      <c r="B158" s="3"/>
      <c r="C158" s="45"/>
      <c r="D158" s="27"/>
      <c r="E158" s="45"/>
      <c r="F158" s="29"/>
      <c r="G158" s="29"/>
      <c r="H158" s="41"/>
      <c r="I158" s="41"/>
      <c r="J158" s="50"/>
    </row>
    <row r="159" s="5" customFormat="1" ht="68.25" customHeight="1">
      <c r="A159" s="45"/>
      <c r="B159" s="3"/>
      <c r="C159" s="45"/>
      <c r="D159" s="27"/>
      <c r="E159" s="45"/>
      <c r="F159" s="29"/>
      <c r="G159" s="29"/>
      <c r="H159" s="41"/>
      <c r="I159" s="41"/>
      <c r="J159" s="50"/>
    </row>
    <row r="160" s="5" customFormat="1" ht="50.25" customHeight="1">
      <c r="A160" s="45"/>
      <c r="B160" s="3"/>
      <c r="C160" s="45"/>
      <c r="D160" s="27"/>
      <c r="E160" s="45"/>
      <c r="F160" s="29"/>
      <c r="G160" s="29"/>
      <c r="H160" s="41"/>
      <c r="I160" s="41"/>
      <c r="J160" s="50"/>
    </row>
    <row r="161" s="5" customFormat="1" ht="48" customHeight="1">
      <c r="A161" s="45"/>
      <c r="B161" s="3"/>
      <c r="C161" s="45"/>
      <c r="D161" s="27"/>
      <c r="E161" s="45"/>
      <c r="F161" s="29"/>
      <c r="G161" s="29"/>
      <c r="H161" s="41"/>
      <c r="I161" s="41"/>
      <c r="J161" s="50"/>
    </row>
    <row r="162" s="5" customFormat="1" ht="60.75" customHeight="1">
      <c r="A162" s="45"/>
      <c r="B162" s="3"/>
      <c r="C162" s="45"/>
      <c r="D162" s="27"/>
      <c r="E162" s="45"/>
      <c r="F162" s="29"/>
      <c r="G162" s="29"/>
      <c r="H162" s="41"/>
      <c r="I162" s="41"/>
      <c r="J162" s="50"/>
    </row>
    <row r="163" s="5" customFormat="1" ht="43.5" customHeight="1">
      <c r="A163" s="45"/>
      <c r="B163" s="3"/>
      <c r="C163" s="45"/>
      <c r="D163" s="27"/>
      <c r="E163" s="45"/>
      <c r="F163" s="29"/>
      <c r="G163" s="29"/>
      <c r="H163" s="41"/>
      <c r="I163" s="41"/>
      <c r="J163" s="50"/>
    </row>
    <row r="170" s="7" customFormat="1" ht="57" customHeight="1">
      <c r="A170" s="109"/>
      <c r="B170" s="51"/>
      <c r="C170" s="52"/>
      <c r="D170" s="52"/>
      <c r="E170" s="53"/>
      <c r="F170" s="27"/>
      <c r="G170" s="27"/>
      <c r="H170" s="27"/>
      <c r="I170" s="29"/>
      <c r="J170" s="54"/>
    </row>
    <row r="171" s="5" customFormat="1" ht="72" customHeight="1">
      <c r="A171" s="45"/>
      <c r="B171" s="97"/>
      <c r="C171" s="110"/>
      <c r="D171" s="45"/>
      <c r="E171" s="84"/>
      <c r="F171" s="92"/>
      <c r="G171" s="92"/>
      <c r="H171" s="92"/>
      <c r="I171" s="29"/>
      <c r="J171" s="111"/>
    </row>
    <row r="178">
      <c r="A178" s="29"/>
      <c r="B178" s="40"/>
      <c r="C178" s="29"/>
      <c r="D178" s="29"/>
      <c r="E178" s="29"/>
      <c r="F178" s="29"/>
      <c r="G178" s="29"/>
      <c r="H178" s="41"/>
      <c r="I178" s="29"/>
      <c r="J178" s="35"/>
    </row>
    <row r="180">
      <c r="A180" s="29"/>
      <c r="B180" s="112"/>
      <c r="C180" s="29"/>
      <c r="D180" s="113"/>
      <c r="E180" s="41"/>
      <c r="F180" s="114"/>
      <c r="G180" s="29"/>
      <c r="H180" s="41"/>
      <c r="I180" s="29"/>
      <c r="J180" s="35"/>
    </row>
    <row r="181">
      <c r="A181" s="29"/>
      <c r="B181" s="40"/>
      <c r="C181" s="29"/>
      <c r="D181" s="29"/>
      <c r="E181" s="29"/>
      <c r="F181" s="114"/>
      <c r="G181" s="29"/>
      <c r="H181" s="41"/>
      <c r="I181" s="41"/>
      <c r="J181" s="35"/>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c r="BF181" s="38"/>
      <c r="BG181" s="38"/>
      <c r="BH181" s="38"/>
      <c r="BI181" s="38"/>
      <c r="BJ181" s="38"/>
      <c r="BK181" s="38"/>
      <c r="BL181" s="38"/>
      <c r="BM181" s="38"/>
      <c r="BN181" s="38"/>
      <c r="BO181" s="38"/>
      <c r="BP181" s="38"/>
      <c r="BQ181" s="38"/>
      <c r="BR181" s="38"/>
      <c r="BS181" s="38"/>
      <c r="BT181" s="38"/>
      <c r="BU181" s="38"/>
      <c r="BV181" s="38"/>
      <c r="BW181" s="38"/>
      <c r="BX181" s="38"/>
      <c r="BY181" s="38"/>
      <c r="BZ181" s="38"/>
      <c r="CA181" s="38"/>
      <c r="CB181" s="38"/>
      <c r="CC181" s="38"/>
      <c r="CD181" s="38"/>
      <c r="CE181" s="38"/>
      <c r="CF181" s="38"/>
      <c r="CG181" s="38"/>
      <c r="CH181" s="38"/>
      <c r="CI181" s="38"/>
      <c r="CJ181" s="38"/>
      <c r="CK181" s="38"/>
      <c r="CL181" s="38"/>
      <c r="CM181" s="38"/>
      <c r="CN181" s="38"/>
      <c r="CO181" s="38"/>
      <c r="CP181" s="38"/>
      <c r="CQ181" s="38"/>
      <c r="CR181" s="38"/>
      <c r="CS181" s="38"/>
      <c r="CT181" s="38"/>
      <c r="CU181" s="38"/>
      <c r="CV181" s="38"/>
      <c r="CW181" s="38"/>
      <c r="CX181" s="38"/>
      <c r="CY181" s="38"/>
      <c r="CZ181" s="38"/>
      <c r="DA181" s="38"/>
      <c r="DB181" s="38"/>
      <c r="DC181" s="38"/>
      <c r="DD181" s="38"/>
      <c r="DE181" s="38"/>
      <c r="DF181" s="38"/>
      <c r="DG181" s="38"/>
      <c r="DH181" s="38"/>
      <c r="DI181" s="38"/>
      <c r="DJ181" s="38"/>
      <c r="DK181" s="38"/>
      <c r="DL181" s="38"/>
      <c r="DM181" s="38"/>
      <c r="DN181" s="38"/>
      <c r="DO181" s="38"/>
      <c r="DP181" s="38"/>
      <c r="DQ181" s="38"/>
      <c r="DR181" s="38"/>
      <c r="DS181" s="38"/>
      <c r="DT181" s="38"/>
      <c r="DU181" s="38"/>
      <c r="DV181" s="38"/>
      <c r="DW181" s="38"/>
      <c r="DX181" s="38"/>
      <c r="DY181" s="38"/>
      <c r="DZ181" s="38"/>
      <c r="EA181" s="38"/>
      <c r="EB181" s="38"/>
      <c r="EC181" s="38"/>
      <c r="ED181" s="38"/>
      <c r="EE181" s="38"/>
      <c r="EF181" s="38"/>
      <c r="EG181" s="38"/>
      <c r="EH181" s="38"/>
      <c r="EI181" s="38"/>
      <c r="EJ181" s="38"/>
      <c r="EK181" s="38"/>
      <c r="EL181" s="38"/>
      <c r="EM181" s="38"/>
      <c r="EN181" s="38"/>
      <c r="EO181" s="38"/>
      <c r="EP181" s="38"/>
      <c r="EQ181" s="38"/>
      <c r="ER181" s="38"/>
      <c r="ES181" s="38"/>
      <c r="ET181" s="38"/>
      <c r="EU181" s="38"/>
      <c r="EV181" s="38"/>
      <c r="EW181" s="38"/>
      <c r="EX181" s="38"/>
      <c r="EY181" s="38"/>
      <c r="EZ181" s="38"/>
      <c r="FA181" s="38"/>
      <c r="FB181" s="38"/>
      <c r="FC181" s="38"/>
      <c r="FD181" s="38"/>
      <c r="FE181" s="38"/>
      <c r="FF181" s="38"/>
      <c r="FG181" s="38"/>
      <c r="FH181" s="38"/>
      <c r="FI181" s="38"/>
      <c r="FJ181" s="38"/>
      <c r="FK181" s="38"/>
      <c r="FL181" s="38"/>
      <c r="FM181" s="38"/>
      <c r="FN181" s="38"/>
      <c r="FO181" s="38"/>
      <c r="FP181" s="38"/>
      <c r="FQ181" s="38"/>
      <c r="FR181" s="38"/>
      <c r="FS181" s="38"/>
      <c r="FT181" s="38"/>
      <c r="FU181" s="38"/>
      <c r="FV181" s="38"/>
      <c r="FW181" s="38"/>
      <c r="FX181" s="38"/>
      <c r="FY181" s="38"/>
      <c r="FZ181" s="38"/>
      <c r="GA181" s="38"/>
      <c r="GB181" s="38"/>
      <c r="GC181" s="38"/>
      <c r="GD181" s="38"/>
      <c r="GE181" s="38"/>
      <c r="GF181" s="38"/>
      <c r="GG181" s="38"/>
      <c r="GH181" s="38"/>
      <c r="GI181" s="38"/>
      <c r="GJ181" s="38"/>
      <c r="GK181" s="38"/>
      <c r="GL181" s="38"/>
      <c r="GM181" s="38"/>
      <c r="GN181" s="38"/>
      <c r="GO181" s="38"/>
      <c r="GP181" s="38"/>
      <c r="GQ181" s="38"/>
      <c r="GR181" s="38"/>
      <c r="GS181" s="38"/>
      <c r="GT181" s="38"/>
      <c r="GU181" s="38"/>
      <c r="GV181" s="38"/>
      <c r="GW181" s="38"/>
      <c r="GX181" s="38"/>
      <c r="GY181" s="38"/>
      <c r="GZ181" s="38"/>
      <c r="HA181" s="38"/>
      <c r="HB181" s="38"/>
      <c r="HC181" s="38"/>
      <c r="HD181" s="38"/>
      <c r="HE181" s="38"/>
      <c r="HF181" s="38"/>
      <c r="HG181" s="38"/>
      <c r="HH181" s="38"/>
      <c r="HI181" s="38"/>
      <c r="HJ181" s="38"/>
      <c r="HK181" s="38"/>
      <c r="HL181" s="38"/>
    </row>
    <row r="182">
      <c r="A182" s="29"/>
      <c r="B182" s="38"/>
      <c r="C182" s="29"/>
      <c r="D182" s="29"/>
      <c r="E182" s="82"/>
      <c r="F182" s="114"/>
      <c r="G182" s="29"/>
      <c r="H182" s="41"/>
      <c r="I182" s="41"/>
      <c r="J182" s="35"/>
    </row>
    <row r="183">
      <c r="A183" s="29"/>
      <c r="B183" s="38"/>
      <c r="C183" s="29"/>
      <c r="D183" s="29"/>
      <c r="E183" s="82"/>
      <c r="F183" s="114"/>
      <c r="G183" s="29"/>
      <c r="H183" s="41"/>
      <c r="I183" s="41"/>
      <c r="J183" s="35"/>
    </row>
    <row r="184">
      <c r="A184" s="29"/>
      <c r="B184" s="115"/>
      <c r="C184" s="29"/>
      <c r="D184" s="29"/>
      <c r="E184" s="41"/>
      <c r="F184" s="114"/>
      <c r="G184" s="41"/>
      <c r="H184" s="41"/>
      <c r="I184" s="41"/>
      <c r="J184" s="35"/>
    </row>
    <row r="185">
      <c r="A185" s="29"/>
      <c r="B185" s="115"/>
      <c r="C185" s="29"/>
      <c r="D185" s="29"/>
      <c r="E185" s="41"/>
      <c r="F185" s="114"/>
      <c r="G185" s="41"/>
      <c r="H185" s="41"/>
      <c r="I185" s="41"/>
      <c r="J185" s="35"/>
    </row>
    <row r="186" s="5" customFormat="1" ht="167.25" customHeight="1">
      <c r="A186" s="29"/>
      <c r="B186" s="3"/>
      <c r="C186" s="45"/>
      <c r="D186" s="27"/>
      <c r="E186" s="45"/>
      <c r="F186" s="29"/>
      <c r="G186" s="29"/>
      <c r="H186" s="41"/>
      <c r="I186" s="27"/>
      <c r="J186" s="50"/>
    </row>
    <row r="187" s="5" customFormat="1">
      <c r="A187" s="29"/>
      <c r="B187" s="3"/>
      <c r="C187" s="45"/>
      <c r="D187" s="27"/>
      <c r="E187" s="45"/>
      <c r="F187" s="29"/>
      <c r="G187" s="29"/>
      <c r="H187" s="41"/>
      <c r="I187" s="41"/>
      <c r="J187" s="50"/>
    </row>
    <row r="188" s="5" customFormat="1">
      <c r="A188" s="29"/>
      <c r="B188" s="3"/>
      <c r="C188" s="45"/>
      <c r="D188" s="27"/>
      <c r="E188" s="45"/>
      <c r="F188" s="29"/>
      <c r="G188" s="29"/>
      <c r="H188" s="41"/>
      <c r="I188" s="41"/>
      <c r="J188" s="50"/>
    </row>
    <row r="189" s="5" customFormat="1">
      <c r="A189" s="29"/>
      <c r="B189" s="3"/>
      <c r="C189" s="45"/>
      <c r="D189" s="27"/>
      <c r="E189" s="45"/>
      <c r="F189" s="29"/>
      <c r="G189" s="29"/>
      <c r="H189" s="41"/>
      <c r="I189" s="41"/>
      <c r="J189" s="50"/>
    </row>
    <row r="190" s="5" customFormat="1">
      <c r="A190" s="29"/>
      <c r="B190" s="3"/>
      <c r="C190" s="45"/>
      <c r="D190" s="27"/>
      <c r="E190" s="45"/>
      <c r="F190" s="29"/>
      <c r="G190" s="29"/>
      <c r="H190" s="41"/>
      <c r="I190" s="41"/>
      <c r="J190" s="50"/>
    </row>
    <row r="191" s="5" customFormat="1">
      <c r="A191" s="29"/>
      <c r="B191" s="3"/>
      <c r="C191" s="45"/>
      <c r="D191" s="27"/>
      <c r="E191" s="45"/>
      <c r="F191" s="29"/>
      <c r="G191" s="29"/>
      <c r="H191" s="41"/>
      <c r="I191" s="41"/>
      <c r="J191" s="50"/>
    </row>
    <row r="192" s="5" customFormat="1">
      <c r="A192" s="29"/>
      <c r="B192" s="3"/>
      <c r="C192" s="45"/>
      <c r="D192" s="27"/>
      <c r="E192" s="45"/>
      <c r="F192" s="29"/>
      <c r="G192" s="29"/>
      <c r="H192" s="41"/>
      <c r="I192" s="41"/>
      <c r="J192" s="50"/>
    </row>
    <row r="193" s="5" customFormat="1">
      <c r="A193" s="29"/>
      <c r="B193" s="3"/>
      <c r="C193" s="45"/>
      <c r="D193" s="27"/>
      <c r="E193" s="45"/>
      <c r="F193" s="29"/>
      <c r="G193" s="29"/>
      <c r="H193" s="41"/>
      <c r="I193" s="41"/>
      <c r="J193" s="50"/>
    </row>
    <row r="194" s="5" customFormat="1">
      <c r="A194" s="29"/>
      <c r="B194" s="3"/>
      <c r="C194" s="45"/>
      <c r="D194" s="27"/>
      <c r="E194" s="45"/>
      <c r="F194" s="29"/>
      <c r="G194" s="29"/>
      <c r="H194" s="41"/>
      <c r="I194" s="41"/>
      <c r="J194" s="50"/>
    </row>
    <row r="195" s="5" customFormat="1">
      <c r="A195" s="29"/>
      <c r="B195" s="3"/>
      <c r="C195" s="45"/>
      <c r="D195" s="27"/>
      <c r="E195" s="45"/>
      <c r="F195" s="29"/>
      <c r="G195" s="29"/>
      <c r="H195" s="41"/>
      <c r="I195" s="41"/>
      <c r="J195" s="50"/>
    </row>
    <row r="196">
      <c r="A196" s="29"/>
      <c r="B196" s="116"/>
      <c r="C196" s="29"/>
      <c r="D196" s="117"/>
      <c r="E196" s="117"/>
      <c r="F196" s="29"/>
      <c r="G196" s="29"/>
      <c r="H196" s="41"/>
      <c r="I196" s="29"/>
      <c r="J196" s="35"/>
    </row>
    <row r="197">
      <c r="A197" s="29"/>
      <c r="B197" s="116"/>
      <c r="C197" s="29"/>
      <c r="D197" s="117"/>
      <c r="E197" s="117"/>
      <c r="F197" s="29"/>
      <c r="G197" s="29"/>
      <c r="H197" s="41"/>
      <c r="I197" s="29"/>
      <c r="J197" s="35"/>
    </row>
    <row r="198">
      <c r="A198" s="29"/>
      <c r="B198" s="40"/>
      <c r="C198" s="29"/>
      <c r="D198" s="29"/>
      <c r="E198" s="41"/>
      <c r="F198" s="114"/>
      <c r="G198" s="29"/>
      <c r="H198" s="41"/>
      <c r="I198" s="41"/>
      <c r="J198" s="35"/>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c r="BF198" s="38"/>
      <c r="BG198" s="38"/>
      <c r="BH198" s="38"/>
      <c r="BI198" s="38"/>
      <c r="BJ198" s="38"/>
      <c r="BK198" s="38"/>
      <c r="BL198" s="38"/>
      <c r="BM198" s="38"/>
      <c r="BN198" s="38"/>
      <c r="BO198" s="38"/>
      <c r="BP198" s="38"/>
      <c r="BQ198" s="38"/>
      <c r="BR198" s="38"/>
      <c r="BS198" s="38"/>
      <c r="BT198" s="38"/>
      <c r="BU198" s="38"/>
      <c r="BV198" s="38"/>
      <c r="BW198" s="38"/>
      <c r="BX198" s="38"/>
      <c r="BY198" s="38"/>
      <c r="BZ198" s="38"/>
      <c r="CA198" s="38"/>
      <c r="CB198" s="38"/>
      <c r="CC198" s="38"/>
      <c r="CD198" s="38"/>
      <c r="CE198" s="38"/>
      <c r="CF198" s="38"/>
      <c r="CG198" s="38"/>
      <c r="CH198" s="38"/>
      <c r="CI198" s="38"/>
      <c r="CJ198" s="38"/>
      <c r="CK198" s="38"/>
      <c r="CL198" s="38"/>
      <c r="CM198" s="38"/>
      <c r="CN198" s="38"/>
      <c r="CO198" s="38"/>
      <c r="CP198" s="38"/>
      <c r="CQ198" s="38"/>
      <c r="CR198" s="38"/>
      <c r="CS198" s="38"/>
      <c r="CT198" s="38"/>
      <c r="CU198" s="38"/>
      <c r="CV198" s="38"/>
      <c r="CW198" s="38"/>
      <c r="CX198" s="38"/>
      <c r="CY198" s="38"/>
      <c r="CZ198" s="38"/>
      <c r="DA198" s="38"/>
      <c r="DB198" s="38"/>
      <c r="DC198" s="38"/>
      <c r="DD198" s="38"/>
      <c r="DE198" s="38"/>
      <c r="DF198" s="38"/>
      <c r="DG198" s="38"/>
      <c r="DH198" s="38"/>
      <c r="DI198" s="38"/>
      <c r="DJ198" s="38"/>
      <c r="DK198" s="38"/>
      <c r="DL198" s="38"/>
      <c r="DM198" s="38"/>
      <c r="DN198" s="38"/>
      <c r="DO198" s="38"/>
      <c r="DP198" s="38"/>
      <c r="DQ198" s="38"/>
      <c r="DR198" s="38"/>
      <c r="DS198" s="38"/>
      <c r="DT198" s="38"/>
      <c r="DU198" s="38"/>
      <c r="DV198" s="38"/>
      <c r="DW198" s="38"/>
      <c r="DX198" s="38"/>
      <c r="DY198" s="38"/>
      <c r="DZ198" s="38"/>
      <c r="EA198" s="38"/>
      <c r="EB198" s="38"/>
      <c r="EC198" s="38"/>
      <c r="ED198" s="38"/>
      <c r="EE198" s="38"/>
      <c r="EF198" s="38"/>
      <c r="EG198" s="38"/>
      <c r="EH198" s="38"/>
      <c r="EI198" s="38"/>
      <c r="EJ198" s="38"/>
      <c r="EK198" s="38"/>
      <c r="EL198" s="38"/>
      <c r="EM198" s="38"/>
      <c r="EN198" s="38"/>
      <c r="EO198" s="38"/>
      <c r="EP198" s="38"/>
      <c r="EQ198" s="38"/>
      <c r="ER198" s="38"/>
      <c r="ES198" s="38"/>
      <c r="ET198" s="38"/>
      <c r="EU198" s="38"/>
      <c r="EV198" s="38"/>
      <c r="EW198" s="38"/>
      <c r="EX198" s="38"/>
      <c r="EY198" s="38"/>
      <c r="EZ198" s="38"/>
      <c r="FA198" s="38"/>
      <c r="FB198" s="38"/>
      <c r="FC198" s="38"/>
      <c r="FD198" s="38"/>
      <c r="FE198" s="38"/>
      <c r="FF198" s="38"/>
      <c r="FG198" s="38"/>
      <c r="FH198" s="38"/>
      <c r="FI198" s="38"/>
      <c r="FJ198" s="38"/>
      <c r="FK198" s="38"/>
      <c r="FL198" s="38"/>
      <c r="FM198" s="38"/>
      <c r="FN198" s="38"/>
      <c r="FO198" s="38"/>
      <c r="FP198" s="38"/>
      <c r="FQ198" s="38"/>
      <c r="FR198" s="38"/>
      <c r="FS198" s="38"/>
      <c r="FT198" s="38"/>
      <c r="FU198" s="38"/>
      <c r="FV198" s="38"/>
      <c r="FW198" s="38"/>
      <c r="FX198" s="38"/>
      <c r="FY198" s="38"/>
      <c r="FZ198" s="38"/>
      <c r="GA198" s="38"/>
      <c r="GB198" s="38"/>
      <c r="GC198" s="38"/>
      <c r="GD198" s="38"/>
      <c r="GE198" s="38"/>
      <c r="GF198" s="38"/>
      <c r="GG198" s="38"/>
      <c r="GH198" s="38"/>
      <c r="GI198" s="38"/>
      <c r="GJ198" s="38"/>
      <c r="GK198" s="38"/>
      <c r="GL198" s="38"/>
      <c r="GM198" s="38"/>
      <c r="GN198" s="38"/>
      <c r="GO198" s="38"/>
      <c r="GP198" s="38"/>
      <c r="GQ198" s="38"/>
      <c r="GR198" s="38"/>
      <c r="GS198" s="38"/>
      <c r="GT198" s="38"/>
      <c r="GU198" s="38"/>
      <c r="GV198" s="38"/>
      <c r="GW198" s="38"/>
      <c r="GX198" s="38"/>
      <c r="GY198" s="38"/>
      <c r="GZ198" s="38"/>
      <c r="HA198" s="38"/>
      <c r="HB198" s="38"/>
      <c r="HC198" s="38"/>
      <c r="HD198" s="38"/>
      <c r="HE198" s="38"/>
      <c r="HF198" s="38"/>
      <c r="HG198" s="38"/>
      <c r="HH198" s="38"/>
      <c r="HI198" s="38"/>
      <c r="HJ198" s="38"/>
      <c r="HK198" s="38"/>
      <c r="HL198" s="38"/>
    </row>
    <row r="199">
      <c r="A199" s="29"/>
      <c r="B199" s="116"/>
      <c r="C199" s="29"/>
      <c r="D199" s="117"/>
      <c r="E199" s="117"/>
      <c r="F199" s="29"/>
      <c r="G199" s="29"/>
      <c r="H199" s="41"/>
      <c r="I199" s="29"/>
      <c r="J199" s="35"/>
    </row>
    <row r="200">
      <c r="A200" s="29"/>
      <c r="B200" s="116"/>
      <c r="C200" s="29"/>
      <c r="D200" s="117"/>
      <c r="E200" s="117"/>
      <c r="F200" s="29"/>
      <c r="G200" s="29"/>
      <c r="H200" s="41"/>
      <c r="I200" s="29"/>
      <c r="J200" s="35"/>
    </row>
    <row r="201">
      <c r="A201" s="29"/>
      <c r="B201" s="116"/>
      <c r="C201" s="29"/>
      <c r="D201" s="117"/>
      <c r="E201" s="117"/>
      <c r="F201" s="29"/>
      <c r="G201" s="29"/>
      <c r="H201" s="41"/>
      <c r="I201" s="29"/>
      <c r="J201" s="35"/>
    </row>
    <row r="202">
      <c r="A202" s="29"/>
      <c r="B202" s="40"/>
      <c r="C202" s="29"/>
      <c r="D202" s="29"/>
      <c r="E202" s="29"/>
      <c r="F202" s="29"/>
      <c r="G202" s="29"/>
      <c r="H202" s="41"/>
      <c r="I202" s="29"/>
      <c r="J202" s="35"/>
    </row>
    <row r="203">
      <c r="A203" s="29"/>
      <c r="B203" s="40"/>
      <c r="C203" s="29"/>
      <c r="D203" s="29"/>
      <c r="E203" s="29"/>
      <c r="F203" s="29"/>
      <c r="G203" s="29"/>
      <c r="H203" s="41"/>
      <c r="I203" s="29"/>
      <c r="J203" s="35"/>
    </row>
    <row r="204">
      <c r="A204" s="29"/>
      <c r="B204" s="116"/>
      <c r="C204" s="29"/>
      <c r="D204" s="117"/>
      <c r="E204" s="117"/>
      <c r="F204" s="29"/>
      <c r="G204" s="29"/>
      <c r="H204" s="41"/>
      <c r="I204" s="29"/>
      <c r="J204" s="35"/>
    </row>
    <row r="205" s="5" customFormat="1">
      <c r="A205" s="29"/>
      <c r="B205" s="3"/>
      <c r="C205" s="29"/>
      <c r="D205" s="117"/>
      <c r="E205" s="45"/>
      <c r="F205" s="29"/>
      <c r="G205" s="29"/>
      <c r="H205" s="41"/>
      <c r="I205" s="45"/>
      <c r="J205" s="35"/>
    </row>
    <row r="206" s="5" customFormat="1">
      <c r="A206" s="29"/>
      <c r="B206" s="3"/>
      <c r="C206" s="29"/>
      <c r="D206" s="117"/>
      <c r="E206" s="45"/>
      <c r="F206" s="29"/>
      <c r="G206" s="29"/>
      <c r="H206" s="41"/>
      <c r="I206" s="45"/>
      <c r="J206" s="35"/>
    </row>
    <row r="207">
      <c r="A207" s="29"/>
      <c r="B207" s="40"/>
      <c r="C207" s="29"/>
      <c r="D207" s="29"/>
      <c r="E207" s="29"/>
      <c r="F207" s="29"/>
      <c r="G207" s="29"/>
      <c r="H207" s="41"/>
      <c r="I207" s="29"/>
      <c r="J207" s="35"/>
    </row>
    <row r="208">
      <c r="A208" s="29"/>
      <c r="B208" s="118"/>
      <c r="C208" s="29"/>
      <c r="D208" s="119"/>
      <c r="E208" s="119"/>
      <c r="F208" s="29"/>
      <c r="G208" s="29"/>
      <c r="H208" s="41"/>
      <c r="I208" s="29"/>
      <c r="J208" s="35"/>
    </row>
    <row r="209">
      <c r="A209" s="29"/>
      <c r="B209" s="118"/>
      <c r="C209" s="29"/>
      <c r="D209" s="119"/>
      <c r="E209" s="119"/>
      <c r="F209" s="29"/>
      <c r="G209" s="29"/>
      <c r="H209" s="41"/>
      <c r="I209" s="29"/>
      <c r="J209" s="35"/>
    </row>
    <row r="210">
      <c r="A210" s="29"/>
      <c r="B210" s="120"/>
      <c r="C210" s="29"/>
      <c r="D210" s="121"/>
      <c r="E210" s="121"/>
      <c r="F210" s="29"/>
      <c r="G210" s="29"/>
      <c r="H210" s="41"/>
      <c r="I210" s="29"/>
      <c r="J210" s="35"/>
    </row>
    <row r="211">
      <c r="A211" s="29"/>
      <c r="B211" s="120"/>
      <c r="C211" s="29"/>
      <c r="D211" s="121"/>
      <c r="E211" s="121"/>
      <c r="F211" s="29"/>
      <c r="G211" s="29"/>
      <c r="H211" s="41"/>
      <c r="I211" s="29"/>
      <c r="J211" s="35"/>
    </row>
    <row r="212">
      <c r="A212" s="29"/>
      <c r="B212" s="120"/>
      <c r="C212" s="29"/>
      <c r="D212" s="121"/>
      <c r="E212" s="121"/>
      <c r="F212" s="29"/>
      <c r="G212" s="29"/>
      <c r="H212" s="41"/>
      <c r="I212" s="29"/>
      <c r="J212" s="35"/>
    </row>
    <row r="213">
      <c r="A213" s="29"/>
      <c r="B213" s="122"/>
      <c r="C213" s="29"/>
      <c r="D213" s="123"/>
      <c r="E213" s="123"/>
      <c r="F213" s="29"/>
      <c r="G213" s="29"/>
      <c r="H213" s="41"/>
      <c r="I213" s="29"/>
      <c r="J213" s="35"/>
    </row>
    <row r="214">
      <c r="A214" s="29"/>
      <c r="B214" s="124"/>
      <c r="C214" s="29"/>
      <c r="D214" s="58"/>
      <c r="E214" s="58"/>
      <c r="F214" s="29"/>
      <c r="G214" s="29"/>
      <c r="H214" s="41"/>
      <c r="I214" s="29"/>
      <c r="J214" s="35"/>
    </row>
    <row r="215">
      <c r="A215" s="29"/>
      <c r="B215" s="124"/>
      <c r="C215" s="29"/>
      <c r="D215" s="58"/>
      <c r="E215" s="58"/>
      <c r="F215" s="29"/>
      <c r="G215" s="29"/>
      <c r="H215" s="41"/>
      <c r="I215" s="29"/>
      <c r="J215" s="35"/>
    </row>
    <row r="216">
      <c r="A216" s="29"/>
      <c r="B216" s="124"/>
      <c r="C216" s="29"/>
      <c r="D216" s="58"/>
      <c r="E216" s="58"/>
      <c r="F216" s="29"/>
      <c r="G216" s="29"/>
      <c r="H216" s="41"/>
      <c r="I216" s="29"/>
      <c r="J216" s="35"/>
    </row>
    <row r="217">
      <c r="A217" s="29"/>
      <c r="B217" s="40"/>
      <c r="C217" s="29"/>
      <c r="D217" s="29"/>
      <c r="E217" s="29"/>
      <c r="F217" s="29"/>
      <c r="G217" s="29"/>
      <c r="H217" s="41"/>
      <c r="I217" s="29"/>
      <c r="J217" s="35"/>
    </row>
    <row r="218">
      <c r="A218" s="29"/>
      <c r="B218" s="40"/>
      <c r="C218" s="29"/>
      <c r="D218" s="29"/>
      <c r="E218" s="29"/>
      <c r="F218" s="29"/>
      <c r="G218" s="29"/>
      <c r="H218" s="41"/>
      <c r="I218" s="29"/>
      <c r="J218" s="35"/>
    </row>
    <row r="219">
      <c r="A219" s="29"/>
      <c r="B219" s="40"/>
      <c r="C219" s="29"/>
      <c r="D219" s="29"/>
      <c r="E219" s="29"/>
      <c r="F219" s="29"/>
      <c r="G219" s="29"/>
      <c r="H219" s="41"/>
      <c r="I219" s="29"/>
      <c r="J219" s="35"/>
    </row>
    <row r="220">
      <c r="A220" s="29"/>
      <c r="B220" s="40"/>
      <c r="C220" s="29"/>
      <c r="D220" s="29"/>
      <c r="E220" s="29"/>
      <c r="F220" s="29"/>
      <c r="G220" s="29"/>
      <c r="H220" s="41"/>
      <c r="I220" s="29"/>
      <c r="J220" s="35"/>
    </row>
    <row r="221">
      <c r="A221" s="29"/>
      <c r="B221" s="40"/>
      <c r="C221" s="29"/>
      <c r="D221" s="29"/>
      <c r="E221" s="29"/>
      <c r="F221" s="29"/>
      <c r="G221" s="29"/>
      <c r="H221" s="41"/>
      <c r="I221" s="29"/>
      <c r="J221" s="35"/>
    </row>
    <row r="222">
      <c r="A222" s="29"/>
      <c r="B222" s="63"/>
      <c r="C222" s="27"/>
      <c r="D222" s="27"/>
      <c r="E222" s="125"/>
      <c r="F222" s="29"/>
      <c r="G222" s="29"/>
      <c r="H222" s="41"/>
      <c r="I222" s="3"/>
      <c r="J222" s="64"/>
    </row>
    <row r="223">
      <c r="A223" s="29"/>
      <c r="B223" s="40"/>
      <c r="C223" s="29"/>
      <c r="D223" s="29"/>
      <c r="E223" s="29"/>
      <c r="F223" s="29"/>
      <c r="G223" s="29"/>
      <c r="H223" s="41"/>
      <c r="I223" s="29"/>
      <c r="J223" s="35"/>
    </row>
    <row r="224">
      <c r="A224" s="29"/>
      <c r="B224" s="40"/>
      <c r="C224" s="29"/>
      <c r="D224" s="29"/>
      <c r="E224" s="29"/>
      <c r="F224" s="29"/>
      <c r="G224" s="29"/>
      <c r="H224" s="41"/>
      <c r="I224" s="29"/>
      <c r="J224" s="35"/>
    </row>
    <row r="225" s="5" customFormat="1">
      <c r="A225" s="29"/>
      <c r="B225" s="3"/>
      <c r="C225" s="45"/>
      <c r="D225" s="27"/>
      <c r="E225" s="45"/>
      <c r="F225" s="29"/>
      <c r="G225" s="29"/>
      <c r="H225" s="41"/>
      <c r="I225" s="45"/>
      <c r="J225" s="50"/>
    </row>
    <row r="226" s="5" customFormat="1">
      <c r="A226" s="29"/>
      <c r="B226" s="3"/>
      <c r="C226" s="45"/>
      <c r="D226" s="27"/>
      <c r="E226" s="45"/>
      <c r="F226" s="29"/>
      <c r="G226" s="29"/>
      <c r="H226" s="41"/>
      <c r="I226" s="45"/>
      <c r="J226" s="50"/>
    </row>
    <row r="227" s="5" customFormat="1">
      <c r="A227" s="29"/>
      <c r="B227" s="3"/>
      <c r="C227" s="45"/>
      <c r="D227" s="29"/>
      <c r="E227" s="45"/>
      <c r="F227" s="29"/>
      <c r="G227" s="29"/>
      <c r="H227" s="41"/>
      <c r="I227" s="45"/>
      <c r="J227" s="50"/>
    </row>
    <row r="228" s="5" customFormat="1">
      <c r="A228" s="29"/>
      <c r="B228" s="3"/>
      <c r="C228" s="45"/>
      <c r="D228" s="29"/>
      <c r="E228" s="45"/>
      <c r="F228" s="29"/>
      <c r="G228" s="29"/>
      <c r="H228" s="41"/>
      <c r="I228" s="45"/>
      <c r="J228" s="50"/>
    </row>
    <row r="229">
      <c r="A229" s="29"/>
      <c r="B229" s="40"/>
      <c r="C229" s="29"/>
      <c r="D229" s="29"/>
      <c r="E229" s="29"/>
      <c r="F229" s="29"/>
      <c r="G229" s="29"/>
      <c r="H229" s="41"/>
      <c r="I229" s="29"/>
      <c r="J229" s="35"/>
    </row>
    <row r="230">
      <c r="A230" s="29"/>
      <c r="B230" s="40"/>
      <c r="C230" s="29"/>
      <c r="D230" s="29"/>
      <c r="E230" s="29"/>
      <c r="F230" s="29"/>
      <c r="G230" s="29"/>
      <c r="H230" s="41"/>
      <c r="I230" s="29"/>
      <c r="J230" s="35"/>
    </row>
    <row r="231">
      <c r="A231" s="29"/>
      <c r="B231" s="40"/>
      <c r="C231" s="29"/>
      <c r="D231" s="29"/>
      <c r="E231" s="29"/>
      <c r="F231" s="29"/>
      <c r="G231" s="29"/>
      <c r="H231" s="41"/>
      <c r="I231" s="29"/>
      <c r="J231" s="35"/>
    </row>
    <row r="232">
      <c r="A232" s="29"/>
      <c r="B232" s="40"/>
      <c r="C232" s="29"/>
      <c r="D232" s="29"/>
      <c r="E232" s="29"/>
      <c r="F232" s="29"/>
      <c r="G232" s="29"/>
      <c r="H232" s="41"/>
      <c r="I232" s="29"/>
      <c r="J232" s="35"/>
    </row>
    <row r="233">
      <c r="A233" s="29"/>
      <c r="B233" s="40"/>
      <c r="C233" s="29"/>
      <c r="D233" s="29"/>
      <c r="E233" s="29"/>
      <c r="F233" s="29"/>
      <c r="G233" s="29"/>
      <c r="H233" s="41"/>
      <c r="I233" s="29"/>
      <c r="J233" s="35"/>
    </row>
    <row r="234">
      <c r="A234" s="29"/>
      <c r="B234" s="40"/>
      <c r="C234" s="29"/>
      <c r="D234" s="29"/>
      <c r="E234" s="29"/>
      <c r="F234" s="29"/>
      <c r="G234" s="29"/>
      <c r="H234" s="41"/>
      <c r="I234" s="29"/>
      <c r="J234" s="35"/>
    </row>
    <row r="235">
      <c r="A235" s="29"/>
      <c r="B235" s="40"/>
      <c r="C235" s="29"/>
      <c r="D235" s="29"/>
      <c r="E235" s="29"/>
      <c r="F235" s="29"/>
      <c r="G235" s="29"/>
      <c r="H235" s="41"/>
      <c r="I235" s="29"/>
      <c r="J235" s="35"/>
    </row>
    <row r="236">
      <c r="A236" s="29"/>
      <c r="B236" s="40"/>
      <c r="C236" s="29"/>
      <c r="D236" s="29"/>
      <c r="E236" s="29"/>
      <c r="F236" s="29"/>
      <c r="G236" s="29"/>
      <c r="H236" s="41"/>
      <c r="I236" s="29"/>
      <c r="J236" s="35"/>
    </row>
    <row r="237">
      <c r="A237" s="29"/>
      <c r="B237" s="40"/>
      <c r="C237" s="29"/>
      <c r="D237" s="29"/>
      <c r="E237" s="29"/>
      <c r="F237" s="29"/>
      <c r="G237" s="29"/>
      <c r="H237" s="41"/>
      <c r="I237" s="29"/>
      <c r="J237" s="35"/>
    </row>
    <row r="238">
      <c r="A238" s="29"/>
      <c r="B238" s="40"/>
      <c r="C238" s="29"/>
      <c r="D238" s="29"/>
      <c r="E238" s="29"/>
      <c r="F238" s="29"/>
      <c r="G238" s="29"/>
      <c r="H238" s="41"/>
      <c r="I238" s="29"/>
      <c r="J238" s="35"/>
    </row>
    <row r="239">
      <c r="A239" s="29"/>
      <c r="B239" s="40"/>
      <c r="C239" s="29"/>
      <c r="D239" s="29"/>
      <c r="E239" s="29"/>
      <c r="F239" s="29"/>
      <c r="G239" s="29"/>
      <c r="H239" s="41"/>
      <c r="I239" s="29"/>
      <c r="J239" s="35"/>
    </row>
    <row r="240">
      <c r="A240" s="29"/>
      <c r="B240" s="40"/>
      <c r="C240" s="29"/>
      <c r="D240" s="47"/>
      <c r="E240" s="29"/>
      <c r="F240" s="114"/>
      <c r="G240" s="29"/>
      <c r="H240" s="41"/>
      <c r="I240" s="29"/>
      <c r="J240" s="35"/>
    </row>
    <row r="241">
      <c r="A241" s="29"/>
      <c r="B241" s="40"/>
      <c r="C241" s="29"/>
      <c r="D241" s="29"/>
      <c r="E241" s="29"/>
      <c r="F241" s="29"/>
      <c r="G241" s="29"/>
      <c r="H241" s="41"/>
      <c r="I241" s="29"/>
      <c r="J241" s="35"/>
    </row>
    <row r="242">
      <c r="A242" s="29"/>
      <c r="B242" s="40"/>
      <c r="C242" s="29"/>
      <c r="D242" s="29"/>
      <c r="E242" s="29"/>
      <c r="F242" s="29"/>
      <c r="G242" s="29"/>
      <c r="H242" s="41"/>
      <c r="I242" s="29"/>
      <c r="J242" s="35"/>
    </row>
    <row r="243">
      <c r="A243" s="29"/>
      <c r="B243" s="40"/>
      <c r="C243" s="29"/>
      <c r="D243" s="29"/>
      <c r="E243" s="29"/>
      <c r="F243" s="29"/>
      <c r="G243" s="29"/>
      <c r="H243" s="41"/>
      <c r="I243" s="29"/>
      <c r="J243" s="35"/>
    </row>
    <row r="244">
      <c r="A244" s="29"/>
      <c r="B244" s="40"/>
      <c r="C244" s="29"/>
      <c r="D244" s="29"/>
      <c r="E244" s="29"/>
      <c r="F244" s="29"/>
      <c r="G244" s="29"/>
      <c r="H244" s="41"/>
      <c r="I244" s="29"/>
      <c r="J244" s="35"/>
    </row>
    <row r="245">
      <c r="A245" s="29"/>
      <c r="B245" s="40"/>
      <c r="C245" s="29"/>
      <c r="D245" s="29"/>
      <c r="E245" s="29"/>
      <c r="F245" s="29"/>
      <c r="G245" s="29"/>
      <c r="H245" s="41"/>
      <c r="I245" s="29"/>
      <c r="J245" s="35"/>
    </row>
    <row r="246" ht="76.5" customHeight="1">
      <c r="A246" s="29"/>
      <c r="B246" s="81"/>
      <c r="C246" s="29"/>
      <c r="D246" s="41"/>
      <c r="E246" s="41"/>
      <c r="F246" s="29"/>
      <c r="G246" s="29"/>
      <c r="H246" s="41"/>
      <c r="I246" s="29"/>
      <c r="J246" s="35"/>
    </row>
    <row r="247">
      <c r="A247" s="29"/>
      <c r="B247" s="40"/>
      <c r="C247" s="29"/>
      <c r="D247" s="29"/>
      <c r="E247" s="29"/>
      <c r="F247" s="29"/>
      <c r="G247" s="29"/>
      <c r="H247" s="41"/>
      <c r="I247" s="29"/>
      <c r="J247" s="35"/>
    </row>
    <row r="248" s="5" customFormat="1">
      <c r="A248" s="29"/>
      <c r="B248" s="3"/>
      <c r="C248" s="45"/>
      <c r="D248" s="29"/>
      <c r="E248" s="45"/>
      <c r="F248" s="29"/>
      <c r="G248" s="29"/>
      <c r="H248" s="41"/>
      <c r="I248" s="45"/>
      <c r="J248" s="50"/>
    </row>
    <row r="249" s="5" customFormat="1">
      <c r="A249" s="29"/>
      <c r="B249" s="3"/>
      <c r="C249" s="45"/>
      <c r="D249" s="29"/>
      <c r="E249" s="45"/>
      <c r="F249" s="29"/>
      <c r="G249" s="29"/>
      <c r="H249" s="41"/>
      <c r="I249" s="45"/>
      <c r="J249" s="50"/>
    </row>
    <row r="250" s="5" customFormat="1">
      <c r="A250" s="29"/>
      <c r="B250" s="3"/>
      <c r="C250" s="45"/>
      <c r="D250" s="27"/>
      <c r="E250" s="45"/>
      <c r="F250" s="29"/>
      <c r="G250" s="29"/>
      <c r="H250" s="41"/>
      <c r="I250" s="45"/>
      <c r="J250" s="50"/>
    </row>
    <row r="251" s="5" customFormat="1">
      <c r="A251" s="29"/>
      <c r="B251" s="3"/>
      <c r="C251" s="45"/>
      <c r="D251" s="27"/>
      <c r="E251" s="45"/>
      <c r="F251" s="29"/>
      <c r="G251" s="29"/>
      <c r="H251" s="41"/>
      <c r="I251" s="45"/>
      <c r="J251" s="50"/>
    </row>
    <row r="252">
      <c r="A252" s="29"/>
      <c r="B252" s="40"/>
      <c r="C252" s="29"/>
      <c r="D252" s="29"/>
      <c r="E252" s="29"/>
      <c r="F252" s="29"/>
      <c r="G252" s="29"/>
      <c r="H252" s="41"/>
      <c r="I252" s="29"/>
      <c r="J252" s="35"/>
    </row>
    <row r="253">
      <c r="A253" s="29"/>
      <c r="B253" s="40"/>
      <c r="C253" s="29"/>
      <c r="D253" s="29"/>
      <c r="E253" s="29"/>
      <c r="F253" s="29"/>
      <c r="G253" s="29"/>
      <c r="H253" s="41"/>
      <c r="I253" s="29"/>
      <c r="J253" s="35"/>
    </row>
    <row r="254">
      <c r="A254" s="29"/>
      <c r="B254" s="40"/>
      <c r="C254" s="29"/>
      <c r="D254" s="29"/>
      <c r="E254" s="29"/>
      <c r="F254" s="29"/>
      <c r="G254" s="29"/>
      <c r="H254" s="41"/>
      <c r="I254" s="29"/>
      <c r="J254" s="35"/>
    </row>
    <row r="256" s="5" customFormat="1">
      <c r="A256" s="29"/>
      <c r="B256" s="3"/>
      <c r="C256" s="45"/>
      <c r="D256" s="27"/>
      <c r="E256" s="45"/>
      <c r="F256" s="29"/>
      <c r="G256" s="29"/>
      <c r="H256" s="41"/>
      <c r="I256" s="45"/>
      <c r="J256" s="50"/>
    </row>
    <row r="257" s="5" customFormat="1">
      <c r="A257" s="29"/>
      <c r="B257" s="3"/>
      <c r="C257" s="45"/>
      <c r="D257" s="27"/>
      <c r="E257" s="45"/>
      <c r="F257" s="29"/>
      <c r="G257" s="29"/>
      <c r="H257" s="41"/>
      <c r="I257" s="45"/>
      <c r="J257" s="50"/>
    </row>
    <row r="258" s="5" customFormat="1" ht="12.75">
      <c r="A258" s="29"/>
      <c r="B258" s="3"/>
      <c r="C258" s="45"/>
      <c r="D258" s="27"/>
      <c r="E258" s="126"/>
      <c r="F258" s="29"/>
      <c r="G258" s="29"/>
      <c r="H258" s="41"/>
      <c r="I258" s="127"/>
      <c r="J258" s="50"/>
    </row>
    <row r="259">
      <c r="A259" s="29"/>
      <c r="B259" s="38"/>
      <c r="C259" s="29"/>
      <c r="D259" s="29"/>
      <c r="E259" s="29"/>
      <c r="F259" s="29"/>
      <c r="G259" s="29"/>
      <c r="H259" s="41"/>
      <c r="I259" s="29"/>
      <c r="J259" s="35"/>
    </row>
    <row r="260">
      <c r="A260" s="29"/>
      <c r="B260" s="38"/>
      <c r="C260" s="29"/>
      <c r="D260" s="29"/>
      <c r="E260" s="29"/>
      <c r="F260" s="29"/>
      <c r="G260" s="29"/>
      <c r="H260" s="41"/>
      <c r="I260" s="29"/>
      <c r="J260" s="35"/>
    </row>
    <row r="261">
      <c r="A261" s="29"/>
      <c r="B261" s="38"/>
      <c r="C261" s="29"/>
      <c r="D261" s="29"/>
      <c r="E261" s="29"/>
      <c r="F261" s="29"/>
      <c r="G261" s="29"/>
      <c r="H261" s="41"/>
      <c r="I261" s="29"/>
      <c r="J261" s="35"/>
    </row>
    <row r="262">
      <c r="A262" s="29"/>
      <c r="B262" s="38"/>
      <c r="C262" s="29"/>
      <c r="D262" s="29"/>
      <c r="E262" s="29"/>
      <c r="F262" s="29"/>
      <c r="G262" s="29"/>
      <c r="H262" s="41"/>
      <c r="I262" s="29"/>
      <c r="J262" s="35"/>
    </row>
    <row r="263">
      <c r="A263" s="29"/>
      <c r="B263" s="38"/>
      <c r="C263" s="29"/>
      <c r="D263" s="29"/>
      <c r="E263" s="41"/>
      <c r="F263" s="29"/>
      <c r="G263" s="29"/>
      <c r="H263" s="41"/>
      <c r="I263" s="29"/>
      <c r="J263" s="35"/>
    </row>
    <row r="264">
      <c r="A264" s="29"/>
      <c r="B264" s="40"/>
      <c r="C264" s="29"/>
      <c r="D264" s="29"/>
      <c r="E264" s="41"/>
      <c r="F264" s="29"/>
      <c r="G264" s="29"/>
      <c r="H264" s="41"/>
      <c r="I264" s="41"/>
      <c r="J264" s="35"/>
    </row>
    <row r="265">
      <c r="A265" s="29"/>
      <c r="B265" s="40"/>
      <c r="C265" s="29"/>
      <c r="D265" s="29"/>
      <c r="E265" s="29"/>
      <c r="F265" s="29"/>
      <c r="G265" s="29"/>
      <c r="H265" s="41"/>
      <c r="I265" s="29"/>
      <c r="J265" s="35"/>
    </row>
    <row r="266">
      <c r="A266" s="29"/>
      <c r="B266" s="40"/>
      <c r="C266" s="29"/>
      <c r="D266" s="29"/>
      <c r="E266" s="29"/>
      <c r="F266" s="29"/>
      <c r="G266" s="29"/>
      <c r="H266" s="41"/>
      <c r="I266" s="29"/>
      <c r="J266" s="35"/>
    </row>
    <row r="267">
      <c r="A267" s="29"/>
      <c r="B267" s="40"/>
      <c r="C267" s="29"/>
      <c r="D267" s="29"/>
      <c r="E267" s="29"/>
      <c r="F267" s="29"/>
      <c r="G267" s="29"/>
      <c r="H267" s="41"/>
      <c r="I267" s="29"/>
      <c r="J267" s="35"/>
    </row>
    <row r="268">
      <c r="A268" s="29"/>
      <c r="B268" s="40"/>
      <c r="C268" s="29"/>
      <c r="D268" s="29"/>
      <c r="E268" s="29"/>
      <c r="F268" s="29"/>
      <c r="G268" s="29"/>
      <c r="H268" s="41"/>
      <c r="I268" s="29"/>
      <c r="J268" s="35"/>
    </row>
    <row r="269">
      <c r="A269" s="29"/>
      <c r="B269" s="40"/>
      <c r="C269" s="29"/>
      <c r="D269" s="29"/>
      <c r="E269" s="29"/>
      <c r="F269" s="29"/>
      <c r="G269" s="29"/>
      <c r="H269" s="41"/>
      <c r="I269" s="29"/>
      <c r="J269" s="35"/>
    </row>
    <row r="270">
      <c r="A270" s="29"/>
      <c r="B270" s="40"/>
      <c r="C270" s="29"/>
      <c r="D270" s="29"/>
      <c r="E270" s="29"/>
      <c r="F270" s="29"/>
      <c r="G270" s="29"/>
      <c r="H270" s="41"/>
      <c r="I270" s="29"/>
      <c r="J270" s="35"/>
    </row>
    <row r="271">
      <c r="A271" s="29"/>
      <c r="B271" s="40"/>
      <c r="C271" s="29"/>
      <c r="D271" s="29"/>
      <c r="E271" s="29"/>
      <c r="F271" s="29"/>
      <c r="G271" s="29"/>
      <c r="H271" s="41"/>
      <c r="I271" s="29"/>
      <c r="J271" s="35"/>
    </row>
    <row r="272">
      <c r="A272" s="29"/>
      <c r="B272" s="40"/>
      <c r="C272" s="29"/>
      <c r="D272" s="29"/>
      <c r="E272" s="29"/>
      <c r="F272" s="29"/>
      <c r="G272" s="29"/>
      <c r="H272" s="41"/>
      <c r="I272" s="29"/>
      <c r="J272" s="35"/>
    </row>
    <row r="273">
      <c r="A273" s="29"/>
      <c r="B273" s="40"/>
      <c r="C273" s="29"/>
      <c r="D273" s="29"/>
      <c r="E273" s="29"/>
      <c r="F273" s="29"/>
      <c r="G273" s="29"/>
      <c r="H273" s="41"/>
      <c r="I273" s="29"/>
      <c r="J273" s="35"/>
    </row>
    <row r="274">
      <c r="A274" s="29"/>
      <c r="B274" s="40"/>
      <c r="C274" s="29"/>
      <c r="D274" s="29"/>
      <c r="E274" s="29"/>
      <c r="F274" s="29"/>
      <c r="G274" s="29"/>
      <c r="H274" s="41"/>
      <c r="I274" s="29"/>
      <c r="J274" s="35"/>
    </row>
    <row r="275">
      <c r="A275" s="29"/>
      <c r="B275" s="40"/>
      <c r="C275" s="29"/>
      <c r="D275" s="29"/>
      <c r="E275" s="29"/>
      <c r="F275" s="29"/>
      <c r="G275" s="29"/>
      <c r="H275" s="41"/>
      <c r="I275" s="29"/>
      <c r="J275" s="35"/>
    </row>
    <row r="276">
      <c r="A276" s="29"/>
      <c r="B276" s="40"/>
      <c r="C276" s="29"/>
      <c r="D276" s="29"/>
      <c r="E276" s="29"/>
      <c r="F276" s="29"/>
      <c r="G276" s="29"/>
      <c r="H276" s="41"/>
      <c r="I276" s="29"/>
      <c r="J276" s="35"/>
    </row>
    <row r="277">
      <c r="A277" s="29"/>
      <c r="B277" s="40"/>
      <c r="C277" s="29"/>
      <c r="D277" s="29"/>
      <c r="E277" s="29"/>
      <c r="F277" s="29"/>
      <c r="G277" s="29"/>
      <c r="H277" s="41"/>
      <c r="I277" s="29"/>
      <c r="J277" s="35"/>
    </row>
    <row r="278">
      <c r="A278" s="29"/>
      <c r="B278" s="40"/>
      <c r="C278" s="29"/>
      <c r="D278" s="29"/>
      <c r="E278" s="29"/>
      <c r="F278" s="29"/>
      <c r="G278" s="29"/>
      <c r="H278" s="41"/>
      <c r="I278" s="29"/>
      <c r="J278" s="35"/>
    </row>
    <row r="279">
      <c r="A279" s="29"/>
      <c r="B279" s="40"/>
      <c r="C279" s="29"/>
      <c r="D279" s="29"/>
      <c r="E279" s="29"/>
      <c r="F279" s="29"/>
      <c r="G279" s="29"/>
      <c r="H279" s="41"/>
      <c r="I279" s="29"/>
      <c r="J279" s="35"/>
    </row>
    <row r="280">
      <c r="A280" s="29"/>
      <c r="B280" s="40"/>
      <c r="C280" s="29"/>
      <c r="D280" s="29"/>
      <c r="E280" s="29"/>
      <c r="F280" s="29"/>
      <c r="G280" s="29"/>
      <c r="H280" s="41"/>
      <c r="I280" s="29"/>
      <c r="J280" s="35"/>
    </row>
    <row r="281">
      <c r="A281" s="29"/>
      <c r="B281" s="40"/>
      <c r="C281" s="29"/>
      <c r="D281" s="29"/>
      <c r="E281" s="29"/>
      <c r="F281" s="29"/>
      <c r="G281" s="29"/>
      <c r="H281" s="41"/>
      <c r="I281" s="29"/>
      <c r="J281" s="35"/>
    </row>
    <row r="282" s="5" customFormat="1">
      <c r="A282" s="29"/>
      <c r="B282" s="3"/>
      <c r="C282" s="45"/>
      <c r="D282" s="27"/>
      <c r="E282" s="45"/>
      <c r="F282" s="29"/>
      <c r="G282" s="29"/>
      <c r="H282" s="41"/>
      <c r="I282" s="29"/>
      <c r="J282" s="50"/>
    </row>
    <row r="283" s="5" customFormat="1">
      <c r="A283" s="29"/>
      <c r="B283" s="3"/>
      <c r="C283" s="45"/>
      <c r="D283" s="27"/>
      <c r="E283" s="45"/>
      <c r="F283" s="29"/>
      <c r="G283" s="29"/>
      <c r="H283" s="41"/>
      <c r="I283" s="29"/>
      <c r="J283" s="50"/>
    </row>
    <row r="284" s="5" customFormat="1">
      <c r="A284" s="29"/>
      <c r="B284" s="3"/>
      <c r="C284" s="45"/>
      <c r="D284" s="27"/>
      <c r="E284" s="45"/>
      <c r="F284" s="29"/>
      <c r="G284" s="29"/>
      <c r="H284" s="41"/>
      <c r="I284" s="29"/>
      <c r="J284" s="50"/>
    </row>
    <row r="285" s="5" customFormat="1">
      <c r="B285" s="3"/>
      <c r="C285" s="45"/>
      <c r="D285" s="27"/>
      <c r="E285" s="45"/>
      <c r="F285" s="29"/>
      <c r="G285" s="29"/>
      <c r="H285" s="41"/>
      <c r="I285" s="29"/>
      <c r="J285" s="50"/>
    </row>
    <row r="286" s="5" customFormat="1">
      <c r="B286" s="3"/>
      <c r="C286" s="45"/>
      <c r="D286" s="27"/>
      <c r="E286" s="45"/>
      <c r="F286" s="29"/>
      <c r="G286" s="29"/>
      <c r="H286" s="41"/>
      <c r="I286" s="29"/>
      <c r="J286" s="50"/>
    </row>
    <row r="287" s="5" customFormat="1">
      <c r="A287" s="94"/>
      <c r="B287" s="3"/>
      <c r="C287" s="45"/>
      <c r="D287" s="27"/>
      <c r="E287" s="45"/>
      <c r="F287" s="29"/>
      <c r="G287" s="29"/>
      <c r="H287" s="41"/>
      <c r="I287" s="29"/>
      <c r="J287" s="50"/>
    </row>
    <row r="288" s="5" customFormat="1">
      <c r="A288" s="94"/>
      <c r="B288" s="3"/>
      <c r="C288" s="45"/>
      <c r="D288" s="27"/>
      <c r="E288" s="45"/>
      <c r="F288" s="29"/>
      <c r="G288" s="29"/>
      <c r="H288" s="41"/>
      <c r="I288" s="29"/>
      <c r="J288" s="50"/>
    </row>
    <row r="289" s="5" customFormat="1">
      <c r="A289" s="94"/>
      <c r="B289" s="3"/>
      <c r="C289" s="45"/>
      <c r="D289" s="27"/>
      <c r="E289" s="45"/>
      <c r="F289" s="29"/>
      <c r="G289" s="29"/>
      <c r="H289" s="41"/>
      <c r="I289" s="29"/>
      <c r="J289" s="50"/>
    </row>
    <row r="290" s="5" customFormat="1">
      <c r="A290" s="29"/>
      <c r="B290" s="3"/>
      <c r="C290" s="45"/>
      <c r="D290" s="27"/>
      <c r="E290" s="45"/>
      <c r="F290" s="29"/>
      <c r="G290" s="29"/>
      <c r="H290" s="41"/>
      <c r="I290" s="29"/>
      <c r="J290" s="50"/>
    </row>
    <row r="291" s="5" customFormat="1">
      <c r="A291" s="29"/>
      <c r="B291" s="3"/>
      <c r="C291" s="45"/>
      <c r="D291" s="27"/>
      <c r="E291" s="45"/>
      <c r="F291" s="29"/>
      <c r="G291" s="29"/>
      <c r="H291" s="41"/>
      <c r="I291" s="29"/>
      <c r="J291" s="50"/>
    </row>
    <row r="292" s="5" customFormat="1">
      <c r="B292" s="3"/>
      <c r="C292" s="45"/>
      <c r="D292" s="27"/>
      <c r="E292" s="45"/>
      <c r="F292" s="29"/>
      <c r="G292" s="29"/>
      <c r="H292" s="41"/>
      <c r="I292" s="29"/>
      <c r="J292" s="50"/>
    </row>
    <row r="293" s="5" customFormat="1">
      <c r="B293" s="3"/>
      <c r="C293" s="45"/>
      <c r="D293" s="27"/>
      <c r="E293" s="45"/>
      <c r="F293" s="29"/>
      <c r="G293" s="29"/>
      <c r="H293" s="41"/>
      <c r="I293" s="29"/>
      <c r="J293" s="50"/>
    </row>
    <row r="294" s="5" customFormat="1">
      <c r="A294" s="29"/>
      <c r="B294" s="3"/>
      <c r="C294" s="45"/>
      <c r="D294" s="27"/>
      <c r="E294" s="45"/>
      <c r="F294" s="29"/>
      <c r="G294" s="29"/>
      <c r="H294" s="41"/>
      <c r="I294" s="29"/>
      <c r="J294" s="50"/>
    </row>
    <row r="295" s="5" customFormat="1">
      <c r="B295" s="3"/>
      <c r="D295" s="27"/>
      <c r="E295" s="45"/>
      <c r="F295" s="29"/>
      <c r="G295" s="29"/>
      <c r="H295" s="41"/>
      <c r="I295" s="29"/>
      <c r="J295" s="128"/>
    </row>
    <row r="296" s="5" customFormat="1">
      <c r="B296" s="3"/>
      <c r="C296" s="45"/>
      <c r="D296" s="27"/>
      <c r="E296" s="45"/>
      <c r="F296" s="29"/>
      <c r="G296" s="29"/>
      <c r="H296" s="41"/>
      <c r="I296" s="29"/>
      <c r="J296" s="50"/>
    </row>
    <row r="297" s="5" customFormat="1">
      <c r="A297" s="29"/>
      <c r="B297" s="3"/>
      <c r="C297" s="45"/>
      <c r="D297" s="27"/>
      <c r="E297" s="45"/>
      <c r="F297" s="29"/>
      <c r="G297" s="29"/>
      <c r="H297" s="41"/>
      <c r="I297" s="29"/>
      <c r="J297" s="50"/>
    </row>
    <row r="298" s="5" customFormat="1">
      <c r="A298" s="29"/>
      <c r="B298" s="3"/>
      <c r="C298" s="45"/>
      <c r="D298" s="27"/>
      <c r="E298" s="45"/>
      <c r="F298" s="29"/>
      <c r="G298" s="29"/>
      <c r="H298" s="41"/>
      <c r="I298" s="29"/>
      <c r="J298" s="50"/>
    </row>
    <row r="299" s="5" customFormat="1">
      <c r="A299" s="29"/>
      <c r="B299" s="3"/>
      <c r="C299" s="45"/>
      <c r="D299" s="27"/>
      <c r="E299" s="45"/>
      <c r="F299" s="29"/>
      <c r="G299" s="29"/>
      <c r="H299" s="41"/>
      <c r="I299" s="29"/>
      <c r="J299" s="50"/>
    </row>
    <row r="300" s="5" customFormat="1">
      <c r="A300" s="29"/>
      <c r="B300" s="3"/>
      <c r="C300" s="45"/>
      <c r="D300" s="27"/>
      <c r="E300" s="45"/>
      <c r="F300" s="29"/>
      <c r="G300" s="29"/>
      <c r="H300" s="41"/>
      <c r="I300" s="29"/>
      <c r="J300" s="50"/>
    </row>
    <row r="301" s="5" customFormat="1">
      <c r="A301" s="29"/>
      <c r="B301" s="3"/>
      <c r="C301" s="45"/>
      <c r="D301" s="27"/>
      <c r="E301" s="45"/>
      <c r="F301" s="29"/>
      <c r="G301" s="29"/>
      <c r="H301" s="41"/>
      <c r="I301" s="29"/>
      <c r="J301" s="50"/>
    </row>
    <row r="302" s="5" customFormat="1">
      <c r="A302" s="29"/>
      <c r="B302" s="3"/>
      <c r="C302" s="45"/>
      <c r="D302" s="29"/>
      <c r="E302" s="45"/>
      <c r="F302" s="29"/>
      <c r="G302" s="29"/>
      <c r="H302" s="41"/>
      <c r="I302" s="29"/>
      <c r="J302" s="50"/>
    </row>
    <row r="303">
      <c r="A303" s="29"/>
      <c r="B303" s="40"/>
      <c r="C303" s="29"/>
      <c r="D303" s="29"/>
      <c r="E303" s="29"/>
      <c r="F303" s="29"/>
      <c r="G303" s="29"/>
      <c r="H303" s="41"/>
      <c r="I303" s="29"/>
      <c r="J303" s="35"/>
    </row>
    <row r="304">
      <c r="A304" s="29"/>
      <c r="B304" s="40"/>
      <c r="C304" s="29"/>
      <c r="D304" s="29"/>
      <c r="E304" s="29"/>
      <c r="F304" s="29"/>
      <c r="G304" s="29"/>
      <c r="H304" s="41"/>
      <c r="I304" s="29"/>
      <c r="J304" s="35"/>
    </row>
    <row r="305">
      <c r="A305" s="29"/>
      <c r="B305" s="40"/>
      <c r="C305" s="29"/>
      <c r="D305" s="29"/>
      <c r="E305" s="29"/>
      <c r="F305" s="29"/>
      <c r="G305" s="29"/>
      <c r="H305" s="41"/>
      <c r="I305" s="29"/>
      <c r="J305" s="35"/>
    </row>
    <row r="306">
      <c r="A306" s="29"/>
      <c r="B306" s="40"/>
      <c r="C306" s="29"/>
      <c r="D306" s="29"/>
      <c r="E306" s="29"/>
      <c r="F306" s="29"/>
      <c r="G306" s="29"/>
      <c r="H306" s="41"/>
      <c r="I306" s="29"/>
      <c r="J306" s="35"/>
    </row>
    <row r="307">
      <c r="A307" s="29"/>
      <c r="B307" s="40"/>
      <c r="C307" s="29"/>
      <c r="D307" s="29"/>
      <c r="E307" s="82"/>
      <c r="F307" s="29"/>
      <c r="G307" s="29"/>
      <c r="H307" s="41"/>
      <c r="I307" s="29"/>
      <c r="J307" s="35"/>
    </row>
    <row r="309" ht="134.25" customHeight="1">
      <c r="A309" s="29"/>
      <c r="B309" s="38"/>
      <c r="C309" s="29"/>
      <c r="D309" s="29"/>
      <c r="E309" s="41"/>
      <c r="F309" s="29"/>
      <c r="G309" s="29"/>
      <c r="H309" s="41"/>
      <c r="I309" s="29"/>
      <c r="J309" s="35"/>
      <c r="K309" s="83"/>
      <c r="L309" s="83"/>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83"/>
      <c r="EO309" s="83"/>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c r="FL309" s="83"/>
      <c r="FM309" s="83"/>
      <c r="FN309" s="83"/>
      <c r="FO309" s="83"/>
      <c r="FP309" s="83"/>
      <c r="FQ309" s="83"/>
      <c r="FR309" s="83"/>
      <c r="FS309" s="83"/>
      <c r="FT309" s="83"/>
      <c r="FU309" s="83"/>
      <c r="FV309" s="83"/>
      <c r="FW309" s="83"/>
      <c r="FX309" s="83"/>
      <c r="FY309" s="83"/>
      <c r="FZ309" s="83"/>
      <c r="GA309" s="83"/>
      <c r="GB309" s="83"/>
      <c r="GC309" s="83"/>
      <c r="GD309" s="83"/>
      <c r="GE309" s="83"/>
      <c r="GF309" s="83"/>
      <c r="GG309" s="83"/>
      <c r="GH309" s="83"/>
      <c r="GI309" s="83"/>
      <c r="GJ309" s="83"/>
      <c r="GK309" s="83"/>
      <c r="GL309" s="83"/>
      <c r="GM309" s="83"/>
      <c r="GN309" s="83"/>
      <c r="GO309" s="83"/>
      <c r="GP309" s="83"/>
      <c r="GQ309" s="83"/>
      <c r="GR309" s="83"/>
      <c r="GS309" s="83"/>
      <c r="GT309" s="83"/>
      <c r="GU309" s="83"/>
      <c r="GV309" s="83"/>
      <c r="GW309" s="83"/>
      <c r="GX309" s="83"/>
      <c r="GY309" s="83"/>
      <c r="GZ309" s="83"/>
      <c r="HA309" s="83"/>
      <c r="HB309" s="83"/>
      <c r="HC309" s="83"/>
      <c r="HD309" s="83"/>
      <c r="HE309" s="83"/>
      <c r="HF309" s="83"/>
      <c r="HG309" s="83"/>
      <c r="HH309" s="83"/>
      <c r="HI309" s="83"/>
      <c r="HJ309" s="83"/>
      <c r="HK309" s="83"/>
    </row>
    <row r="310" ht="134.25" customHeight="1">
      <c r="A310" s="29"/>
      <c r="B310" s="129"/>
      <c r="C310" s="29"/>
      <c r="D310" s="41"/>
      <c r="E310" s="41"/>
      <c r="F310" s="29"/>
      <c r="G310" s="29"/>
      <c r="H310" s="41"/>
      <c r="I310" s="29"/>
      <c r="J310" s="35"/>
      <c r="K310" s="83"/>
      <c r="L310" s="83"/>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83"/>
      <c r="EO310" s="83"/>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c r="FL310" s="83"/>
      <c r="FM310" s="83"/>
      <c r="FN310" s="83"/>
      <c r="FO310" s="83"/>
      <c r="FP310" s="83"/>
      <c r="FQ310" s="83"/>
      <c r="FR310" s="83"/>
      <c r="FS310" s="83"/>
      <c r="FT310" s="83"/>
      <c r="FU310" s="83"/>
      <c r="FV310" s="83"/>
      <c r="FW310" s="83"/>
      <c r="FX310" s="83"/>
      <c r="FY310" s="83"/>
      <c r="FZ310" s="83"/>
      <c r="GA310" s="83"/>
      <c r="GB310" s="83"/>
      <c r="GC310" s="83"/>
      <c r="GD310" s="83"/>
      <c r="GE310" s="83"/>
      <c r="GF310" s="83"/>
      <c r="GG310" s="83"/>
      <c r="GH310" s="83"/>
      <c r="GI310" s="83"/>
      <c r="GJ310" s="83"/>
      <c r="GK310" s="83"/>
      <c r="GL310" s="83"/>
      <c r="GM310" s="83"/>
      <c r="GN310" s="83"/>
      <c r="GO310" s="83"/>
      <c r="GP310" s="83"/>
      <c r="GQ310" s="83"/>
      <c r="GR310" s="83"/>
      <c r="GS310" s="83"/>
      <c r="GT310" s="83"/>
      <c r="GU310" s="83"/>
      <c r="GV310" s="83"/>
      <c r="GW310" s="83"/>
      <c r="GX310" s="83"/>
      <c r="GY310" s="83"/>
      <c r="GZ310" s="83"/>
      <c r="HA310" s="83"/>
      <c r="HB310" s="83"/>
      <c r="HC310" s="83"/>
      <c r="HD310" s="83"/>
      <c r="HE310" s="83"/>
      <c r="HF310" s="83"/>
      <c r="HG310" s="83"/>
      <c r="HH310" s="83"/>
      <c r="HI310" s="83"/>
      <c r="HJ310" s="83"/>
      <c r="HK310" s="83"/>
    </row>
    <row r="311" ht="134.25" customHeight="1">
      <c r="A311" s="29"/>
      <c r="B311" s="38"/>
      <c r="C311" s="29"/>
      <c r="D311" s="29"/>
      <c r="E311" s="82"/>
      <c r="F311" s="29"/>
      <c r="G311" s="29"/>
      <c r="H311" s="41"/>
      <c r="I311" s="29"/>
      <c r="J311" s="35"/>
    </row>
    <row r="312" ht="134.25" customHeight="1">
      <c r="A312" s="29"/>
      <c r="B312" s="38"/>
      <c r="C312" s="29"/>
      <c r="D312" s="29"/>
      <c r="E312" s="82"/>
      <c r="F312" s="29"/>
      <c r="G312" s="29"/>
      <c r="H312" s="41"/>
      <c r="I312" s="29"/>
      <c r="J312" s="35"/>
    </row>
    <row r="313" ht="134.25" customHeight="1">
      <c r="A313" s="29"/>
      <c r="B313" s="38"/>
      <c r="C313" s="29"/>
      <c r="D313" s="29"/>
      <c r="E313" s="82"/>
      <c r="F313" s="29"/>
      <c r="G313" s="29"/>
      <c r="H313" s="41"/>
      <c r="I313" s="29"/>
      <c r="J313" s="35"/>
    </row>
    <row r="314" ht="134.25" customHeight="1">
      <c r="A314" s="29"/>
      <c r="B314" s="38"/>
      <c r="C314" s="29"/>
      <c r="D314" s="29"/>
      <c r="E314" s="82"/>
      <c r="F314" s="29"/>
      <c r="G314" s="29"/>
      <c r="H314" s="41"/>
      <c r="I314" s="29"/>
      <c r="J314" s="35"/>
    </row>
    <row r="315" ht="134.25" customHeight="1">
      <c r="A315" s="29"/>
      <c r="B315" s="38"/>
      <c r="C315" s="29"/>
      <c r="D315" s="29"/>
      <c r="E315" s="29"/>
      <c r="F315" s="29"/>
      <c r="G315" s="29"/>
      <c r="H315" s="41"/>
      <c r="I315" s="29"/>
      <c r="J315" s="35"/>
    </row>
    <row r="316" ht="134.25" customHeight="1">
      <c r="A316" s="29"/>
      <c r="B316" s="38"/>
      <c r="C316" s="29"/>
      <c r="D316" s="29"/>
      <c r="E316" s="29"/>
      <c r="F316" s="29"/>
      <c r="G316" s="29"/>
      <c r="H316" s="41"/>
      <c r="I316" s="29"/>
      <c r="J316" s="35"/>
    </row>
    <row r="317" ht="134.25" customHeight="1">
      <c r="A317" s="29"/>
      <c r="B317" s="38"/>
      <c r="C317" s="29"/>
      <c r="D317" s="29"/>
      <c r="E317" s="29"/>
      <c r="F317" s="29"/>
      <c r="G317" s="29"/>
      <c r="H317" s="41"/>
      <c r="I317" s="29"/>
      <c r="J317" s="35"/>
    </row>
    <row r="318" ht="134.25" customHeight="1">
      <c r="A318" s="29"/>
      <c r="B318" s="38"/>
      <c r="C318" s="29"/>
      <c r="D318" s="29"/>
      <c r="E318" s="29"/>
      <c r="F318" s="29"/>
      <c r="G318" s="29"/>
      <c r="H318" s="41"/>
      <c r="I318" s="29"/>
      <c r="J318" s="35"/>
    </row>
    <row r="319" ht="134.25" customHeight="1">
      <c r="A319" s="29"/>
      <c r="B319" s="38"/>
      <c r="C319" s="29"/>
      <c r="D319" s="29"/>
      <c r="E319" s="29"/>
      <c r="F319" s="29"/>
      <c r="G319" s="29"/>
      <c r="H319" s="41"/>
      <c r="I319" s="29"/>
      <c r="J319" s="35"/>
    </row>
    <row r="320" ht="134.25" customHeight="1">
      <c r="A320" s="29"/>
      <c r="B320" s="38"/>
      <c r="C320" s="29"/>
      <c r="D320" s="29"/>
      <c r="E320" s="29"/>
      <c r="F320" s="29"/>
      <c r="G320" s="29"/>
      <c r="H320" s="41"/>
      <c r="I320" s="29"/>
      <c r="J320" s="35"/>
    </row>
    <row r="321" ht="134.25" customHeight="1">
      <c r="A321" s="29"/>
      <c r="B321" s="38"/>
      <c r="C321" s="29"/>
      <c r="D321" s="29"/>
      <c r="E321" s="82"/>
      <c r="F321" s="29"/>
      <c r="G321" s="29"/>
      <c r="H321" s="41"/>
      <c r="I321" s="29"/>
      <c r="J321" s="35"/>
    </row>
    <row r="322" ht="134.25" customHeight="1">
      <c r="A322" s="29"/>
      <c r="B322" s="38"/>
      <c r="C322" s="29"/>
      <c r="D322" s="29"/>
      <c r="E322" s="82"/>
      <c r="F322" s="29"/>
      <c r="G322" s="29"/>
      <c r="H322" s="41"/>
      <c r="I322" s="29"/>
      <c r="J322" s="35"/>
    </row>
    <row r="323" ht="134.25" customHeight="1">
      <c r="A323" s="29"/>
      <c r="B323" s="38"/>
      <c r="C323" s="29"/>
      <c r="D323" s="29"/>
      <c r="E323" s="29"/>
      <c r="F323" s="29"/>
      <c r="G323" s="29"/>
      <c r="H323" s="41"/>
      <c r="I323" s="29"/>
      <c r="J323" s="35"/>
    </row>
    <row r="324" ht="134.25" customHeight="1">
      <c r="A324" s="29"/>
      <c r="B324" s="38"/>
      <c r="C324" s="17"/>
      <c r="D324" s="17"/>
      <c r="E324" s="17"/>
      <c r="F324" s="17"/>
      <c r="G324" s="29"/>
      <c r="H324" s="41"/>
      <c r="I324" s="29"/>
      <c r="J324" s="130"/>
    </row>
    <row r="329">
      <c r="A329" s="29"/>
      <c r="B329" s="40"/>
      <c r="C329" s="29"/>
      <c r="D329" s="29"/>
      <c r="E329" s="29"/>
      <c r="F329" s="29"/>
      <c r="G329" s="29"/>
      <c r="H329" s="41"/>
      <c r="I329" s="29"/>
      <c r="J329" s="35"/>
    </row>
    <row r="330">
      <c r="A330" s="29"/>
      <c r="B330" s="40"/>
      <c r="C330" s="29"/>
      <c r="D330" s="29"/>
      <c r="E330" s="29"/>
      <c r="F330" s="29"/>
      <c r="G330" s="29"/>
      <c r="H330" s="41"/>
      <c r="I330" s="29"/>
      <c r="J330" s="35"/>
    </row>
    <row r="337">
      <c r="A337" s="29"/>
      <c r="B337" s="38"/>
      <c r="C337" s="29"/>
      <c r="D337" s="29"/>
      <c r="E337" s="29"/>
      <c r="F337" s="29"/>
      <c r="G337" s="29"/>
      <c r="H337" s="41"/>
      <c r="I337" s="29"/>
      <c r="J337" s="35"/>
    </row>
    <row r="338">
      <c r="A338" s="29"/>
      <c r="B338" s="38"/>
      <c r="C338" s="29"/>
      <c r="D338" s="29"/>
      <c r="E338" s="29"/>
      <c r="F338" s="29"/>
      <c r="G338" s="29"/>
      <c r="H338" s="41"/>
      <c r="I338" s="29"/>
      <c r="J338" s="35"/>
    </row>
    <row r="339">
      <c r="A339" s="29"/>
      <c r="B339" s="38"/>
      <c r="C339" s="29"/>
      <c r="D339" s="29"/>
      <c r="E339" s="29"/>
      <c r="F339" s="29"/>
      <c r="G339" s="29"/>
      <c r="H339" s="41"/>
      <c r="I339" s="29"/>
      <c r="J339" s="35"/>
    </row>
    <row r="340">
      <c r="A340" s="29"/>
      <c r="B340" s="38"/>
      <c r="C340" s="29"/>
      <c r="D340" s="29"/>
      <c r="E340" s="29"/>
      <c r="F340" s="29"/>
      <c r="G340" s="29"/>
      <c r="H340" s="41"/>
      <c r="I340" s="29"/>
      <c r="J340" s="35"/>
    </row>
    <row r="342">
      <c r="A342" s="29"/>
      <c r="B342" s="40"/>
      <c r="C342" s="29"/>
      <c r="D342" s="29"/>
      <c r="E342" s="29"/>
      <c r="F342" s="29"/>
      <c r="G342" s="29"/>
      <c r="H342" s="41"/>
      <c r="I342" s="29"/>
      <c r="J342" s="35"/>
    </row>
    <row r="345">
      <c r="A345" s="29"/>
      <c r="B345" s="38"/>
      <c r="C345" s="29"/>
      <c r="D345" s="29"/>
      <c r="E345" s="29"/>
      <c r="F345" s="29"/>
      <c r="G345" s="29"/>
      <c r="H345" s="41"/>
      <c r="I345" s="29"/>
      <c r="J345" s="35"/>
    </row>
    <row r="346">
      <c r="A346" s="29"/>
      <c r="B346" s="40"/>
      <c r="C346" s="29"/>
      <c r="D346" s="29"/>
      <c r="E346" s="29"/>
      <c r="F346" s="29"/>
      <c r="G346" s="29"/>
      <c r="H346" s="41"/>
      <c r="I346" s="29"/>
      <c r="J346" s="35"/>
    </row>
    <row r="347">
      <c r="A347" s="29"/>
      <c r="B347" s="40"/>
      <c r="C347" s="29"/>
      <c r="D347" s="29"/>
      <c r="E347" s="29"/>
      <c r="F347" s="29"/>
      <c r="G347" s="29"/>
      <c r="H347" s="41"/>
      <c r="I347" s="29"/>
      <c r="J347" s="35"/>
    </row>
    <row r="348">
      <c r="A348" s="29"/>
      <c r="B348" s="38"/>
      <c r="C348" s="29"/>
      <c r="D348" s="29"/>
      <c r="E348" s="82"/>
      <c r="F348" s="29"/>
      <c r="G348" s="29"/>
      <c r="H348" s="41"/>
      <c r="I348" s="29"/>
      <c r="J348" s="35"/>
    </row>
    <row r="349">
      <c r="A349" s="29"/>
      <c r="B349" s="38"/>
      <c r="C349" s="29"/>
      <c r="D349" s="29"/>
      <c r="E349" s="82"/>
      <c r="F349" s="29"/>
      <c r="G349" s="29"/>
      <c r="H349" s="41"/>
      <c r="I349" s="29"/>
      <c r="J349" s="35"/>
    </row>
    <row r="350">
      <c r="A350" s="29"/>
      <c r="B350" s="38"/>
      <c r="C350" s="29"/>
      <c r="D350" s="29"/>
      <c r="E350" s="82"/>
      <c r="F350" s="29"/>
      <c r="G350" s="29"/>
      <c r="H350" s="41"/>
      <c r="I350" s="29"/>
      <c r="J350" s="35"/>
    </row>
    <row r="351">
      <c r="A351" s="29"/>
      <c r="B351" s="38"/>
      <c r="C351" s="29"/>
      <c r="D351" s="29"/>
      <c r="E351" s="82"/>
      <c r="F351" s="29"/>
      <c r="G351" s="29"/>
      <c r="H351" s="41"/>
      <c r="I351" s="29"/>
      <c r="J351" s="35"/>
    </row>
    <row r="354" s="5" customFormat="1">
      <c r="A354" s="29"/>
      <c r="B354" s="3"/>
      <c r="C354" s="27"/>
      <c r="D354" s="45"/>
      <c r="E354" s="45"/>
      <c r="F354" s="29"/>
      <c r="G354" s="29"/>
      <c r="H354" s="41"/>
      <c r="I354" s="41"/>
      <c r="J354" s="64"/>
    </row>
    <row r="355" s="5" customFormat="1">
      <c r="A355" s="29"/>
      <c r="B355" s="3"/>
      <c r="C355" s="29"/>
      <c r="D355" s="27"/>
      <c r="E355" s="45"/>
      <c r="F355" s="29"/>
      <c r="G355" s="29"/>
      <c r="H355" s="41"/>
      <c r="I355" s="41"/>
      <c r="J355" s="35"/>
    </row>
    <row r="356" s="5" customFormat="1">
      <c r="A356" s="29"/>
      <c r="B356" s="3"/>
      <c r="C356" s="45"/>
      <c r="D356" s="29"/>
      <c r="E356" s="45"/>
      <c r="F356" s="29"/>
      <c r="G356" s="29"/>
      <c r="H356" s="41"/>
      <c r="I356" s="41"/>
      <c r="J356" s="50"/>
    </row>
    <row r="357" s="5" customFormat="1">
      <c r="A357" s="29"/>
      <c r="B357" s="3"/>
      <c r="C357" s="45"/>
      <c r="D357" s="27"/>
      <c r="E357" s="45"/>
      <c r="F357" s="29"/>
      <c r="G357" s="29"/>
      <c r="H357" s="41"/>
      <c r="I357" s="41"/>
      <c r="J357" s="50"/>
    </row>
    <row r="358" s="5" customFormat="1">
      <c r="A358" s="29"/>
      <c r="B358" s="3"/>
      <c r="C358" s="45"/>
      <c r="D358" s="27"/>
      <c r="E358" s="45"/>
      <c r="F358" s="29"/>
      <c r="G358" s="29"/>
      <c r="H358" s="41"/>
      <c r="I358" s="41"/>
      <c r="J358" s="50"/>
    </row>
    <row r="359">
      <c r="A359" s="29"/>
      <c r="B359" s="131"/>
      <c r="C359" s="29"/>
      <c r="D359" s="132"/>
      <c r="E359" s="132"/>
      <c r="F359" s="29"/>
      <c r="G359" s="29"/>
      <c r="H359" s="41"/>
      <c r="I359" s="27"/>
      <c r="J359" s="35"/>
    </row>
    <row r="360">
      <c r="A360" s="29"/>
      <c r="B360" s="131"/>
      <c r="C360" s="29"/>
      <c r="D360" s="132"/>
      <c r="E360" s="132"/>
      <c r="F360" s="29"/>
      <c r="G360" s="29"/>
      <c r="H360" s="41"/>
      <c r="I360" s="27"/>
      <c r="J360" s="35"/>
    </row>
    <row r="361">
      <c r="A361" s="29"/>
      <c r="B361" s="131"/>
      <c r="C361" s="29"/>
      <c r="D361" s="132"/>
      <c r="E361" s="132"/>
      <c r="F361" s="29"/>
      <c r="G361" s="29"/>
      <c r="H361" s="41"/>
      <c r="I361" s="27"/>
      <c r="J361" s="35"/>
    </row>
    <row r="363" s="5" customFormat="1">
      <c r="A363" s="29"/>
      <c r="B363" s="3"/>
      <c r="C363" s="45"/>
      <c r="D363" s="27"/>
      <c r="E363" s="45"/>
      <c r="F363" s="29"/>
      <c r="G363" s="29"/>
      <c r="H363" s="41"/>
      <c r="I363" s="41"/>
      <c r="J363" s="50"/>
    </row>
    <row r="364" s="5" customFormat="1">
      <c r="A364" s="29"/>
      <c r="B364" s="3"/>
      <c r="C364" s="45"/>
      <c r="D364" s="27"/>
      <c r="E364" s="45"/>
      <c r="F364" s="29"/>
      <c r="G364" s="29"/>
      <c r="H364" s="41"/>
      <c r="I364" s="41"/>
      <c r="J364" s="50"/>
    </row>
    <row r="365" s="5" customFormat="1">
      <c r="A365" s="29"/>
      <c r="B365" s="3"/>
      <c r="C365" s="45"/>
      <c r="D365" s="27"/>
      <c r="E365" s="45"/>
      <c r="F365" s="29"/>
      <c r="G365" s="29"/>
      <c r="H365" s="41"/>
      <c r="I365" s="41"/>
      <c r="J365" s="50"/>
    </row>
    <row r="366" s="5" customFormat="1">
      <c r="A366" s="29"/>
      <c r="B366" s="3"/>
      <c r="C366" s="45"/>
      <c r="D366" s="27"/>
      <c r="E366" s="45"/>
      <c r="F366" s="29"/>
      <c r="G366" s="29"/>
      <c r="H366" s="41"/>
      <c r="I366" s="41"/>
      <c r="J366" s="50"/>
    </row>
    <row r="367" s="5" customFormat="1">
      <c r="A367" s="29"/>
      <c r="B367" s="3"/>
      <c r="C367" s="45"/>
      <c r="D367" s="27"/>
      <c r="E367" s="45"/>
      <c r="F367" s="29"/>
      <c r="G367" s="29"/>
      <c r="H367" s="41"/>
      <c r="I367" s="41"/>
      <c r="J367" s="50"/>
    </row>
    <row r="368" s="5" customFormat="1">
      <c r="A368" s="29"/>
      <c r="B368" s="3"/>
      <c r="C368" s="45"/>
      <c r="D368" s="27"/>
      <c r="E368" s="45"/>
      <c r="F368" s="29"/>
      <c r="G368" s="29"/>
      <c r="H368" s="41"/>
      <c r="I368" s="41"/>
      <c r="J368" s="50"/>
    </row>
    <row r="369" s="5" customFormat="1">
      <c r="A369" s="29"/>
      <c r="B369" s="3"/>
      <c r="C369" s="45"/>
      <c r="D369" s="27"/>
      <c r="E369" s="45"/>
      <c r="F369" s="29"/>
      <c r="G369" s="29"/>
      <c r="H369" s="41"/>
      <c r="I369" s="41"/>
      <c r="J369" s="50"/>
    </row>
    <row r="370">
      <c r="A370" s="29"/>
      <c r="B370" s="38"/>
      <c r="C370" s="29"/>
      <c r="D370" s="29"/>
      <c r="E370" s="29"/>
      <c r="F370" s="29"/>
      <c r="G370" s="29"/>
      <c r="H370" s="41"/>
      <c r="I370" s="41"/>
      <c r="J370" s="35"/>
    </row>
    <row r="371">
      <c r="A371" s="29"/>
      <c r="B371" s="40"/>
      <c r="C371" s="29"/>
      <c r="D371" s="29"/>
      <c r="E371" s="41"/>
      <c r="F371" s="29"/>
      <c r="G371" s="29"/>
      <c r="H371" s="41"/>
      <c r="I371" s="41"/>
      <c r="J371" s="35"/>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c r="BS371" s="133"/>
      <c r="BT371" s="133"/>
      <c r="BU371" s="133"/>
      <c r="BV371" s="133"/>
      <c r="BW371" s="133"/>
      <c r="BX371" s="133"/>
      <c r="BY371" s="133"/>
      <c r="BZ371" s="133"/>
      <c r="CA371" s="133"/>
      <c r="CB371" s="133"/>
      <c r="CC371" s="133"/>
      <c r="CD371" s="133"/>
      <c r="CE371" s="133"/>
      <c r="CF371" s="133"/>
      <c r="CG371" s="133"/>
      <c r="CH371" s="133"/>
      <c r="CI371" s="133"/>
      <c r="CJ371" s="133"/>
      <c r="CK371" s="133"/>
      <c r="CL371" s="133"/>
      <c r="CM371" s="133"/>
      <c r="CN371" s="133"/>
      <c r="CO371" s="133"/>
      <c r="CP371" s="133"/>
      <c r="CQ371" s="133"/>
      <c r="CR371" s="133"/>
      <c r="CS371" s="133"/>
      <c r="CT371" s="133"/>
      <c r="CU371" s="133"/>
      <c r="CV371" s="133"/>
      <c r="CW371" s="133"/>
      <c r="CX371" s="133"/>
      <c r="CY371" s="133"/>
      <c r="CZ371" s="133"/>
      <c r="DA371" s="133"/>
      <c r="DB371" s="133"/>
      <c r="DC371" s="133"/>
      <c r="DD371" s="133"/>
      <c r="DE371" s="133"/>
      <c r="DF371" s="133"/>
      <c r="DG371" s="133"/>
      <c r="DH371" s="133"/>
      <c r="DI371" s="133"/>
      <c r="DJ371" s="133"/>
      <c r="DK371" s="133"/>
      <c r="DL371" s="133"/>
      <c r="DM371" s="133"/>
      <c r="DN371" s="133"/>
      <c r="DO371" s="133"/>
      <c r="DP371" s="133"/>
      <c r="DQ371" s="133"/>
      <c r="DR371" s="133"/>
      <c r="DS371" s="133"/>
      <c r="DT371" s="133"/>
      <c r="DU371" s="133"/>
      <c r="DV371" s="133"/>
      <c r="DW371" s="133"/>
      <c r="DX371" s="133"/>
      <c r="DY371" s="133"/>
      <c r="DZ371" s="133"/>
      <c r="EA371" s="133"/>
      <c r="EB371" s="133"/>
      <c r="EC371" s="133"/>
      <c r="ED371" s="133"/>
      <c r="EE371" s="133"/>
      <c r="EF371" s="133"/>
      <c r="EG371" s="133"/>
      <c r="EH371" s="133"/>
      <c r="EI371" s="133"/>
      <c r="EJ371" s="133"/>
      <c r="EK371" s="133"/>
      <c r="EL371" s="133"/>
      <c r="EM371" s="133"/>
      <c r="EN371" s="133"/>
      <c r="EO371" s="133"/>
      <c r="EP371" s="133"/>
      <c r="EQ371" s="133"/>
      <c r="ER371" s="133"/>
      <c r="ES371" s="133"/>
      <c r="ET371" s="133"/>
      <c r="EU371" s="133"/>
      <c r="EV371" s="133"/>
      <c r="EW371" s="133"/>
      <c r="EX371" s="133"/>
      <c r="EY371" s="133"/>
      <c r="EZ371" s="133"/>
      <c r="FA371" s="133"/>
      <c r="FB371" s="133"/>
      <c r="FC371" s="133"/>
      <c r="FD371" s="133"/>
      <c r="FE371" s="133"/>
      <c r="FF371" s="133"/>
      <c r="FG371" s="133"/>
      <c r="FH371" s="133"/>
      <c r="FI371" s="133"/>
      <c r="FJ371" s="133"/>
      <c r="FK371" s="133"/>
      <c r="FL371" s="133"/>
      <c r="FM371" s="133"/>
      <c r="FN371" s="133"/>
      <c r="FO371" s="133"/>
      <c r="FP371" s="133"/>
      <c r="FQ371" s="133"/>
      <c r="FR371" s="133"/>
      <c r="FS371" s="133"/>
      <c r="FT371" s="133"/>
      <c r="FU371" s="133"/>
      <c r="FV371" s="133"/>
      <c r="FW371" s="133"/>
      <c r="FX371" s="133"/>
      <c r="FY371" s="133"/>
      <c r="FZ371" s="133"/>
      <c r="GA371" s="133"/>
      <c r="GB371" s="133"/>
      <c r="GC371" s="133"/>
      <c r="GD371" s="133"/>
      <c r="GE371" s="133"/>
      <c r="GF371" s="133"/>
      <c r="GG371" s="133"/>
      <c r="GH371" s="133"/>
      <c r="GI371" s="133"/>
      <c r="GJ371" s="133"/>
      <c r="GK371" s="133"/>
      <c r="GL371" s="133"/>
      <c r="GM371" s="133"/>
      <c r="GN371" s="133"/>
      <c r="GO371" s="133"/>
      <c r="GP371" s="133"/>
      <c r="GQ371" s="133"/>
      <c r="GR371" s="133"/>
      <c r="GS371" s="133"/>
      <c r="GT371" s="133"/>
      <c r="GU371" s="133"/>
      <c r="GV371" s="133"/>
      <c r="GW371" s="133"/>
      <c r="GX371" s="133"/>
      <c r="GY371" s="133"/>
      <c r="GZ371" s="133"/>
      <c r="HA371" s="133"/>
      <c r="HB371" s="133"/>
      <c r="HC371" s="133"/>
      <c r="HD371" s="133"/>
      <c r="HE371" s="133"/>
      <c r="HF371" s="133"/>
      <c r="HG371" s="133"/>
      <c r="HH371" s="133"/>
      <c r="HI371" s="133"/>
      <c r="HJ371" s="133"/>
      <c r="HK371" s="133"/>
      <c r="HL371" s="133"/>
    </row>
    <row r="372" s="5" customFormat="1">
      <c r="A372" s="29"/>
      <c r="B372" s="3"/>
      <c r="C372" s="45"/>
      <c r="D372" s="27"/>
      <c r="E372" s="45"/>
      <c r="F372" s="29"/>
      <c r="G372" s="29"/>
      <c r="H372" s="41"/>
      <c r="I372" s="41"/>
      <c r="J372" s="50"/>
    </row>
    <row r="373" s="5" customFormat="1">
      <c r="A373" s="29"/>
      <c r="B373" s="3"/>
      <c r="C373" s="45"/>
      <c r="D373" s="27"/>
      <c r="E373" s="45"/>
      <c r="F373" s="29"/>
      <c r="G373" s="29"/>
      <c r="H373" s="41"/>
      <c r="I373" s="41"/>
      <c r="J373" s="50"/>
    </row>
    <row r="374" s="5" customFormat="1">
      <c r="A374" s="29"/>
      <c r="B374" s="3"/>
      <c r="C374" s="45"/>
      <c r="D374" s="27"/>
      <c r="E374" s="45"/>
      <c r="F374" s="29"/>
      <c r="G374" s="29"/>
      <c r="H374" s="41"/>
      <c r="I374" s="41"/>
      <c r="J374" s="50"/>
    </row>
    <row r="375" s="5" customFormat="1">
      <c r="A375" s="29"/>
      <c r="B375" s="3"/>
      <c r="C375" s="45"/>
      <c r="D375" s="27"/>
      <c r="E375" s="45"/>
      <c r="F375" s="29"/>
      <c r="G375" s="29"/>
      <c r="H375" s="41"/>
      <c r="I375" s="41"/>
      <c r="J375" s="50"/>
    </row>
    <row r="376" s="5" customFormat="1">
      <c r="A376" s="29"/>
      <c r="B376" s="3"/>
      <c r="C376" s="45"/>
      <c r="D376" s="27"/>
      <c r="E376" s="45"/>
      <c r="F376" s="29"/>
      <c r="G376" s="29"/>
      <c r="H376" s="41"/>
      <c r="I376" s="41"/>
      <c r="J376" s="50"/>
    </row>
    <row r="377" s="5" customFormat="1">
      <c r="A377" s="29"/>
      <c r="B377" s="3"/>
      <c r="C377" s="45"/>
      <c r="D377" s="27"/>
      <c r="E377" s="45"/>
      <c r="F377" s="29"/>
      <c r="G377" s="29"/>
      <c r="H377" s="41"/>
      <c r="I377" s="41"/>
      <c r="J377" s="50"/>
    </row>
    <row r="378" s="5" customFormat="1">
      <c r="A378" s="29"/>
      <c r="B378" s="3"/>
      <c r="C378" s="45"/>
      <c r="D378" s="27"/>
      <c r="E378" s="45"/>
      <c r="F378" s="29"/>
      <c r="G378" s="29"/>
      <c r="H378" s="41"/>
      <c r="I378" s="41"/>
      <c r="J378" s="50"/>
    </row>
    <row r="379" s="5" customFormat="1">
      <c r="A379" s="29"/>
      <c r="B379" s="3"/>
      <c r="C379" s="45"/>
      <c r="D379" s="27"/>
      <c r="E379" s="45"/>
      <c r="F379" s="29"/>
      <c r="G379" s="29"/>
      <c r="H379" s="41"/>
      <c r="I379" s="41"/>
      <c r="J379" s="50"/>
    </row>
    <row r="380" s="5" customFormat="1">
      <c r="A380" s="29"/>
      <c r="B380" s="3"/>
      <c r="C380" s="45"/>
      <c r="D380" s="27"/>
      <c r="E380" s="45"/>
      <c r="F380" s="29"/>
      <c r="G380" s="29"/>
      <c r="H380" s="41"/>
      <c r="I380" s="41"/>
      <c r="J380" s="50"/>
    </row>
    <row r="381" s="5" customFormat="1">
      <c r="A381" s="29"/>
      <c r="B381" s="3"/>
      <c r="C381" s="45"/>
      <c r="D381" s="27"/>
      <c r="E381" s="45"/>
      <c r="F381" s="29"/>
      <c r="G381" s="29"/>
      <c r="H381" s="41"/>
      <c r="I381" s="41"/>
      <c r="J381" s="50"/>
    </row>
    <row r="382" s="5" customFormat="1">
      <c r="A382" s="29"/>
      <c r="B382" s="3"/>
      <c r="C382" s="45"/>
      <c r="D382" s="27"/>
      <c r="E382" s="45"/>
      <c r="F382" s="29"/>
      <c r="G382" s="29"/>
      <c r="H382" s="41"/>
      <c r="I382" s="41"/>
      <c r="J382" s="50"/>
    </row>
    <row r="383" s="5" customFormat="1">
      <c r="A383" s="29"/>
      <c r="B383" s="3"/>
      <c r="C383" s="45"/>
      <c r="D383" s="27"/>
      <c r="E383" s="45"/>
      <c r="F383" s="29"/>
      <c r="G383" s="29"/>
      <c r="H383" s="41"/>
      <c r="I383" s="41"/>
      <c r="J383" s="50"/>
    </row>
    <row r="384" s="5" customFormat="1">
      <c r="A384" s="29"/>
      <c r="B384" s="3"/>
      <c r="C384" s="45"/>
      <c r="D384" s="27"/>
      <c r="E384" s="45"/>
      <c r="F384" s="29"/>
      <c r="G384" s="29"/>
      <c r="H384" s="41"/>
      <c r="I384" s="41"/>
      <c r="J384" s="50"/>
    </row>
    <row r="385" s="5" customFormat="1">
      <c r="A385" s="29"/>
      <c r="B385" s="3"/>
      <c r="C385" s="45"/>
      <c r="D385" s="27"/>
      <c r="E385" s="45"/>
      <c r="F385" s="29"/>
      <c r="G385" s="29"/>
      <c r="H385" s="41"/>
      <c r="I385" s="41"/>
      <c r="J385" s="50"/>
    </row>
    <row r="386" s="5" customFormat="1">
      <c r="A386" s="29"/>
      <c r="B386" s="3"/>
      <c r="C386" s="45"/>
      <c r="D386" s="27"/>
      <c r="E386" s="45"/>
      <c r="F386" s="29"/>
      <c r="G386" s="29"/>
      <c r="H386" s="41"/>
      <c r="I386" s="41"/>
      <c r="J386" s="50"/>
    </row>
    <row r="387" s="5" customFormat="1">
      <c r="A387" s="29"/>
      <c r="B387" s="3"/>
      <c r="C387" s="45"/>
      <c r="D387" s="27"/>
      <c r="E387" s="45"/>
      <c r="F387" s="29"/>
      <c r="G387" s="29"/>
      <c r="H387" s="41"/>
      <c r="I387" s="41"/>
      <c r="J387" s="50"/>
    </row>
    <row r="388" s="5" customFormat="1">
      <c r="A388" s="29"/>
      <c r="B388" s="3"/>
      <c r="C388" s="45"/>
      <c r="D388" s="27"/>
      <c r="E388" s="45"/>
      <c r="F388" s="29"/>
      <c r="G388" s="29"/>
      <c r="H388" s="41"/>
      <c r="I388" s="41"/>
      <c r="J388" s="50"/>
    </row>
    <row r="389" s="5" customFormat="1">
      <c r="A389" s="29"/>
      <c r="B389" s="3"/>
      <c r="C389" s="27"/>
      <c r="D389" s="27"/>
      <c r="E389" s="45"/>
      <c r="F389" s="29"/>
      <c r="G389" s="29"/>
      <c r="H389" s="41"/>
      <c r="I389" s="41"/>
      <c r="J389" s="64"/>
    </row>
    <row r="393" s="7" customFormat="1">
      <c r="A393" s="45"/>
      <c r="B393" s="51"/>
      <c r="C393" s="109"/>
      <c r="D393" s="52"/>
      <c r="E393" s="53"/>
      <c r="F393" s="92"/>
      <c r="G393" s="92"/>
      <c r="H393" s="92"/>
      <c r="I393" s="52"/>
      <c r="J393" s="134"/>
    </row>
    <row r="394" s="7" customFormat="1">
      <c r="A394" s="45"/>
      <c r="B394" s="51"/>
      <c r="C394" s="52"/>
      <c r="D394" s="52"/>
      <c r="E394" s="53"/>
      <c r="F394" s="27"/>
      <c r="G394" s="92"/>
      <c r="H394" s="92"/>
      <c r="I394" s="52"/>
      <c r="J394" s="54"/>
    </row>
    <row r="395" s="7" customFormat="1">
      <c r="A395" s="45"/>
      <c r="B395" s="51"/>
      <c r="C395" s="52"/>
      <c r="D395" s="52"/>
      <c r="E395" s="53"/>
      <c r="F395" s="27"/>
      <c r="G395" s="92"/>
      <c r="H395" s="92"/>
      <c r="I395" s="52"/>
      <c r="J395" s="54"/>
    </row>
    <row r="396" s="7" customFormat="1">
      <c r="A396" s="45"/>
      <c r="B396" s="51"/>
      <c r="C396" s="52"/>
      <c r="D396" s="52"/>
      <c r="E396" s="53"/>
      <c r="F396" s="27"/>
      <c r="G396" s="92"/>
      <c r="H396" s="92"/>
      <c r="I396" s="52"/>
      <c r="J396" s="54"/>
    </row>
    <row r="397" s="7" customFormat="1">
      <c r="A397" s="109"/>
      <c r="B397" s="51"/>
      <c r="C397" s="109"/>
      <c r="D397" s="52"/>
      <c r="E397" s="53"/>
      <c r="F397" s="27"/>
      <c r="G397" s="92"/>
      <c r="H397" s="92"/>
      <c r="I397" s="52"/>
      <c r="J397" s="134"/>
    </row>
    <row r="398" s="7" customFormat="1">
      <c r="A398" s="109"/>
      <c r="B398" s="51"/>
      <c r="C398" s="109"/>
      <c r="D398" s="52"/>
      <c r="E398" s="53"/>
      <c r="F398" s="27"/>
      <c r="G398" s="92"/>
      <c r="H398" s="92"/>
      <c r="I398" s="52"/>
      <c r="J398" s="134"/>
    </row>
    <row r="399" s="7" customFormat="1">
      <c r="A399" s="109"/>
      <c r="B399" s="51"/>
      <c r="C399" s="109"/>
      <c r="D399" s="52"/>
      <c r="E399" s="53"/>
      <c r="F399" s="27"/>
      <c r="G399" s="92"/>
      <c r="H399" s="92"/>
      <c r="I399" s="52"/>
      <c r="J399" s="134"/>
    </row>
    <row r="400" s="7" customFormat="1">
      <c r="A400" s="109"/>
      <c r="B400" s="51"/>
      <c r="C400" s="109"/>
      <c r="D400" s="52"/>
      <c r="E400" s="53"/>
      <c r="F400" s="27"/>
      <c r="G400" s="92"/>
      <c r="H400" s="92"/>
      <c r="I400" s="52"/>
      <c r="J400" s="134"/>
    </row>
    <row r="401" s="7" customFormat="1">
      <c r="A401" s="109"/>
      <c r="B401" s="51"/>
      <c r="C401" s="109"/>
      <c r="D401" s="52"/>
      <c r="E401" s="53"/>
      <c r="F401" s="27"/>
      <c r="G401" s="92"/>
      <c r="H401" s="92"/>
      <c r="I401" s="52"/>
      <c r="J401" s="134"/>
    </row>
    <row r="402" s="7" customFormat="1">
      <c r="A402" s="109"/>
      <c r="B402" s="51"/>
      <c r="C402" s="109"/>
      <c r="D402" s="52"/>
      <c r="E402" s="53"/>
      <c r="F402" s="27"/>
      <c r="G402" s="92"/>
      <c r="H402" s="92"/>
      <c r="I402" s="52"/>
      <c r="J402" s="134"/>
    </row>
    <row r="403" s="7" customFormat="1">
      <c r="A403" s="109"/>
      <c r="B403" s="51"/>
      <c r="C403" s="109"/>
      <c r="D403" s="52"/>
      <c r="E403" s="53"/>
      <c r="F403" s="27"/>
      <c r="G403" s="92"/>
      <c r="H403" s="92"/>
      <c r="I403" s="52"/>
      <c r="J403" s="134"/>
    </row>
    <row r="404" s="7" customFormat="1">
      <c r="A404" s="109"/>
      <c r="B404" s="51"/>
      <c r="C404" s="109"/>
      <c r="D404" s="52"/>
      <c r="E404" s="53"/>
      <c r="F404" s="27"/>
      <c r="G404" s="92"/>
      <c r="H404" s="92"/>
      <c r="I404" s="52"/>
      <c r="J404" s="134"/>
    </row>
    <row r="405" s="7" customFormat="1">
      <c r="A405" s="109"/>
      <c r="B405" s="135"/>
      <c r="C405" s="109"/>
      <c r="D405" s="52"/>
      <c r="E405" s="53"/>
      <c r="F405" s="27"/>
      <c r="G405" s="92"/>
      <c r="H405" s="92"/>
      <c r="I405" s="52"/>
      <c r="J405" s="134"/>
    </row>
    <row r="406" s="7" customFormat="1">
      <c r="A406" s="109"/>
      <c r="B406" s="51"/>
      <c r="C406" s="109"/>
      <c r="D406" s="52"/>
      <c r="E406" s="53"/>
      <c r="F406" s="27"/>
      <c r="G406" s="92"/>
      <c r="H406" s="92"/>
      <c r="I406" s="52"/>
      <c r="J406" s="134"/>
    </row>
    <row r="407" s="7" customFormat="1">
      <c r="A407" s="109"/>
      <c r="B407" s="51"/>
      <c r="C407" s="109"/>
      <c r="D407" s="52"/>
      <c r="E407" s="53"/>
      <c r="F407" s="27"/>
      <c r="G407" s="92"/>
      <c r="H407" s="92"/>
      <c r="I407" s="52"/>
      <c r="J407" s="134"/>
    </row>
    <row r="408" s="7" customFormat="1">
      <c r="A408" s="109"/>
      <c r="B408" s="51"/>
      <c r="C408" s="109"/>
      <c r="D408" s="52"/>
      <c r="E408" s="53"/>
      <c r="F408" s="27"/>
      <c r="G408" s="92"/>
      <c r="H408" s="92"/>
      <c r="I408" s="52"/>
      <c r="J408" s="134"/>
    </row>
    <row r="409" s="5" customFormat="1">
      <c r="A409" s="45"/>
      <c r="B409" s="97"/>
      <c r="C409" s="110"/>
      <c r="D409" s="136"/>
      <c r="E409" s="99"/>
      <c r="F409" s="92"/>
      <c r="G409" s="92"/>
      <c r="H409" s="92"/>
      <c r="I409" s="84"/>
      <c r="J409" s="111"/>
    </row>
    <row r="410" s="5" customFormat="1">
      <c r="A410" s="45"/>
      <c r="B410" s="97"/>
      <c r="C410" s="110"/>
      <c r="D410" s="45"/>
      <c r="E410" s="99"/>
      <c r="F410" s="92"/>
      <c r="G410" s="92"/>
      <c r="H410" s="92"/>
      <c r="I410" s="84"/>
      <c r="J410" s="111"/>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c r="CA410" s="12"/>
      <c r="CB410" s="12"/>
      <c r="CC410" s="12"/>
      <c r="CD410" s="12"/>
      <c r="CE410" s="12"/>
      <c r="CF410" s="12"/>
      <c r="CG410" s="12"/>
      <c r="CH410" s="12"/>
      <c r="CI410" s="12"/>
      <c r="CJ410" s="12"/>
      <c r="CK410" s="12"/>
      <c r="CL410" s="12"/>
      <c r="CM410" s="12"/>
      <c r="CN410" s="12"/>
      <c r="CO410" s="12"/>
      <c r="CP410" s="12"/>
      <c r="CQ410" s="12"/>
      <c r="CR410" s="12"/>
      <c r="CS410" s="12"/>
      <c r="CT410" s="12"/>
      <c r="CU410" s="12"/>
      <c r="CV410" s="12"/>
      <c r="CW410" s="12"/>
      <c r="CX410" s="12"/>
      <c r="CY410" s="12"/>
      <c r="CZ410" s="12"/>
      <c r="DA410" s="12"/>
      <c r="DB410" s="12"/>
      <c r="DC410" s="12"/>
      <c r="DD410" s="12"/>
      <c r="DE410" s="12"/>
      <c r="DF410" s="12"/>
      <c r="DG410" s="12"/>
      <c r="DH410" s="12"/>
      <c r="DI410" s="12"/>
      <c r="DJ410" s="12"/>
      <c r="DK410" s="12"/>
      <c r="DL410" s="12"/>
      <c r="DM410" s="12"/>
      <c r="DN410" s="12"/>
      <c r="DO410" s="12"/>
      <c r="DP410" s="12"/>
      <c r="DQ410" s="12"/>
      <c r="DR410" s="12"/>
      <c r="DS410" s="12"/>
      <c r="DT410" s="12"/>
      <c r="DU410" s="12"/>
      <c r="DV410" s="12"/>
      <c r="DW410" s="12"/>
      <c r="DX410" s="12"/>
      <c r="DY410" s="12"/>
      <c r="DZ410" s="12"/>
      <c r="EA410" s="12"/>
      <c r="EB410" s="12"/>
      <c r="EC410" s="12"/>
      <c r="ED410" s="12"/>
      <c r="EE410" s="12"/>
      <c r="EF410" s="12"/>
      <c r="EG410" s="12"/>
      <c r="EH410" s="12"/>
      <c r="EI410" s="12"/>
      <c r="EJ410" s="12"/>
      <c r="EK410" s="12"/>
      <c r="EL410" s="12"/>
      <c r="EM410" s="12"/>
      <c r="EN410" s="12"/>
      <c r="EO410" s="12"/>
      <c r="EP410" s="12"/>
      <c r="EQ410" s="12"/>
      <c r="ER410" s="12"/>
      <c r="ES410" s="12"/>
      <c r="ET410" s="12"/>
      <c r="EU410" s="12"/>
      <c r="EV410" s="12"/>
      <c r="EW410" s="12"/>
      <c r="EX410" s="12"/>
      <c r="EY410" s="12"/>
      <c r="EZ410" s="12"/>
      <c r="FA410" s="12"/>
      <c r="FB410" s="12"/>
      <c r="FC410" s="12"/>
      <c r="FD410" s="12"/>
      <c r="FE410" s="12"/>
      <c r="FF410" s="12"/>
      <c r="FG410" s="12"/>
      <c r="FH410" s="12"/>
      <c r="FI410" s="12"/>
      <c r="FJ410" s="12"/>
      <c r="FK410" s="12"/>
      <c r="FL410" s="12"/>
      <c r="FM410" s="12"/>
      <c r="FN410" s="12"/>
      <c r="FO410" s="12"/>
      <c r="FP410" s="12"/>
      <c r="FQ410" s="12"/>
      <c r="FR410" s="12"/>
      <c r="FS410" s="12"/>
      <c r="FT410" s="12"/>
      <c r="FU410" s="12"/>
      <c r="FV410" s="12"/>
      <c r="FW410" s="12"/>
      <c r="FX410" s="12"/>
      <c r="FY410" s="12"/>
      <c r="FZ410" s="12"/>
      <c r="GA410" s="12"/>
      <c r="GB410" s="12"/>
      <c r="GC410" s="12"/>
      <c r="GD410" s="12"/>
      <c r="GE410" s="12"/>
      <c r="GF410" s="12"/>
      <c r="GG410" s="12"/>
      <c r="GH410" s="12"/>
      <c r="GI410" s="12"/>
      <c r="GJ410" s="12"/>
      <c r="GK410" s="12"/>
      <c r="GL410" s="12"/>
      <c r="GM410" s="12"/>
      <c r="GN410" s="12"/>
      <c r="GO410" s="12"/>
      <c r="GP410" s="12"/>
      <c r="GQ410" s="12"/>
      <c r="GR410" s="12"/>
      <c r="GS410" s="12"/>
      <c r="GT410" s="12"/>
      <c r="GU410" s="12"/>
      <c r="GV410" s="12"/>
    </row>
    <row r="411" s="5" customFormat="1">
      <c r="A411" s="45"/>
      <c r="B411" s="97"/>
      <c r="C411" s="110"/>
      <c r="D411" s="45"/>
      <c r="E411" s="92"/>
      <c r="F411" s="92"/>
      <c r="G411" s="92"/>
      <c r="H411" s="92"/>
      <c r="I411" s="84"/>
      <c r="J411" s="111"/>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c r="CA411" s="12"/>
      <c r="CB411" s="12"/>
      <c r="CC411" s="12"/>
      <c r="CD411" s="12"/>
      <c r="CE411" s="12"/>
      <c r="CF411" s="12"/>
      <c r="CG411" s="12"/>
      <c r="CH411" s="12"/>
      <c r="CI411" s="12"/>
      <c r="CJ411" s="12"/>
      <c r="CK411" s="12"/>
      <c r="CL411" s="12"/>
      <c r="CM411" s="12"/>
      <c r="CN411" s="12"/>
      <c r="CO411" s="12"/>
      <c r="CP411" s="12"/>
      <c r="CQ411" s="12"/>
      <c r="CR411" s="12"/>
      <c r="CS411" s="12"/>
      <c r="CT411" s="12"/>
      <c r="CU411" s="12"/>
      <c r="CV411" s="12"/>
      <c r="CW411" s="12"/>
      <c r="CX411" s="12"/>
      <c r="CY411" s="12"/>
      <c r="CZ411" s="12"/>
      <c r="DA411" s="12"/>
      <c r="DB411" s="12"/>
      <c r="DC411" s="12"/>
      <c r="DD411" s="12"/>
      <c r="DE411" s="12"/>
      <c r="DF411" s="12"/>
      <c r="DG411" s="12"/>
      <c r="DH411" s="12"/>
      <c r="DI411" s="12"/>
      <c r="DJ411" s="12"/>
      <c r="DK411" s="12"/>
      <c r="DL411" s="12"/>
      <c r="DM411" s="12"/>
      <c r="DN411" s="12"/>
      <c r="DO411" s="12"/>
      <c r="DP411" s="12"/>
      <c r="DQ411" s="12"/>
      <c r="DR411" s="12"/>
      <c r="DS411" s="12"/>
      <c r="DT411" s="12"/>
      <c r="DU411" s="12"/>
      <c r="DV411" s="12"/>
      <c r="DW411" s="12"/>
      <c r="DX411" s="12"/>
      <c r="DY411" s="12"/>
      <c r="DZ411" s="12"/>
      <c r="EA411" s="12"/>
      <c r="EB411" s="12"/>
      <c r="EC411" s="12"/>
      <c r="ED411" s="12"/>
      <c r="EE411" s="12"/>
      <c r="EF411" s="12"/>
      <c r="EG411" s="12"/>
      <c r="EH411" s="12"/>
      <c r="EI411" s="12"/>
      <c r="EJ411" s="12"/>
      <c r="EK411" s="12"/>
      <c r="EL411" s="12"/>
      <c r="EM411" s="12"/>
      <c r="EN411" s="12"/>
      <c r="EO411" s="12"/>
      <c r="EP411" s="12"/>
      <c r="EQ411" s="12"/>
      <c r="ER411" s="12"/>
      <c r="ES411" s="12"/>
      <c r="ET411" s="12"/>
      <c r="EU411" s="12"/>
      <c r="EV411" s="12"/>
      <c r="EW411" s="12"/>
      <c r="EX411" s="12"/>
      <c r="EY411" s="12"/>
      <c r="EZ411" s="12"/>
      <c r="FA411" s="12"/>
      <c r="FB411" s="12"/>
      <c r="FC411" s="12"/>
      <c r="FD411" s="12"/>
      <c r="FE411" s="12"/>
      <c r="FF411" s="12"/>
      <c r="FG411" s="12"/>
      <c r="FH411" s="12"/>
      <c r="FI411" s="12"/>
      <c r="FJ411" s="12"/>
      <c r="FK411" s="12"/>
      <c r="FL411" s="12"/>
      <c r="FM411" s="12"/>
      <c r="FN411" s="12"/>
      <c r="FO411" s="12"/>
      <c r="FP411" s="12"/>
      <c r="FQ411" s="12"/>
      <c r="FR411" s="12"/>
      <c r="FS411" s="12"/>
      <c r="FT411" s="12"/>
      <c r="FU411" s="12"/>
      <c r="FV411" s="12"/>
      <c r="FW411" s="12"/>
      <c r="FX411" s="12"/>
      <c r="FY411" s="12"/>
      <c r="FZ411" s="12"/>
      <c r="GA411" s="12"/>
      <c r="GB411" s="12"/>
      <c r="GC411" s="12"/>
      <c r="GD411" s="12"/>
      <c r="GE411" s="12"/>
      <c r="GF411" s="12"/>
      <c r="GG411" s="12"/>
      <c r="GH411" s="12"/>
      <c r="GI411" s="12"/>
      <c r="GJ411" s="12"/>
      <c r="GK411" s="12"/>
      <c r="GL411" s="12"/>
      <c r="GM411" s="12"/>
      <c r="GN411" s="12"/>
      <c r="GO411" s="12"/>
      <c r="GP411" s="12"/>
      <c r="GQ411" s="12"/>
      <c r="GR411" s="12"/>
      <c r="GS411" s="12"/>
      <c r="GT411" s="12"/>
      <c r="GU411" s="12"/>
      <c r="GV411" s="12"/>
    </row>
    <row r="412" s="5" customFormat="1">
      <c r="A412" s="45"/>
      <c r="B412" s="97"/>
      <c r="C412" s="110"/>
      <c r="D412" s="45"/>
      <c r="E412" s="92"/>
      <c r="F412" s="92"/>
      <c r="G412" s="92"/>
      <c r="H412" s="92"/>
      <c r="I412" s="84"/>
      <c r="J412" s="111"/>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c r="CA412" s="12"/>
      <c r="CB412" s="12"/>
      <c r="CC412" s="12"/>
      <c r="CD412" s="12"/>
      <c r="CE412" s="12"/>
      <c r="CF412" s="12"/>
      <c r="CG412" s="12"/>
      <c r="CH412" s="12"/>
      <c r="CI412" s="12"/>
      <c r="CJ412" s="12"/>
      <c r="CK412" s="12"/>
      <c r="CL412" s="12"/>
      <c r="CM412" s="12"/>
      <c r="CN412" s="12"/>
      <c r="CO412" s="12"/>
      <c r="CP412" s="12"/>
      <c r="CQ412" s="12"/>
      <c r="CR412" s="12"/>
      <c r="CS412" s="12"/>
      <c r="CT412" s="12"/>
      <c r="CU412" s="12"/>
      <c r="CV412" s="12"/>
      <c r="CW412" s="12"/>
      <c r="CX412" s="12"/>
      <c r="CY412" s="12"/>
      <c r="CZ412" s="12"/>
      <c r="DA412" s="12"/>
      <c r="DB412" s="12"/>
      <c r="DC412" s="12"/>
      <c r="DD412" s="12"/>
      <c r="DE412" s="12"/>
      <c r="DF412" s="12"/>
      <c r="DG412" s="12"/>
      <c r="DH412" s="12"/>
      <c r="DI412" s="12"/>
      <c r="DJ412" s="12"/>
      <c r="DK412" s="12"/>
      <c r="DL412" s="12"/>
      <c r="DM412" s="12"/>
      <c r="DN412" s="12"/>
      <c r="DO412" s="12"/>
      <c r="DP412" s="12"/>
      <c r="DQ412" s="12"/>
      <c r="DR412" s="12"/>
      <c r="DS412" s="12"/>
      <c r="DT412" s="12"/>
      <c r="DU412" s="12"/>
      <c r="DV412" s="12"/>
      <c r="DW412" s="12"/>
      <c r="DX412" s="12"/>
      <c r="DY412" s="12"/>
      <c r="DZ412" s="12"/>
      <c r="EA412" s="12"/>
      <c r="EB412" s="12"/>
      <c r="EC412" s="12"/>
      <c r="ED412" s="12"/>
      <c r="EE412" s="12"/>
      <c r="EF412" s="12"/>
      <c r="EG412" s="12"/>
      <c r="EH412" s="12"/>
      <c r="EI412" s="12"/>
      <c r="EJ412" s="12"/>
      <c r="EK412" s="12"/>
      <c r="EL412" s="12"/>
      <c r="EM412" s="12"/>
      <c r="EN412" s="12"/>
      <c r="EO412" s="12"/>
      <c r="EP412" s="12"/>
      <c r="EQ412" s="12"/>
      <c r="ER412" s="12"/>
      <c r="ES412" s="12"/>
      <c r="ET412" s="12"/>
      <c r="EU412" s="12"/>
      <c r="EV412" s="12"/>
      <c r="EW412" s="12"/>
      <c r="EX412" s="12"/>
      <c r="EY412" s="12"/>
      <c r="EZ412" s="12"/>
      <c r="FA412" s="12"/>
      <c r="FB412" s="12"/>
      <c r="FC412" s="12"/>
      <c r="FD412" s="12"/>
      <c r="FE412" s="12"/>
      <c r="FF412" s="12"/>
      <c r="FG412" s="12"/>
      <c r="FH412" s="12"/>
      <c r="FI412" s="12"/>
      <c r="FJ412" s="12"/>
      <c r="FK412" s="12"/>
      <c r="FL412" s="12"/>
      <c r="FM412" s="12"/>
      <c r="FN412" s="12"/>
      <c r="FO412" s="12"/>
      <c r="FP412" s="12"/>
      <c r="FQ412" s="12"/>
      <c r="FR412" s="12"/>
      <c r="FS412" s="12"/>
      <c r="FT412" s="12"/>
      <c r="FU412" s="12"/>
      <c r="FV412" s="12"/>
      <c r="FW412" s="12"/>
      <c r="FX412" s="12"/>
      <c r="FY412" s="12"/>
      <c r="FZ412" s="12"/>
      <c r="GA412" s="12"/>
      <c r="GB412" s="12"/>
      <c r="GC412" s="12"/>
      <c r="GD412" s="12"/>
      <c r="GE412" s="12"/>
      <c r="GF412" s="12"/>
      <c r="GG412" s="12"/>
      <c r="GH412" s="12"/>
      <c r="GI412" s="12"/>
      <c r="GJ412" s="12"/>
      <c r="GK412" s="12"/>
      <c r="GL412" s="12"/>
      <c r="GM412" s="12"/>
      <c r="GN412" s="12"/>
      <c r="GO412" s="12"/>
      <c r="GP412" s="12"/>
      <c r="GQ412" s="12"/>
      <c r="GR412" s="12"/>
      <c r="GS412" s="12"/>
      <c r="GT412" s="12"/>
      <c r="GU412" s="12"/>
      <c r="GV412" s="12"/>
    </row>
    <row r="413" s="5" customFormat="1">
      <c r="A413" s="45"/>
      <c r="B413" s="97"/>
      <c r="C413" s="110"/>
      <c r="D413" s="45"/>
      <c r="E413" s="92"/>
      <c r="F413" s="92"/>
      <c r="G413" s="92"/>
      <c r="H413" s="92"/>
      <c r="I413" s="84"/>
      <c r="J413" s="111"/>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c r="CA413" s="12"/>
      <c r="CB413" s="12"/>
      <c r="CC413" s="12"/>
      <c r="CD413" s="12"/>
      <c r="CE413" s="12"/>
      <c r="CF413" s="12"/>
      <c r="CG413" s="12"/>
      <c r="CH413" s="12"/>
      <c r="CI413" s="12"/>
      <c r="CJ413" s="12"/>
      <c r="CK413" s="12"/>
      <c r="CL413" s="12"/>
      <c r="CM413" s="12"/>
      <c r="CN413" s="12"/>
      <c r="CO413" s="12"/>
      <c r="CP413" s="12"/>
      <c r="CQ413" s="12"/>
      <c r="CR413" s="12"/>
      <c r="CS413" s="12"/>
      <c r="CT413" s="12"/>
      <c r="CU413" s="12"/>
      <c r="CV413" s="12"/>
      <c r="CW413" s="12"/>
      <c r="CX413" s="12"/>
      <c r="CY413" s="12"/>
      <c r="CZ413" s="12"/>
      <c r="DA413" s="12"/>
      <c r="DB413" s="12"/>
      <c r="DC413" s="12"/>
      <c r="DD413" s="12"/>
      <c r="DE413" s="12"/>
      <c r="DF413" s="12"/>
      <c r="DG413" s="12"/>
      <c r="DH413" s="12"/>
      <c r="DI413" s="12"/>
      <c r="DJ413" s="12"/>
      <c r="DK413" s="12"/>
      <c r="DL413" s="12"/>
      <c r="DM413" s="12"/>
      <c r="DN413" s="12"/>
      <c r="DO413" s="12"/>
      <c r="DP413" s="12"/>
      <c r="DQ413" s="12"/>
      <c r="DR413" s="12"/>
      <c r="DS413" s="12"/>
      <c r="DT413" s="12"/>
      <c r="DU413" s="12"/>
      <c r="DV413" s="12"/>
      <c r="DW413" s="12"/>
      <c r="DX413" s="12"/>
      <c r="DY413" s="12"/>
      <c r="DZ413" s="12"/>
      <c r="EA413" s="12"/>
      <c r="EB413" s="12"/>
      <c r="EC413" s="12"/>
      <c r="ED413" s="12"/>
      <c r="EE413" s="12"/>
      <c r="EF413" s="12"/>
      <c r="EG413" s="12"/>
      <c r="EH413" s="12"/>
      <c r="EI413" s="12"/>
      <c r="EJ413" s="12"/>
      <c r="EK413" s="12"/>
      <c r="EL413" s="12"/>
      <c r="EM413" s="12"/>
      <c r="EN413" s="12"/>
      <c r="EO413" s="12"/>
      <c r="EP413" s="12"/>
      <c r="EQ413" s="12"/>
      <c r="ER413" s="12"/>
      <c r="ES413" s="12"/>
      <c r="ET413" s="12"/>
      <c r="EU413" s="12"/>
      <c r="EV413" s="12"/>
      <c r="EW413" s="12"/>
      <c r="EX413" s="12"/>
      <c r="EY413" s="12"/>
      <c r="EZ413" s="12"/>
      <c r="FA413" s="12"/>
      <c r="FB413" s="12"/>
      <c r="FC413" s="12"/>
      <c r="FD413" s="12"/>
      <c r="FE413" s="12"/>
      <c r="FF413" s="12"/>
      <c r="FG413" s="12"/>
      <c r="FH413" s="12"/>
      <c r="FI413" s="12"/>
      <c r="FJ413" s="12"/>
      <c r="FK413" s="12"/>
      <c r="FL413" s="12"/>
      <c r="FM413" s="12"/>
      <c r="FN413" s="12"/>
      <c r="FO413" s="12"/>
      <c r="FP413" s="12"/>
      <c r="FQ413" s="12"/>
      <c r="FR413" s="12"/>
      <c r="FS413" s="12"/>
      <c r="FT413" s="12"/>
      <c r="FU413" s="12"/>
      <c r="FV413" s="12"/>
      <c r="FW413" s="12"/>
      <c r="FX413" s="12"/>
      <c r="FY413" s="12"/>
      <c r="FZ413" s="12"/>
      <c r="GA413" s="12"/>
      <c r="GB413" s="12"/>
      <c r="GC413" s="12"/>
      <c r="GD413" s="12"/>
      <c r="GE413" s="12"/>
      <c r="GF413" s="12"/>
      <c r="GG413" s="12"/>
      <c r="GH413" s="12"/>
      <c r="GI413" s="12"/>
      <c r="GJ413" s="12"/>
      <c r="GK413" s="12"/>
      <c r="GL413" s="12"/>
      <c r="GM413" s="12"/>
      <c r="GN413" s="12"/>
      <c r="GO413" s="12"/>
      <c r="GP413" s="12"/>
      <c r="GQ413" s="12"/>
      <c r="GR413" s="12"/>
      <c r="GS413" s="12"/>
      <c r="GT413" s="12"/>
      <c r="GU413" s="12"/>
      <c r="GV413" s="12"/>
    </row>
    <row r="414" s="12" customFormat="1">
      <c r="A414" s="45"/>
      <c r="B414" s="137"/>
      <c r="C414" s="110"/>
      <c r="D414" s="110"/>
      <c r="E414" s="138"/>
      <c r="F414" s="92"/>
      <c r="G414" s="92"/>
      <c r="H414" s="92"/>
      <c r="I414" s="84"/>
      <c r="J414" s="111"/>
      <c r="K414" s="139"/>
      <c r="L414" s="139"/>
      <c r="M414" s="139"/>
      <c r="N414" s="139"/>
      <c r="O414" s="139"/>
      <c r="P414" s="139"/>
      <c r="Q414" s="139"/>
      <c r="R414" s="139"/>
      <c r="S414" s="139"/>
      <c r="T414" s="139"/>
      <c r="U414" s="139"/>
      <c r="V414" s="139"/>
      <c r="W414" s="139"/>
      <c r="X414" s="139"/>
      <c r="Y414" s="139"/>
      <c r="Z414" s="139"/>
      <c r="AA414" s="139"/>
      <c r="AB414" s="139"/>
      <c r="AC414" s="139"/>
      <c r="AD414" s="139"/>
      <c r="AE414" s="139"/>
      <c r="AF414" s="139"/>
      <c r="AG414" s="139"/>
      <c r="AH414" s="139"/>
      <c r="AI414" s="139"/>
      <c r="AJ414" s="139"/>
      <c r="AK414" s="139"/>
      <c r="AL414" s="139"/>
      <c r="AM414" s="139"/>
      <c r="AN414" s="139"/>
      <c r="AO414" s="139"/>
      <c r="AP414" s="139"/>
      <c r="AQ414" s="139"/>
      <c r="AR414" s="139"/>
      <c r="AS414" s="139"/>
      <c r="AT414" s="139"/>
      <c r="AU414" s="139"/>
      <c r="AV414" s="139"/>
      <c r="AW414" s="139"/>
      <c r="AX414" s="139"/>
      <c r="AY414" s="139"/>
      <c r="AZ414" s="139"/>
      <c r="BA414" s="139"/>
      <c r="BB414" s="139"/>
      <c r="BC414" s="139"/>
      <c r="BD414" s="139"/>
      <c r="BE414" s="139"/>
      <c r="BF414" s="139"/>
      <c r="BG414" s="139"/>
      <c r="BH414" s="139"/>
      <c r="BI414" s="139"/>
      <c r="BJ414" s="139"/>
      <c r="BK414" s="139"/>
      <c r="BL414" s="139"/>
      <c r="BM414" s="139"/>
      <c r="BN414" s="139"/>
      <c r="BO414" s="139"/>
      <c r="BP414" s="139"/>
      <c r="BQ414" s="139"/>
      <c r="BR414" s="139"/>
      <c r="BS414" s="139"/>
      <c r="BT414" s="139"/>
      <c r="BU414" s="139"/>
      <c r="BV414" s="139"/>
      <c r="BW414" s="139"/>
      <c r="BX414" s="139"/>
      <c r="BY414" s="139"/>
      <c r="BZ414" s="139"/>
      <c r="CA414" s="139"/>
      <c r="CB414" s="139"/>
      <c r="CC414" s="139"/>
      <c r="CD414" s="139"/>
      <c r="CE414" s="139"/>
      <c r="CF414" s="139"/>
      <c r="CG414" s="139"/>
      <c r="CH414" s="139"/>
      <c r="CI414" s="139"/>
      <c r="CJ414" s="139"/>
      <c r="CK414" s="139"/>
      <c r="CL414" s="139"/>
      <c r="CM414" s="139"/>
      <c r="CN414" s="139"/>
      <c r="CO414" s="139"/>
      <c r="CP414" s="139"/>
      <c r="CQ414" s="139"/>
      <c r="CR414" s="139"/>
      <c r="CS414" s="139"/>
      <c r="CT414" s="139"/>
      <c r="CU414" s="139"/>
      <c r="CV414" s="139"/>
      <c r="CW414" s="139"/>
      <c r="CX414" s="139"/>
      <c r="CY414" s="139"/>
      <c r="CZ414" s="139"/>
      <c r="DA414" s="139"/>
      <c r="DB414" s="139"/>
      <c r="DC414" s="139"/>
      <c r="DD414" s="139"/>
      <c r="DE414" s="139"/>
      <c r="DF414" s="139"/>
      <c r="DG414" s="139"/>
      <c r="DH414" s="139"/>
      <c r="DI414" s="139"/>
      <c r="DJ414" s="139"/>
      <c r="DK414" s="139"/>
      <c r="DL414" s="139"/>
      <c r="DM414" s="139"/>
      <c r="DN414" s="139"/>
      <c r="DO414" s="139"/>
      <c r="DP414" s="139"/>
      <c r="DQ414" s="139"/>
      <c r="DR414" s="139"/>
      <c r="DS414" s="139"/>
      <c r="DT414" s="139"/>
      <c r="DU414" s="139"/>
      <c r="DV414" s="139"/>
      <c r="DW414" s="139"/>
      <c r="DX414" s="139"/>
      <c r="DY414" s="139"/>
      <c r="DZ414" s="139"/>
      <c r="EA414" s="139"/>
      <c r="EB414" s="139"/>
      <c r="EC414" s="139"/>
      <c r="ED414" s="139"/>
      <c r="EE414" s="139"/>
      <c r="EF414" s="139"/>
      <c r="EG414" s="139"/>
      <c r="EH414" s="139"/>
      <c r="EI414" s="139"/>
      <c r="EJ414" s="139"/>
      <c r="EK414" s="139"/>
      <c r="EL414" s="139"/>
      <c r="EM414" s="139"/>
      <c r="EN414" s="139"/>
      <c r="EO414" s="139"/>
      <c r="EP414" s="139"/>
      <c r="EQ414" s="139"/>
      <c r="ER414" s="139"/>
      <c r="ES414" s="139"/>
      <c r="ET414" s="139"/>
      <c r="EU414" s="139"/>
      <c r="EV414" s="139"/>
      <c r="EW414" s="139"/>
      <c r="EX414" s="139"/>
      <c r="EY414" s="139"/>
      <c r="EZ414" s="139"/>
      <c r="FA414" s="139"/>
      <c r="FB414" s="139"/>
      <c r="FC414" s="139"/>
      <c r="FD414" s="139"/>
      <c r="FE414" s="139"/>
      <c r="FF414" s="139"/>
      <c r="FG414" s="139"/>
      <c r="FH414" s="139"/>
      <c r="FI414" s="139"/>
      <c r="FJ414" s="139"/>
      <c r="FK414" s="139"/>
      <c r="FL414" s="139"/>
      <c r="FM414" s="139"/>
      <c r="FN414" s="139"/>
      <c r="FO414" s="139"/>
      <c r="FP414" s="139"/>
      <c r="FQ414" s="139"/>
      <c r="FR414" s="139"/>
      <c r="FS414" s="139"/>
      <c r="FT414" s="139"/>
      <c r="FU414" s="139"/>
      <c r="FV414" s="139"/>
      <c r="FW414" s="139"/>
      <c r="FX414" s="139"/>
      <c r="FY414" s="139"/>
      <c r="FZ414" s="139"/>
      <c r="GA414" s="139"/>
      <c r="GB414" s="139"/>
      <c r="GC414" s="139"/>
      <c r="GD414" s="139"/>
      <c r="GE414" s="139"/>
      <c r="GF414" s="139"/>
      <c r="GG414" s="139"/>
      <c r="GH414" s="139"/>
      <c r="GI414" s="139"/>
      <c r="GJ414" s="139"/>
      <c r="GK414" s="139"/>
      <c r="GL414" s="139"/>
      <c r="GM414" s="139"/>
      <c r="GN414" s="139"/>
      <c r="GO414" s="139"/>
      <c r="GP414" s="139"/>
      <c r="GQ414" s="139"/>
      <c r="GR414" s="139"/>
      <c r="GS414" s="139"/>
      <c r="GT414" s="139"/>
      <c r="GU414" s="139"/>
      <c r="GV414" s="139"/>
      <c r="GW414" s="139"/>
      <c r="GX414" s="139"/>
      <c r="GY414" s="139"/>
      <c r="GZ414" s="139"/>
      <c r="HA414" s="139"/>
      <c r="HB414" s="139"/>
      <c r="HC414" s="139"/>
      <c r="HD414" s="139"/>
      <c r="HE414" s="139"/>
      <c r="HF414" s="139"/>
      <c r="HG414" s="139"/>
      <c r="HH414" s="139"/>
      <c r="HI414" s="139"/>
      <c r="HJ414" s="139"/>
      <c r="HK414" s="139"/>
      <c r="HL414" s="139"/>
      <c r="HM414" s="139"/>
    </row>
    <row r="415" s="3" customFormat="1">
      <c r="A415" s="45"/>
      <c r="C415" s="110"/>
      <c r="D415" s="27"/>
      <c r="E415" s="84"/>
      <c r="F415" s="92"/>
      <c r="G415" s="92"/>
      <c r="H415" s="92"/>
      <c r="I415" s="84"/>
      <c r="J415" s="111"/>
    </row>
    <row r="416" s="3" customFormat="1" ht="51" customHeight="1">
      <c r="A416" s="45"/>
      <c r="B416" s="63"/>
      <c r="C416" s="110"/>
      <c r="D416" s="27"/>
      <c r="E416" s="140"/>
      <c r="F416" s="92"/>
      <c r="G416" s="92"/>
      <c r="H416" s="92"/>
      <c r="I416" s="84"/>
      <c r="J416" s="111"/>
    </row>
    <row r="417" s="5" customFormat="1">
      <c r="A417" s="45"/>
      <c r="B417" s="63"/>
      <c r="C417" s="110"/>
      <c r="D417" s="27"/>
      <c r="E417" s="140"/>
      <c r="F417" s="92"/>
      <c r="G417" s="92"/>
      <c r="H417" s="92"/>
      <c r="I417" s="84"/>
      <c r="J417" s="111"/>
    </row>
    <row r="418" s="12" customFormat="1">
      <c r="A418" s="45"/>
      <c r="B418" s="137"/>
      <c r="C418" s="110"/>
      <c r="D418" s="110"/>
      <c r="E418" s="141"/>
      <c r="F418" s="92"/>
      <c r="G418" s="92"/>
      <c r="H418" s="92"/>
      <c r="I418" s="84"/>
      <c r="J418" s="111"/>
      <c r="K418" s="139"/>
      <c r="L418" s="139"/>
      <c r="M418" s="139"/>
      <c r="N418" s="139"/>
      <c r="O418" s="139"/>
      <c r="P418" s="139"/>
      <c r="Q418" s="139"/>
      <c r="R418" s="139"/>
      <c r="S418" s="139"/>
      <c r="T418" s="139"/>
      <c r="U418" s="139"/>
      <c r="V418" s="139"/>
      <c r="W418" s="139"/>
      <c r="X418" s="139"/>
      <c r="Y418" s="139"/>
      <c r="Z418" s="139"/>
      <c r="AA418" s="139"/>
      <c r="AB418" s="139"/>
      <c r="AC418" s="139"/>
      <c r="AD418" s="139"/>
      <c r="AE418" s="139"/>
      <c r="AF418" s="139"/>
      <c r="AG418" s="139"/>
      <c r="AH418" s="139"/>
      <c r="AI418" s="139"/>
      <c r="AJ418" s="139"/>
      <c r="AK418" s="139"/>
      <c r="AL418" s="139"/>
      <c r="AM418" s="139"/>
      <c r="AN418" s="139"/>
      <c r="AO418" s="139"/>
      <c r="AP418" s="139"/>
      <c r="AQ418" s="139"/>
      <c r="AR418" s="139"/>
      <c r="AS418" s="139"/>
      <c r="AT418" s="139"/>
      <c r="AU418" s="139"/>
      <c r="AV418" s="139"/>
      <c r="AW418" s="139"/>
      <c r="AX418" s="139"/>
      <c r="AY418" s="139"/>
      <c r="AZ418" s="139"/>
      <c r="BA418" s="139"/>
      <c r="BB418" s="139"/>
      <c r="BC418" s="139"/>
      <c r="BD418" s="139"/>
      <c r="BE418" s="139"/>
      <c r="BF418" s="139"/>
      <c r="BG418" s="139"/>
      <c r="BH418" s="139"/>
      <c r="BI418" s="139"/>
      <c r="BJ418" s="139"/>
      <c r="BK418" s="139"/>
      <c r="BL418" s="139"/>
      <c r="BM418" s="139"/>
      <c r="BN418" s="139"/>
      <c r="BO418" s="139"/>
      <c r="BP418" s="139"/>
      <c r="BQ418" s="139"/>
      <c r="BR418" s="139"/>
      <c r="BS418" s="139"/>
      <c r="BT418" s="139"/>
      <c r="BU418" s="139"/>
      <c r="BV418" s="139"/>
      <c r="BW418" s="139"/>
      <c r="BX418" s="139"/>
      <c r="BY418" s="139"/>
      <c r="BZ418" s="139"/>
      <c r="CA418" s="139"/>
      <c r="CB418" s="139"/>
      <c r="CC418" s="139"/>
      <c r="CD418" s="139"/>
      <c r="CE418" s="139"/>
      <c r="CF418" s="139"/>
      <c r="CG418" s="139"/>
      <c r="CH418" s="139"/>
      <c r="CI418" s="139"/>
      <c r="CJ418" s="139"/>
      <c r="CK418" s="139"/>
      <c r="CL418" s="139"/>
      <c r="CM418" s="139"/>
      <c r="CN418" s="139"/>
      <c r="CO418" s="139"/>
      <c r="CP418" s="139"/>
      <c r="CQ418" s="139"/>
      <c r="CR418" s="139"/>
      <c r="CS418" s="139"/>
      <c r="CT418" s="139"/>
      <c r="CU418" s="139"/>
      <c r="CV418" s="139"/>
      <c r="CW418" s="139"/>
      <c r="CX418" s="139"/>
      <c r="CY418" s="139"/>
      <c r="CZ418" s="139"/>
      <c r="DA418" s="139"/>
      <c r="DB418" s="139"/>
      <c r="DC418" s="139"/>
      <c r="DD418" s="139"/>
      <c r="DE418" s="139"/>
      <c r="DF418" s="139"/>
      <c r="DG418" s="139"/>
      <c r="DH418" s="139"/>
      <c r="DI418" s="139"/>
      <c r="DJ418" s="139"/>
      <c r="DK418" s="139"/>
      <c r="DL418" s="139"/>
      <c r="DM418" s="139"/>
      <c r="DN418" s="139"/>
      <c r="DO418" s="139"/>
      <c r="DP418" s="139"/>
      <c r="DQ418" s="139"/>
      <c r="DR418" s="139"/>
      <c r="DS418" s="139"/>
      <c r="DT418" s="139"/>
      <c r="DU418" s="139"/>
      <c r="DV418" s="139"/>
      <c r="DW418" s="139"/>
      <c r="DX418" s="139"/>
      <c r="DY418" s="139"/>
      <c r="DZ418" s="139"/>
      <c r="EA418" s="139"/>
      <c r="EB418" s="139"/>
      <c r="EC418" s="139"/>
      <c r="ED418" s="139"/>
      <c r="EE418" s="139"/>
      <c r="EF418" s="139"/>
      <c r="EG418" s="139"/>
      <c r="EH418" s="139"/>
      <c r="EI418" s="139"/>
      <c r="EJ418" s="139"/>
      <c r="EK418" s="139"/>
      <c r="EL418" s="139"/>
      <c r="EM418" s="139"/>
      <c r="EN418" s="139"/>
      <c r="EO418" s="139"/>
      <c r="EP418" s="139"/>
      <c r="EQ418" s="139"/>
      <c r="ER418" s="139"/>
      <c r="ES418" s="139"/>
      <c r="ET418" s="139"/>
      <c r="EU418" s="139"/>
      <c r="EV418" s="139"/>
      <c r="EW418" s="139"/>
      <c r="EX418" s="139"/>
      <c r="EY418" s="139"/>
      <c r="EZ418" s="139"/>
      <c r="FA418" s="139"/>
      <c r="FB418" s="139"/>
      <c r="FC418" s="139"/>
      <c r="FD418" s="139"/>
      <c r="FE418" s="139"/>
      <c r="FF418" s="139"/>
      <c r="FG418" s="139"/>
      <c r="FH418" s="139"/>
      <c r="FI418" s="139"/>
      <c r="FJ418" s="139"/>
      <c r="FK418" s="139"/>
      <c r="FL418" s="139"/>
      <c r="FM418" s="139"/>
      <c r="FN418" s="139"/>
      <c r="FO418" s="139"/>
      <c r="FP418" s="139"/>
      <c r="FQ418" s="139"/>
      <c r="FR418" s="139"/>
      <c r="FS418" s="139"/>
      <c r="FT418" s="139"/>
      <c r="FU418" s="139"/>
      <c r="FV418" s="139"/>
      <c r="FW418" s="139"/>
      <c r="FX418" s="139"/>
      <c r="FY418" s="139"/>
      <c r="FZ418" s="139"/>
      <c r="GA418" s="139"/>
      <c r="GB418" s="139"/>
      <c r="GC418" s="139"/>
      <c r="GD418" s="139"/>
      <c r="GE418" s="139"/>
      <c r="GF418" s="139"/>
      <c r="GG418" s="139"/>
      <c r="GH418" s="139"/>
      <c r="GI418" s="139"/>
      <c r="GJ418" s="139"/>
      <c r="GK418" s="139"/>
      <c r="GL418" s="139"/>
      <c r="GM418" s="139"/>
      <c r="GN418" s="139"/>
      <c r="GO418" s="139"/>
      <c r="GP418" s="139"/>
      <c r="GQ418" s="139"/>
      <c r="GR418" s="139"/>
      <c r="GS418" s="139"/>
      <c r="GT418" s="139"/>
      <c r="GU418" s="139"/>
      <c r="GV418" s="139"/>
      <c r="GW418" s="139"/>
      <c r="GX418" s="139"/>
      <c r="GY418" s="139"/>
      <c r="GZ418" s="139"/>
      <c r="HA418" s="139"/>
      <c r="HB418" s="139"/>
      <c r="HC418" s="139"/>
      <c r="HD418" s="139"/>
      <c r="HE418" s="139"/>
      <c r="HF418" s="139"/>
      <c r="HG418" s="139"/>
      <c r="HH418" s="139"/>
      <c r="HI418" s="139"/>
      <c r="HJ418" s="139"/>
      <c r="HK418" s="139"/>
      <c r="HL418" s="139"/>
      <c r="HM418" s="139"/>
    </row>
    <row r="419" s="12" customFormat="1">
      <c r="A419" s="45"/>
      <c r="B419" s="137"/>
      <c r="C419" s="110"/>
      <c r="D419" s="110"/>
      <c r="E419" s="141"/>
      <c r="F419" s="92"/>
      <c r="G419" s="92"/>
      <c r="H419" s="92"/>
      <c r="I419" s="84"/>
      <c r="J419" s="111"/>
      <c r="K419" s="139"/>
      <c r="L419" s="139"/>
      <c r="M419" s="139"/>
      <c r="N419" s="139"/>
      <c r="O419" s="139"/>
      <c r="P419" s="139"/>
      <c r="Q419" s="139"/>
      <c r="R419" s="139"/>
      <c r="S419" s="139"/>
      <c r="T419" s="139"/>
      <c r="U419" s="139"/>
      <c r="V419" s="139"/>
      <c r="W419" s="139"/>
      <c r="X419" s="139"/>
      <c r="Y419" s="139"/>
      <c r="Z419" s="139"/>
      <c r="AA419" s="139"/>
      <c r="AB419" s="139"/>
      <c r="AC419" s="139"/>
      <c r="AD419" s="139"/>
      <c r="AE419" s="139"/>
      <c r="AF419" s="139"/>
      <c r="AG419" s="139"/>
      <c r="AH419" s="139"/>
      <c r="AI419" s="139"/>
      <c r="AJ419" s="139"/>
      <c r="AK419" s="139"/>
      <c r="AL419" s="139"/>
      <c r="AM419" s="139"/>
      <c r="AN419" s="139"/>
      <c r="AO419" s="139"/>
      <c r="AP419" s="139"/>
      <c r="AQ419" s="139"/>
      <c r="AR419" s="139"/>
      <c r="AS419" s="139"/>
      <c r="AT419" s="139"/>
      <c r="AU419" s="139"/>
      <c r="AV419" s="139"/>
      <c r="AW419" s="139"/>
      <c r="AX419" s="139"/>
      <c r="AY419" s="139"/>
      <c r="AZ419" s="139"/>
      <c r="BA419" s="139"/>
      <c r="BB419" s="139"/>
      <c r="BC419" s="139"/>
      <c r="BD419" s="139"/>
      <c r="BE419" s="139"/>
      <c r="BF419" s="139"/>
      <c r="BG419" s="139"/>
      <c r="BH419" s="139"/>
      <c r="BI419" s="139"/>
      <c r="BJ419" s="139"/>
      <c r="BK419" s="139"/>
      <c r="BL419" s="139"/>
      <c r="BM419" s="139"/>
      <c r="BN419" s="139"/>
      <c r="BO419" s="139"/>
      <c r="BP419" s="139"/>
      <c r="BQ419" s="139"/>
      <c r="BR419" s="139"/>
      <c r="BS419" s="139"/>
      <c r="BT419" s="139"/>
      <c r="BU419" s="139"/>
      <c r="BV419" s="139"/>
      <c r="BW419" s="139"/>
      <c r="BX419" s="139"/>
      <c r="BY419" s="139"/>
      <c r="BZ419" s="139"/>
      <c r="CA419" s="139"/>
      <c r="CB419" s="139"/>
      <c r="CC419" s="139"/>
      <c r="CD419" s="139"/>
      <c r="CE419" s="139"/>
      <c r="CF419" s="139"/>
      <c r="CG419" s="139"/>
      <c r="CH419" s="139"/>
      <c r="CI419" s="139"/>
      <c r="CJ419" s="139"/>
      <c r="CK419" s="139"/>
      <c r="CL419" s="139"/>
      <c r="CM419" s="139"/>
      <c r="CN419" s="139"/>
      <c r="CO419" s="139"/>
      <c r="CP419" s="139"/>
      <c r="CQ419" s="139"/>
      <c r="CR419" s="139"/>
      <c r="CS419" s="139"/>
      <c r="CT419" s="139"/>
      <c r="CU419" s="139"/>
      <c r="CV419" s="139"/>
      <c r="CW419" s="139"/>
      <c r="CX419" s="139"/>
      <c r="CY419" s="139"/>
      <c r="CZ419" s="139"/>
      <c r="DA419" s="139"/>
      <c r="DB419" s="139"/>
      <c r="DC419" s="139"/>
      <c r="DD419" s="139"/>
      <c r="DE419" s="139"/>
      <c r="DF419" s="139"/>
      <c r="DG419" s="139"/>
      <c r="DH419" s="139"/>
      <c r="DI419" s="139"/>
      <c r="DJ419" s="139"/>
      <c r="DK419" s="139"/>
      <c r="DL419" s="139"/>
      <c r="DM419" s="139"/>
      <c r="DN419" s="139"/>
      <c r="DO419" s="139"/>
      <c r="DP419" s="139"/>
      <c r="DQ419" s="139"/>
      <c r="DR419" s="139"/>
      <c r="DS419" s="139"/>
      <c r="DT419" s="139"/>
      <c r="DU419" s="139"/>
      <c r="DV419" s="139"/>
      <c r="DW419" s="139"/>
      <c r="DX419" s="139"/>
      <c r="DY419" s="139"/>
      <c r="DZ419" s="139"/>
      <c r="EA419" s="139"/>
      <c r="EB419" s="139"/>
      <c r="EC419" s="139"/>
      <c r="ED419" s="139"/>
      <c r="EE419" s="139"/>
      <c r="EF419" s="139"/>
      <c r="EG419" s="139"/>
      <c r="EH419" s="139"/>
      <c r="EI419" s="139"/>
      <c r="EJ419" s="139"/>
      <c r="EK419" s="139"/>
      <c r="EL419" s="139"/>
      <c r="EM419" s="139"/>
      <c r="EN419" s="139"/>
      <c r="EO419" s="139"/>
      <c r="EP419" s="139"/>
      <c r="EQ419" s="139"/>
      <c r="ER419" s="139"/>
      <c r="ES419" s="139"/>
      <c r="ET419" s="139"/>
      <c r="EU419" s="139"/>
      <c r="EV419" s="139"/>
      <c r="EW419" s="139"/>
      <c r="EX419" s="139"/>
      <c r="EY419" s="139"/>
      <c r="EZ419" s="139"/>
      <c r="FA419" s="139"/>
      <c r="FB419" s="139"/>
      <c r="FC419" s="139"/>
      <c r="FD419" s="139"/>
      <c r="FE419" s="139"/>
      <c r="FF419" s="139"/>
      <c r="FG419" s="139"/>
      <c r="FH419" s="139"/>
      <c r="FI419" s="139"/>
      <c r="FJ419" s="139"/>
      <c r="FK419" s="139"/>
      <c r="FL419" s="139"/>
      <c r="FM419" s="139"/>
      <c r="FN419" s="139"/>
      <c r="FO419" s="139"/>
      <c r="FP419" s="139"/>
      <c r="FQ419" s="139"/>
      <c r="FR419" s="139"/>
      <c r="FS419" s="139"/>
      <c r="FT419" s="139"/>
      <c r="FU419" s="139"/>
      <c r="FV419" s="139"/>
      <c r="FW419" s="139"/>
      <c r="FX419" s="139"/>
      <c r="FY419" s="139"/>
      <c r="FZ419" s="139"/>
      <c r="GA419" s="139"/>
      <c r="GB419" s="139"/>
      <c r="GC419" s="139"/>
      <c r="GD419" s="139"/>
      <c r="GE419" s="139"/>
      <c r="GF419" s="139"/>
      <c r="GG419" s="139"/>
      <c r="GH419" s="139"/>
      <c r="GI419" s="139"/>
      <c r="GJ419" s="139"/>
      <c r="GK419" s="139"/>
      <c r="GL419" s="139"/>
      <c r="GM419" s="139"/>
      <c r="GN419" s="139"/>
      <c r="GO419" s="139"/>
      <c r="GP419" s="139"/>
      <c r="GQ419" s="139"/>
      <c r="GR419" s="139"/>
      <c r="GS419" s="139"/>
      <c r="GT419" s="139"/>
      <c r="GU419" s="139"/>
      <c r="GV419" s="139"/>
      <c r="GW419" s="139"/>
      <c r="GX419" s="139"/>
      <c r="GY419" s="139"/>
      <c r="GZ419" s="139"/>
      <c r="HA419" s="139"/>
      <c r="HB419" s="139"/>
      <c r="HC419" s="139"/>
      <c r="HD419" s="139"/>
      <c r="HE419" s="139"/>
      <c r="HF419" s="139"/>
      <c r="HG419" s="139"/>
      <c r="HH419" s="139"/>
      <c r="HI419" s="139"/>
      <c r="HJ419" s="139"/>
      <c r="HK419" s="139"/>
      <c r="HL419" s="139"/>
      <c r="HM419" s="139"/>
    </row>
    <row r="420" s="12" customFormat="1">
      <c r="A420" s="45"/>
      <c r="B420" s="137"/>
      <c r="C420" s="110"/>
      <c r="D420" s="110"/>
      <c r="E420" s="141"/>
      <c r="F420" s="92"/>
      <c r="G420" s="92"/>
      <c r="H420" s="92"/>
      <c r="I420" s="84"/>
      <c r="J420" s="111"/>
      <c r="K420" s="139"/>
      <c r="L420" s="139"/>
      <c r="M420" s="139"/>
      <c r="N420" s="139"/>
      <c r="O420" s="139"/>
      <c r="P420" s="139"/>
      <c r="Q420" s="139"/>
      <c r="R420" s="139"/>
      <c r="S420" s="139"/>
      <c r="T420" s="139"/>
      <c r="U420" s="139"/>
      <c r="V420" s="139"/>
      <c r="W420" s="139"/>
      <c r="X420" s="139"/>
      <c r="Y420" s="139"/>
      <c r="Z420" s="139"/>
      <c r="AA420" s="139"/>
      <c r="AB420" s="139"/>
      <c r="AC420" s="139"/>
      <c r="AD420" s="139"/>
      <c r="AE420" s="139"/>
      <c r="AF420" s="139"/>
      <c r="AG420" s="139"/>
      <c r="AH420" s="139"/>
      <c r="AI420" s="139"/>
      <c r="AJ420" s="139"/>
      <c r="AK420" s="139"/>
      <c r="AL420" s="139"/>
      <c r="AM420" s="139"/>
      <c r="AN420" s="139"/>
      <c r="AO420" s="139"/>
      <c r="AP420" s="139"/>
      <c r="AQ420" s="139"/>
      <c r="AR420" s="139"/>
      <c r="AS420" s="139"/>
      <c r="AT420" s="139"/>
      <c r="AU420" s="139"/>
      <c r="AV420" s="139"/>
      <c r="AW420" s="139"/>
      <c r="AX420" s="139"/>
      <c r="AY420" s="139"/>
      <c r="AZ420" s="139"/>
      <c r="BA420" s="139"/>
      <c r="BB420" s="139"/>
      <c r="BC420" s="139"/>
      <c r="BD420" s="139"/>
      <c r="BE420" s="139"/>
      <c r="BF420" s="139"/>
      <c r="BG420" s="139"/>
      <c r="BH420" s="139"/>
      <c r="BI420" s="139"/>
      <c r="BJ420" s="139"/>
      <c r="BK420" s="139"/>
      <c r="BL420" s="139"/>
      <c r="BM420" s="139"/>
      <c r="BN420" s="139"/>
      <c r="BO420" s="139"/>
      <c r="BP420" s="139"/>
      <c r="BQ420" s="139"/>
      <c r="BR420" s="139"/>
      <c r="BS420" s="139"/>
      <c r="BT420" s="139"/>
      <c r="BU420" s="139"/>
      <c r="BV420" s="139"/>
      <c r="BW420" s="139"/>
      <c r="BX420" s="139"/>
      <c r="BY420" s="139"/>
      <c r="BZ420" s="139"/>
      <c r="CA420" s="139"/>
      <c r="CB420" s="139"/>
      <c r="CC420" s="139"/>
      <c r="CD420" s="139"/>
      <c r="CE420" s="139"/>
      <c r="CF420" s="139"/>
      <c r="CG420" s="139"/>
      <c r="CH420" s="139"/>
      <c r="CI420" s="139"/>
      <c r="CJ420" s="139"/>
      <c r="CK420" s="139"/>
      <c r="CL420" s="139"/>
      <c r="CM420" s="139"/>
      <c r="CN420" s="139"/>
      <c r="CO420" s="139"/>
      <c r="CP420" s="139"/>
      <c r="CQ420" s="139"/>
      <c r="CR420" s="139"/>
      <c r="CS420" s="139"/>
      <c r="CT420" s="139"/>
      <c r="CU420" s="139"/>
      <c r="CV420" s="139"/>
      <c r="CW420" s="139"/>
      <c r="CX420" s="139"/>
      <c r="CY420" s="139"/>
      <c r="CZ420" s="139"/>
      <c r="DA420" s="139"/>
      <c r="DB420" s="139"/>
      <c r="DC420" s="139"/>
      <c r="DD420" s="139"/>
      <c r="DE420" s="139"/>
      <c r="DF420" s="139"/>
      <c r="DG420" s="139"/>
      <c r="DH420" s="139"/>
      <c r="DI420" s="139"/>
      <c r="DJ420" s="139"/>
      <c r="DK420" s="139"/>
      <c r="DL420" s="139"/>
      <c r="DM420" s="139"/>
      <c r="DN420" s="139"/>
      <c r="DO420" s="139"/>
      <c r="DP420" s="139"/>
      <c r="DQ420" s="139"/>
      <c r="DR420" s="139"/>
      <c r="DS420" s="139"/>
      <c r="DT420" s="139"/>
      <c r="DU420" s="139"/>
      <c r="DV420" s="139"/>
      <c r="DW420" s="139"/>
      <c r="DX420" s="139"/>
      <c r="DY420" s="139"/>
      <c r="DZ420" s="139"/>
      <c r="EA420" s="139"/>
      <c r="EB420" s="139"/>
      <c r="EC420" s="139"/>
      <c r="ED420" s="139"/>
      <c r="EE420" s="139"/>
      <c r="EF420" s="139"/>
      <c r="EG420" s="139"/>
      <c r="EH420" s="139"/>
      <c r="EI420" s="139"/>
      <c r="EJ420" s="139"/>
      <c r="EK420" s="139"/>
      <c r="EL420" s="139"/>
      <c r="EM420" s="139"/>
      <c r="EN420" s="139"/>
      <c r="EO420" s="139"/>
      <c r="EP420" s="139"/>
      <c r="EQ420" s="139"/>
      <c r="ER420" s="139"/>
      <c r="ES420" s="139"/>
      <c r="ET420" s="139"/>
      <c r="EU420" s="139"/>
      <c r="EV420" s="139"/>
      <c r="EW420" s="139"/>
      <c r="EX420" s="139"/>
      <c r="EY420" s="139"/>
      <c r="EZ420" s="139"/>
      <c r="FA420" s="139"/>
      <c r="FB420" s="139"/>
      <c r="FC420" s="139"/>
      <c r="FD420" s="139"/>
      <c r="FE420" s="139"/>
      <c r="FF420" s="139"/>
      <c r="FG420" s="139"/>
      <c r="FH420" s="139"/>
      <c r="FI420" s="139"/>
      <c r="FJ420" s="139"/>
      <c r="FK420" s="139"/>
      <c r="FL420" s="139"/>
      <c r="FM420" s="139"/>
      <c r="FN420" s="139"/>
      <c r="FO420" s="139"/>
      <c r="FP420" s="139"/>
      <c r="FQ420" s="139"/>
      <c r="FR420" s="139"/>
      <c r="FS420" s="139"/>
      <c r="FT420" s="139"/>
      <c r="FU420" s="139"/>
      <c r="FV420" s="139"/>
      <c r="FW420" s="139"/>
      <c r="FX420" s="139"/>
      <c r="FY420" s="139"/>
      <c r="FZ420" s="139"/>
      <c r="GA420" s="139"/>
      <c r="GB420" s="139"/>
      <c r="GC420" s="139"/>
      <c r="GD420" s="139"/>
      <c r="GE420" s="139"/>
      <c r="GF420" s="139"/>
      <c r="GG420" s="139"/>
      <c r="GH420" s="139"/>
      <c r="GI420" s="139"/>
      <c r="GJ420" s="139"/>
      <c r="GK420" s="139"/>
      <c r="GL420" s="139"/>
      <c r="GM420" s="139"/>
      <c r="GN420" s="139"/>
      <c r="GO420" s="139"/>
      <c r="GP420" s="139"/>
      <c r="GQ420" s="139"/>
      <c r="GR420" s="139"/>
      <c r="GS420" s="139"/>
      <c r="GT420" s="139"/>
      <c r="GU420" s="139"/>
      <c r="GV420" s="139"/>
      <c r="GW420" s="139"/>
      <c r="GX420" s="139"/>
      <c r="GY420" s="139"/>
      <c r="GZ420" s="139"/>
      <c r="HA420" s="139"/>
      <c r="HB420" s="139"/>
      <c r="HC420" s="139"/>
      <c r="HD420" s="139"/>
      <c r="HE420" s="139"/>
      <c r="HF420" s="139"/>
      <c r="HG420" s="139"/>
      <c r="HH420" s="139"/>
      <c r="HI420" s="139"/>
      <c r="HJ420" s="139"/>
      <c r="HK420" s="139"/>
      <c r="HL420" s="139"/>
      <c r="HM420" s="139"/>
    </row>
    <row r="421" s="5" customFormat="1">
      <c r="A421" s="45"/>
      <c r="B421" s="97"/>
      <c r="C421" s="27"/>
      <c r="D421" s="27"/>
      <c r="E421" s="27"/>
      <c r="F421" s="84"/>
      <c r="G421" s="84"/>
      <c r="H421" s="92"/>
      <c r="I421" s="142"/>
      <c r="J421" s="64"/>
    </row>
    <row r="422" s="2" customFormat="1">
      <c r="A422" s="45"/>
      <c r="B422" s="3"/>
      <c r="C422" s="27"/>
      <c r="D422" s="27"/>
      <c r="E422" s="27"/>
      <c r="F422" s="27"/>
      <c r="G422" s="27"/>
      <c r="H422" s="45"/>
      <c r="I422" s="27"/>
      <c r="J422" s="64"/>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c r="AJ422" s="13"/>
      <c r="AK422" s="13"/>
      <c r="AL422" s="13"/>
      <c r="AM422" s="13"/>
      <c r="AN422" s="13"/>
      <c r="AO422" s="13"/>
      <c r="AP422" s="13"/>
      <c r="AQ422" s="13"/>
      <c r="AR422" s="13"/>
      <c r="AS422" s="13"/>
      <c r="AT422" s="13"/>
      <c r="AU422" s="13"/>
      <c r="AV422" s="13"/>
      <c r="AW422" s="13"/>
      <c r="AX422" s="13"/>
      <c r="AY422" s="13"/>
      <c r="AZ422" s="13"/>
      <c r="BA422" s="13"/>
      <c r="BB422" s="13"/>
      <c r="BC422" s="13"/>
      <c r="BD422" s="13"/>
      <c r="BE422" s="13"/>
      <c r="BF422" s="13"/>
      <c r="BG422" s="13"/>
      <c r="BH422" s="13"/>
      <c r="BI422" s="13"/>
      <c r="BJ422" s="13"/>
      <c r="BK422" s="13"/>
      <c r="BL422" s="13"/>
      <c r="BM422" s="13"/>
      <c r="BN422" s="13"/>
      <c r="BO422" s="13"/>
      <c r="BP422" s="13"/>
      <c r="BQ422" s="13"/>
      <c r="BR422" s="13"/>
      <c r="BS422" s="13"/>
      <c r="BT422" s="13"/>
      <c r="BU422" s="13"/>
      <c r="BV422" s="13"/>
      <c r="BW422" s="13"/>
      <c r="BX422" s="13"/>
      <c r="BY422" s="13"/>
      <c r="BZ422" s="13"/>
      <c r="CA422" s="13"/>
      <c r="CB422" s="13"/>
      <c r="CC422" s="13"/>
      <c r="CD422" s="13"/>
      <c r="CE422" s="13"/>
      <c r="CF422" s="13"/>
      <c r="CG422" s="13"/>
      <c r="CH422" s="13"/>
      <c r="CI422" s="13"/>
      <c r="CJ422" s="13"/>
      <c r="CK422" s="13"/>
      <c r="CL422" s="13"/>
      <c r="CM422" s="13"/>
      <c r="CN422" s="13"/>
      <c r="CO422" s="13"/>
      <c r="CP422" s="13"/>
      <c r="CQ422" s="13"/>
      <c r="CR422" s="13"/>
      <c r="CS422" s="13"/>
      <c r="CT422" s="13"/>
      <c r="CU422" s="13"/>
      <c r="CV422" s="13"/>
      <c r="CW422" s="13"/>
      <c r="CX422" s="13"/>
      <c r="CY422" s="13"/>
      <c r="CZ422" s="13"/>
      <c r="DA422" s="13"/>
      <c r="DB422" s="13"/>
      <c r="DC422" s="13"/>
      <c r="DD422" s="13"/>
      <c r="DE422" s="13"/>
      <c r="DF422" s="13"/>
      <c r="DG422" s="13"/>
      <c r="DH422" s="13"/>
      <c r="DI422" s="13"/>
      <c r="DJ422" s="13"/>
      <c r="DK422" s="13"/>
      <c r="DL422" s="13"/>
      <c r="DM422" s="13"/>
      <c r="DN422" s="13"/>
      <c r="DO422" s="13"/>
      <c r="DP422" s="13"/>
      <c r="DQ422" s="13"/>
      <c r="DR422" s="13"/>
      <c r="DS422" s="13"/>
      <c r="DT422" s="13"/>
      <c r="DU422" s="13"/>
      <c r="DV422" s="13"/>
      <c r="DW422" s="13"/>
      <c r="DX422" s="13"/>
      <c r="DY422" s="13"/>
      <c r="DZ422" s="13"/>
      <c r="EA422" s="13"/>
      <c r="EB422" s="13"/>
      <c r="EC422" s="13"/>
      <c r="ED422" s="13"/>
      <c r="EE422" s="13"/>
      <c r="EF422" s="13"/>
      <c r="EG422" s="13"/>
      <c r="EH422" s="13"/>
      <c r="EI422" s="13"/>
      <c r="EJ422" s="13"/>
      <c r="EK422" s="13"/>
      <c r="EL422" s="13"/>
      <c r="EM422" s="13"/>
      <c r="EN422" s="13"/>
      <c r="EO422" s="13"/>
      <c r="EP422" s="13"/>
      <c r="EQ422" s="13"/>
      <c r="ER422" s="13"/>
      <c r="ES422" s="13"/>
      <c r="ET422" s="13"/>
      <c r="EU422" s="13"/>
      <c r="EV422" s="13"/>
      <c r="EW422" s="13"/>
      <c r="EX422" s="13"/>
      <c r="EY422" s="13"/>
      <c r="EZ422" s="13"/>
      <c r="FA422" s="13"/>
      <c r="FB422" s="13"/>
      <c r="FC422" s="13"/>
      <c r="FD422" s="13"/>
      <c r="FE422" s="13"/>
      <c r="FF422" s="13"/>
      <c r="FG422" s="13"/>
      <c r="FH422" s="13"/>
      <c r="FI422" s="13"/>
      <c r="FJ422" s="13"/>
      <c r="FK422" s="13"/>
      <c r="FL422" s="13"/>
      <c r="FM422" s="13"/>
      <c r="FN422" s="13"/>
      <c r="FO422" s="13"/>
      <c r="FP422" s="13"/>
      <c r="FQ422" s="13"/>
      <c r="FR422" s="13"/>
      <c r="FS422" s="13"/>
      <c r="FT422" s="13"/>
      <c r="FU422" s="13"/>
      <c r="FV422" s="13"/>
      <c r="FW422" s="13"/>
      <c r="FX422" s="13"/>
      <c r="FY422" s="13"/>
      <c r="FZ422" s="13"/>
      <c r="GA422" s="13"/>
      <c r="GB422" s="13"/>
      <c r="GC422" s="13"/>
      <c r="GD422" s="13"/>
      <c r="GE422" s="13"/>
      <c r="GF422" s="13"/>
      <c r="GG422" s="13"/>
      <c r="GH422" s="13"/>
      <c r="GI422" s="13"/>
      <c r="GJ422" s="13"/>
      <c r="GK422" s="13"/>
      <c r="GL422" s="13"/>
      <c r="GM422" s="13"/>
      <c r="GN422" s="13"/>
      <c r="GO422" s="13"/>
      <c r="GP422" s="13"/>
      <c r="GQ422" s="13"/>
      <c r="GR422" s="13"/>
      <c r="GS422" s="13"/>
      <c r="GT422" s="13"/>
      <c r="GU422" s="13"/>
      <c r="GV422" s="13"/>
      <c r="GW422" s="13"/>
      <c r="GX422" s="13"/>
      <c r="GY422" s="13"/>
      <c r="GZ422" s="13"/>
      <c r="HA422" s="13"/>
      <c r="HB422" s="13"/>
      <c r="HC422" s="13"/>
      <c r="HD422" s="13"/>
      <c r="HE422" s="13"/>
      <c r="HF422" s="13"/>
      <c r="HG422" s="13"/>
      <c r="HH422" s="13"/>
      <c r="HI422" s="13"/>
      <c r="HJ422" s="13"/>
      <c r="HK422" s="13"/>
      <c r="HL422" s="13"/>
      <c r="HM422" s="13"/>
      <c r="HN422" s="13"/>
      <c r="HO422" s="13"/>
      <c r="HP422" s="13"/>
      <c r="HQ422" s="13"/>
      <c r="HR422" s="13"/>
      <c r="HS422" s="13"/>
      <c r="HT422" s="13"/>
      <c r="HU422" s="13"/>
      <c r="HV422" s="13"/>
      <c r="HW422" s="13"/>
      <c r="HX422" s="13"/>
      <c r="HY422" s="13"/>
      <c r="HZ422" s="13"/>
      <c r="IA422" s="13"/>
      <c r="IB422" s="13"/>
      <c r="IC422" s="5"/>
      <c r="ID422" s="5"/>
      <c r="IE422" s="5"/>
      <c r="IF422" s="5"/>
      <c r="IG422" s="5"/>
      <c r="IH422" s="5"/>
      <c r="II422" s="5"/>
      <c r="IJ422" s="5"/>
      <c r="IK422" s="5"/>
      <c r="IL422" s="5"/>
      <c r="IM422" s="5"/>
      <c r="IN422" s="5"/>
    </row>
    <row r="423" s="2" customFormat="1">
      <c r="A423" s="45"/>
      <c r="B423" s="3"/>
      <c r="C423" s="27"/>
      <c r="D423" s="27"/>
      <c r="E423" s="27"/>
      <c r="F423" s="27"/>
      <c r="G423" s="27"/>
      <c r="H423" s="45"/>
      <c r="I423" s="27"/>
      <c r="J423" s="64"/>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c r="DF423" s="13"/>
      <c r="DG423" s="13"/>
      <c r="DH423" s="13"/>
      <c r="DI423" s="13"/>
      <c r="DJ423" s="13"/>
      <c r="DK423" s="13"/>
      <c r="DL423" s="13"/>
      <c r="DM423" s="13"/>
      <c r="DN423" s="13"/>
      <c r="DO423" s="13"/>
      <c r="DP423" s="13"/>
      <c r="DQ423" s="13"/>
      <c r="DR423" s="13"/>
      <c r="DS423" s="13"/>
      <c r="DT423" s="13"/>
      <c r="DU423" s="13"/>
      <c r="DV423" s="13"/>
      <c r="DW423" s="13"/>
      <c r="DX423" s="13"/>
      <c r="DY423" s="13"/>
      <c r="DZ423" s="13"/>
      <c r="EA423" s="13"/>
      <c r="EB423" s="13"/>
      <c r="EC423" s="13"/>
      <c r="ED423" s="13"/>
      <c r="EE423" s="13"/>
      <c r="EF423" s="13"/>
      <c r="EG423" s="13"/>
      <c r="EH423" s="13"/>
      <c r="EI423" s="13"/>
      <c r="EJ423" s="13"/>
      <c r="EK423" s="13"/>
      <c r="EL423" s="13"/>
      <c r="EM423" s="13"/>
      <c r="EN423" s="13"/>
      <c r="EO423" s="13"/>
      <c r="EP423" s="13"/>
      <c r="EQ423" s="13"/>
      <c r="ER423" s="13"/>
      <c r="ES423" s="13"/>
      <c r="ET423" s="13"/>
      <c r="EU423" s="13"/>
      <c r="EV423" s="13"/>
      <c r="EW423" s="13"/>
      <c r="EX423" s="13"/>
      <c r="EY423" s="13"/>
      <c r="EZ423" s="13"/>
      <c r="FA423" s="13"/>
      <c r="FB423" s="13"/>
      <c r="FC423" s="13"/>
      <c r="FD423" s="13"/>
      <c r="FE423" s="13"/>
      <c r="FF423" s="13"/>
      <c r="FG423" s="13"/>
      <c r="FH423" s="13"/>
      <c r="FI423" s="13"/>
      <c r="FJ423" s="13"/>
      <c r="FK423" s="13"/>
      <c r="FL423" s="13"/>
      <c r="FM423" s="13"/>
      <c r="FN423" s="13"/>
      <c r="FO423" s="13"/>
      <c r="FP423" s="13"/>
      <c r="FQ423" s="13"/>
      <c r="FR423" s="13"/>
      <c r="FS423" s="13"/>
      <c r="FT423" s="13"/>
      <c r="FU423" s="13"/>
      <c r="FV423" s="13"/>
      <c r="FW423" s="13"/>
      <c r="FX423" s="13"/>
      <c r="FY423" s="13"/>
      <c r="FZ423" s="13"/>
      <c r="GA423" s="13"/>
      <c r="GB423" s="13"/>
      <c r="GC423" s="13"/>
      <c r="GD423" s="13"/>
      <c r="GE423" s="13"/>
      <c r="GF423" s="13"/>
      <c r="GG423" s="13"/>
      <c r="GH423" s="13"/>
      <c r="GI423" s="13"/>
      <c r="GJ423" s="13"/>
      <c r="GK423" s="13"/>
      <c r="GL423" s="13"/>
      <c r="GM423" s="13"/>
      <c r="GN423" s="13"/>
      <c r="GO423" s="13"/>
      <c r="GP423" s="13"/>
      <c r="GQ423" s="13"/>
      <c r="GR423" s="13"/>
      <c r="GS423" s="13"/>
      <c r="GT423" s="13"/>
      <c r="GU423" s="13"/>
      <c r="GV423" s="13"/>
      <c r="GW423" s="13"/>
      <c r="GX423" s="13"/>
      <c r="GY423" s="13"/>
      <c r="GZ423" s="13"/>
      <c r="HA423" s="13"/>
      <c r="HB423" s="13"/>
      <c r="HC423" s="13"/>
      <c r="HD423" s="13"/>
      <c r="HE423" s="13"/>
      <c r="HF423" s="13"/>
      <c r="HG423" s="13"/>
      <c r="HH423" s="13"/>
      <c r="HI423" s="13"/>
      <c r="HJ423" s="13"/>
      <c r="HK423" s="13"/>
      <c r="HL423" s="13"/>
      <c r="HM423" s="13"/>
      <c r="HN423" s="13"/>
      <c r="HO423" s="13"/>
      <c r="HP423" s="13"/>
      <c r="HQ423" s="13"/>
      <c r="HR423" s="13"/>
      <c r="HS423" s="13"/>
      <c r="HT423" s="13"/>
      <c r="HU423" s="13"/>
      <c r="HV423" s="13"/>
      <c r="HW423" s="13"/>
      <c r="HX423" s="13"/>
      <c r="HY423" s="13"/>
      <c r="HZ423" s="13"/>
      <c r="IA423" s="13"/>
      <c r="IB423" s="13"/>
      <c r="IC423" s="5"/>
      <c r="ID423" s="5"/>
      <c r="IE423" s="5"/>
      <c r="IF423" s="5"/>
      <c r="IG423" s="5"/>
      <c r="IH423" s="5"/>
      <c r="II423" s="5"/>
      <c r="IJ423" s="5"/>
      <c r="IK423" s="5"/>
      <c r="IL423" s="5"/>
      <c r="IM423" s="5"/>
      <c r="IN423" s="5"/>
    </row>
    <row r="424" s="2" customFormat="1">
      <c r="A424" s="45"/>
      <c r="B424" s="3"/>
      <c r="C424" s="27"/>
      <c r="D424" s="27"/>
      <c r="E424" s="27"/>
      <c r="F424" s="27"/>
      <c r="G424" s="27"/>
      <c r="H424" s="45"/>
      <c r="I424" s="27"/>
      <c r="J424" s="64"/>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c r="DF424" s="13"/>
      <c r="DG424" s="13"/>
      <c r="DH424" s="13"/>
      <c r="DI424" s="13"/>
      <c r="DJ424" s="13"/>
      <c r="DK424" s="13"/>
      <c r="DL424" s="13"/>
      <c r="DM424" s="13"/>
      <c r="DN424" s="13"/>
      <c r="DO424" s="13"/>
      <c r="DP424" s="13"/>
      <c r="DQ424" s="13"/>
      <c r="DR424" s="13"/>
      <c r="DS424" s="13"/>
      <c r="DT424" s="13"/>
      <c r="DU424" s="13"/>
      <c r="DV424" s="13"/>
      <c r="DW424" s="13"/>
      <c r="DX424" s="13"/>
      <c r="DY424" s="13"/>
      <c r="DZ424" s="13"/>
      <c r="EA424" s="13"/>
      <c r="EB424" s="13"/>
      <c r="EC424" s="13"/>
      <c r="ED424" s="13"/>
      <c r="EE424" s="13"/>
      <c r="EF424" s="13"/>
      <c r="EG424" s="13"/>
      <c r="EH424" s="13"/>
      <c r="EI424" s="13"/>
      <c r="EJ424" s="13"/>
      <c r="EK424" s="13"/>
      <c r="EL424" s="13"/>
      <c r="EM424" s="13"/>
      <c r="EN424" s="13"/>
      <c r="EO424" s="13"/>
      <c r="EP424" s="13"/>
      <c r="EQ424" s="13"/>
      <c r="ER424" s="13"/>
      <c r="ES424" s="13"/>
      <c r="ET424" s="13"/>
      <c r="EU424" s="13"/>
      <c r="EV424" s="13"/>
      <c r="EW424" s="13"/>
      <c r="EX424" s="13"/>
      <c r="EY424" s="13"/>
      <c r="EZ424" s="13"/>
      <c r="FA424" s="13"/>
      <c r="FB424" s="13"/>
      <c r="FC424" s="13"/>
      <c r="FD424" s="13"/>
      <c r="FE424" s="13"/>
      <c r="FF424" s="13"/>
      <c r="FG424" s="13"/>
      <c r="FH424" s="13"/>
      <c r="FI424" s="13"/>
      <c r="FJ424" s="13"/>
      <c r="FK424" s="13"/>
      <c r="FL424" s="13"/>
      <c r="FM424" s="13"/>
      <c r="FN424" s="13"/>
      <c r="FO424" s="13"/>
      <c r="FP424" s="13"/>
      <c r="FQ424" s="13"/>
      <c r="FR424" s="13"/>
      <c r="FS424" s="13"/>
      <c r="FT424" s="13"/>
      <c r="FU424" s="13"/>
      <c r="FV424" s="13"/>
      <c r="FW424" s="13"/>
      <c r="FX424" s="13"/>
      <c r="FY424" s="13"/>
      <c r="FZ424" s="13"/>
      <c r="GA424" s="13"/>
      <c r="GB424" s="13"/>
      <c r="GC424" s="13"/>
      <c r="GD424" s="13"/>
      <c r="GE424" s="13"/>
      <c r="GF424" s="13"/>
      <c r="GG424" s="13"/>
      <c r="GH424" s="13"/>
      <c r="GI424" s="13"/>
      <c r="GJ424" s="13"/>
      <c r="GK424" s="13"/>
      <c r="GL424" s="13"/>
      <c r="GM424" s="13"/>
      <c r="GN424" s="13"/>
      <c r="GO424" s="13"/>
      <c r="GP424" s="13"/>
      <c r="GQ424" s="13"/>
      <c r="GR424" s="13"/>
      <c r="GS424" s="13"/>
      <c r="GT424" s="13"/>
      <c r="GU424" s="13"/>
      <c r="GV424" s="13"/>
      <c r="GW424" s="13"/>
      <c r="GX424" s="13"/>
      <c r="GY424" s="13"/>
      <c r="GZ424" s="13"/>
      <c r="HA424" s="13"/>
      <c r="HB424" s="13"/>
      <c r="HC424" s="13"/>
      <c r="HD424" s="13"/>
      <c r="HE424" s="13"/>
      <c r="HF424" s="13"/>
      <c r="HG424" s="13"/>
      <c r="HH424" s="13"/>
      <c r="HI424" s="13"/>
      <c r="HJ424" s="13"/>
      <c r="HK424" s="13"/>
      <c r="HL424" s="13"/>
      <c r="HM424" s="13"/>
      <c r="HN424" s="13"/>
      <c r="HO424" s="13"/>
      <c r="HP424" s="13"/>
      <c r="HQ424" s="13"/>
      <c r="HR424" s="13"/>
      <c r="HS424" s="13"/>
      <c r="HT424" s="13"/>
      <c r="HU424" s="13"/>
      <c r="HV424" s="13"/>
      <c r="HW424" s="13"/>
      <c r="HX424" s="13"/>
      <c r="HY424" s="13"/>
      <c r="HZ424" s="13"/>
      <c r="IA424" s="13"/>
      <c r="IB424" s="13"/>
      <c r="IC424" s="5"/>
      <c r="ID424" s="5"/>
      <c r="IE424" s="5"/>
      <c r="IF424" s="5"/>
      <c r="IG424" s="5"/>
      <c r="IH424" s="5"/>
      <c r="II424" s="5"/>
      <c r="IJ424" s="5"/>
      <c r="IK424" s="5"/>
      <c r="IL424" s="5"/>
      <c r="IM424" s="5"/>
      <c r="IN424" s="5"/>
    </row>
    <row r="425" s="2" customFormat="1">
      <c r="A425" s="45"/>
      <c r="B425" s="3"/>
      <c r="C425" s="27"/>
      <c r="D425" s="27"/>
      <c r="E425" s="27"/>
      <c r="F425" s="27"/>
      <c r="G425" s="27"/>
      <c r="H425" s="45"/>
      <c r="I425" s="27"/>
      <c r="J425" s="64"/>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c r="AJ425" s="13"/>
      <c r="AK425" s="13"/>
      <c r="AL425" s="13"/>
      <c r="AM425" s="13"/>
      <c r="AN425" s="13"/>
      <c r="AO425" s="13"/>
      <c r="AP425" s="13"/>
      <c r="AQ425" s="13"/>
      <c r="AR425" s="13"/>
      <c r="AS425" s="13"/>
      <c r="AT425" s="13"/>
      <c r="AU425" s="13"/>
      <c r="AV425" s="13"/>
      <c r="AW425" s="13"/>
      <c r="AX425" s="13"/>
      <c r="AY425" s="13"/>
      <c r="AZ425" s="13"/>
      <c r="BA425" s="13"/>
      <c r="BB425" s="13"/>
      <c r="BC425" s="13"/>
      <c r="BD425" s="13"/>
      <c r="BE425" s="13"/>
      <c r="BF425" s="13"/>
      <c r="BG425" s="13"/>
      <c r="BH425" s="13"/>
      <c r="BI425" s="13"/>
      <c r="BJ425" s="13"/>
      <c r="BK425" s="13"/>
      <c r="BL425" s="13"/>
      <c r="BM425" s="13"/>
      <c r="BN425" s="13"/>
      <c r="BO425" s="13"/>
      <c r="BP425" s="13"/>
      <c r="BQ425" s="13"/>
      <c r="BR425" s="13"/>
      <c r="BS425" s="13"/>
      <c r="BT425" s="13"/>
      <c r="BU425" s="13"/>
      <c r="BV425" s="13"/>
      <c r="BW425" s="13"/>
      <c r="BX425" s="13"/>
      <c r="BY425" s="13"/>
      <c r="BZ425" s="13"/>
      <c r="CA425" s="13"/>
      <c r="CB425" s="13"/>
      <c r="CC425" s="13"/>
      <c r="CD425" s="13"/>
      <c r="CE425" s="13"/>
      <c r="CF425" s="13"/>
      <c r="CG425" s="13"/>
      <c r="CH425" s="13"/>
      <c r="CI425" s="13"/>
      <c r="CJ425" s="13"/>
      <c r="CK425" s="13"/>
      <c r="CL425" s="13"/>
      <c r="CM425" s="13"/>
      <c r="CN425" s="13"/>
      <c r="CO425" s="13"/>
      <c r="CP425" s="13"/>
      <c r="CQ425" s="13"/>
      <c r="CR425" s="13"/>
      <c r="CS425" s="13"/>
      <c r="CT425" s="13"/>
      <c r="CU425" s="13"/>
      <c r="CV425" s="13"/>
      <c r="CW425" s="13"/>
      <c r="CX425" s="13"/>
      <c r="CY425" s="13"/>
      <c r="CZ425" s="13"/>
      <c r="DA425" s="13"/>
      <c r="DB425" s="13"/>
      <c r="DC425" s="13"/>
      <c r="DD425" s="13"/>
      <c r="DE425" s="13"/>
      <c r="DF425" s="13"/>
      <c r="DG425" s="13"/>
      <c r="DH425" s="13"/>
      <c r="DI425" s="13"/>
      <c r="DJ425" s="13"/>
      <c r="DK425" s="13"/>
      <c r="DL425" s="13"/>
      <c r="DM425" s="13"/>
      <c r="DN425" s="13"/>
      <c r="DO425" s="13"/>
      <c r="DP425" s="13"/>
      <c r="DQ425" s="13"/>
      <c r="DR425" s="13"/>
      <c r="DS425" s="13"/>
      <c r="DT425" s="13"/>
      <c r="DU425" s="13"/>
      <c r="DV425" s="13"/>
      <c r="DW425" s="13"/>
      <c r="DX425" s="13"/>
      <c r="DY425" s="13"/>
      <c r="DZ425" s="13"/>
      <c r="EA425" s="13"/>
      <c r="EB425" s="13"/>
      <c r="EC425" s="13"/>
      <c r="ED425" s="13"/>
      <c r="EE425" s="13"/>
      <c r="EF425" s="13"/>
      <c r="EG425" s="13"/>
      <c r="EH425" s="13"/>
      <c r="EI425" s="13"/>
      <c r="EJ425" s="13"/>
      <c r="EK425" s="13"/>
      <c r="EL425" s="13"/>
      <c r="EM425" s="13"/>
      <c r="EN425" s="13"/>
      <c r="EO425" s="13"/>
      <c r="EP425" s="13"/>
      <c r="EQ425" s="13"/>
      <c r="ER425" s="13"/>
      <c r="ES425" s="13"/>
      <c r="ET425" s="13"/>
      <c r="EU425" s="13"/>
      <c r="EV425" s="13"/>
      <c r="EW425" s="13"/>
      <c r="EX425" s="13"/>
      <c r="EY425" s="13"/>
      <c r="EZ425" s="13"/>
      <c r="FA425" s="13"/>
      <c r="FB425" s="13"/>
      <c r="FC425" s="13"/>
      <c r="FD425" s="13"/>
      <c r="FE425" s="13"/>
      <c r="FF425" s="13"/>
      <c r="FG425" s="13"/>
      <c r="FH425" s="13"/>
      <c r="FI425" s="13"/>
      <c r="FJ425" s="13"/>
      <c r="FK425" s="13"/>
      <c r="FL425" s="13"/>
      <c r="FM425" s="13"/>
      <c r="FN425" s="13"/>
      <c r="FO425" s="13"/>
      <c r="FP425" s="13"/>
      <c r="FQ425" s="13"/>
      <c r="FR425" s="13"/>
      <c r="FS425" s="13"/>
      <c r="FT425" s="13"/>
      <c r="FU425" s="13"/>
      <c r="FV425" s="13"/>
      <c r="FW425" s="13"/>
      <c r="FX425" s="13"/>
      <c r="FY425" s="13"/>
      <c r="FZ425" s="13"/>
      <c r="GA425" s="13"/>
      <c r="GB425" s="13"/>
      <c r="GC425" s="13"/>
      <c r="GD425" s="13"/>
      <c r="GE425" s="13"/>
      <c r="GF425" s="13"/>
      <c r="GG425" s="13"/>
      <c r="GH425" s="13"/>
      <c r="GI425" s="13"/>
      <c r="GJ425" s="13"/>
      <c r="GK425" s="13"/>
      <c r="GL425" s="13"/>
      <c r="GM425" s="13"/>
      <c r="GN425" s="13"/>
      <c r="GO425" s="13"/>
      <c r="GP425" s="13"/>
      <c r="GQ425" s="13"/>
      <c r="GR425" s="13"/>
      <c r="GS425" s="13"/>
      <c r="GT425" s="13"/>
      <c r="GU425" s="13"/>
      <c r="GV425" s="13"/>
      <c r="GW425" s="13"/>
      <c r="GX425" s="13"/>
      <c r="GY425" s="13"/>
      <c r="GZ425" s="13"/>
      <c r="HA425" s="13"/>
      <c r="HB425" s="13"/>
      <c r="HC425" s="13"/>
      <c r="HD425" s="13"/>
      <c r="HE425" s="13"/>
      <c r="HF425" s="13"/>
      <c r="HG425" s="13"/>
      <c r="HH425" s="13"/>
      <c r="HI425" s="13"/>
      <c r="HJ425" s="13"/>
      <c r="HK425" s="13"/>
      <c r="HL425" s="13"/>
      <c r="HM425" s="13"/>
      <c r="HN425" s="13"/>
      <c r="HO425" s="13"/>
      <c r="HP425" s="13"/>
      <c r="HQ425" s="13"/>
      <c r="HR425" s="13"/>
      <c r="HS425" s="13"/>
      <c r="HT425" s="13"/>
      <c r="HU425" s="13"/>
      <c r="HV425" s="13"/>
      <c r="HW425" s="13"/>
      <c r="HX425" s="13"/>
      <c r="HY425" s="13"/>
      <c r="HZ425" s="13"/>
      <c r="IA425" s="13"/>
      <c r="IB425" s="13"/>
      <c r="IC425" s="5"/>
      <c r="ID425" s="5"/>
      <c r="IE425" s="5"/>
      <c r="IF425" s="5"/>
      <c r="IG425" s="5"/>
      <c r="IH425" s="5"/>
      <c r="II425" s="5"/>
      <c r="IJ425" s="5"/>
      <c r="IK425" s="5"/>
      <c r="IL425" s="5"/>
      <c r="IM425" s="5"/>
      <c r="IN425" s="5"/>
    </row>
    <row r="426" s="2" customFormat="1">
      <c r="A426" s="45"/>
      <c r="B426" s="3"/>
      <c r="C426" s="27"/>
      <c r="D426" s="27"/>
      <c r="E426" s="27"/>
      <c r="F426" s="27"/>
      <c r="G426" s="27"/>
      <c r="H426" s="45"/>
      <c r="I426" s="27"/>
      <c r="J426" s="64"/>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c r="DF426" s="13"/>
      <c r="DG426" s="13"/>
      <c r="DH426" s="13"/>
      <c r="DI426" s="13"/>
      <c r="DJ426" s="13"/>
      <c r="DK426" s="13"/>
      <c r="DL426" s="13"/>
      <c r="DM426" s="13"/>
      <c r="DN426" s="13"/>
      <c r="DO426" s="13"/>
      <c r="DP426" s="13"/>
      <c r="DQ426" s="13"/>
      <c r="DR426" s="13"/>
      <c r="DS426" s="13"/>
      <c r="DT426" s="13"/>
      <c r="DU426" s="13"/>
      <c r="DV426" s="13"/>
      <c r="DW426" s="13"/>
      <c r="DX426" s="13"/>
      <c r="DY426" s="13"/>
      <c r="DZ426" s="13"/>
      <c r="EA426" s="13"/>
      <c r="EB426" s="13"/>
      <c r="EC426" s="13"/>
      <c r="ED426" s="13"/>
      <c r="EE426" s="13"/>
      <c r="EF426" s="13"/>
      <c r="EG426" s="13"/>
      <c r="EH426" s="13"/>
      <c r="EI426" s="13"/>
      <c r="EJ426" s="13"/>
      <c r="EK426" s="13"/>
      <c r="EL426" s="13"/>
      <c r="EM426" s="13"/>
      <c r="EN426" s="13"/>
      <c r="EO426" s="13"/>
      <c r="EP426" s="13"/>
      <c r="EQ426" s="13"/>
      <c r="ER426" s="13"/>
      <c r="ES426" s="13"/>
      <c r="ET426" s="13"/>
      <c r="EU426" s="13"/>
      <c r="EV426" s="13"/>
      <c r="EW426" s="13"/>
      <c r="EX426" s="13"/>
      <c r="EY426" s="13"/>
      <c r="EZ426" s="13"/>
      <c r="FA426" s="13"/>
      <c r="FB426" s="13"/>
      <c r="FC426" s="13"/>
      <c r="FD426" s="13"/>
      <c r="FE426" s="13"/>
      <c r="FF426" s="13"/>
      <c r="FG426" s="13"/>
      <c r="FH426" s="13"/>
      <c r="FI426" s="13"/>
      <c r="FJ426" s="13"/>
      <c r="FK426" s="13"/>
      <c r="FL426" s="13"/>
      <c r="FM426" s="13"/>
      <c r="FN426" s="13"/>
      <c r="FO426" s="13"/>
      <c r="FP426" s="13"/>
      <c r="FQ426" s="13"/>
      <c r="FR426" s="13"/>
      <c r="FS426" s="13"/>
      <c r="FT426" s="13"/>
      <c r="FU426" s="13"/>
      <c r="FV426" s="13"/>
      <c r="FW426" s="13"/>
      <c r="FX426" s="13"/>
      <c r="FY426" s="13"/>
      <c r="FZ426" s="13"/>
      <c r="GA426" s="13"/>
      <c r="GB426" s="13"/>
      <c r="GC426" s="13"/>
      <c r="GD426" s="13"/>
      <c r="GE426" s="13"/>
      <c r="GF426" s="13"/>
      <c r="GG426" s="13"/>
      <c r="GH426" s="13"/>
      <c r="GI426" s="13"/>
      <c r="GJ426" s="13"/>
      <c r="GK426" s="13"/>
      <c r="GL426" s="13"/>
      <c r="GM426" s="13"/>
      <c r="GN426" s="13"/>
      <c r="GO426" s="13"/>
      <c r="GP426" s="13"/>
      <c r="GQ426" s="13"/>
      <c r="GR426" s="13"/>
      <c r="GS426" s="13"/>
      <c r="GT426" s="13"/>
      <c r="GU426" s="13"/>
      <c r="GV426" s="13"/>
      <c r="GW426" s="13"/>
      <c r="GX426" s="13"/>
      <c r="GY426" s="13"/>
      <c r="GZ426" s="13"/>
      <c r="HA426" s="13"/>
      <c r="HB426" s="13"/>
      <c r="HC426" s="13"/>
      <c r="HD426" s="13"/>
      <c r="HE426" s="13"/>
      <c r="HF426" s="13"/>
      <c r="HG426" s="13"/>
      <c r="HH426" s="13"/>
      <c r="HI426" s="13"/>
      <c r="HJ426" s="13"/>
      <c r="HK426" s="13"/>
      <c r="HL426" s="13"/>
      <c r="HM426" s="13"/>
      <c r="HN426" s="13"/>
      <c r="HO426" s="13"/>
      <c r="HP426" s="13"/>
      <c r="HQ426" s="13"/>
      <c r="HR426" s="13"/>
      <c r="HS426" s="13"/>
      <c r="HT426" s="13"/>
      <c r="HU426" s="13"/>
      <c r="HV426" s="13"/>
      <c r="HW426" s="13"/>
      <c r="HX426" s="13"/>
      <c r="HY426" s="13"/>
      <c r="HZ426" s="13"/>
      <c r="IA426" s="13"/>
      <c r="IB426" s="13"/>
      <c r="IC426" s="5"/>
      <c r="ID426" s="5"/>
      <c r="IE426" s="5"/>
      <c r="IF426" s="5"/>
      <c r="IG426" s="5"/>
      <c r="IH426" s="5"/>
      <c r="II426" s="5"/>
      <c r="IJ426" s="5"/>
      <c r="IK426" s="5"/>
      <c r="IL426" s="5"/>
      <c r="IM426" s="5"/>
      <c r="IN426" s="5"/>
    </row>
    <row r="427" s="2" customFormat="1">
      <c r="A427" s="45"/>
      <c r="B427" s="3"/>
      <c r="C427" s="27"/>
      <c r="D427" s="27"/>
      <c r="E427" s="27"/>
      <c r="F427" s="27"/>
      <c r="G427" s="27"/>
      <c r="H427" s="45"/>
      <c r="I427" s="27"/>
      <c r="J427" s="64"/>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c r="AJ427" s="13"/>
      <c r="AK427" s="13"/>
      <c r="AL427" s="13"/>
      <c r="AM427" s="13"/>
      <c r="AN427" s="13"/>
      <c r="AO427" s="13"/>
      <c r="AP427" s="13"/>
      <c r="AQ427" s="13"/>
      <c r="AR427" s="13"/>
      <c r="AS427" s="13"/>
      <c r="AT427" s="13"/>
      <c r="AU427" s="13"/>
      <c r="AV427" s="13"/>
      <c r="AW427" s="13"/>
      <c r="AX427" s="13"/>
      <c r="AY427" s="13"/>
      <c r="AZ427" s="13"/>
      <c r="BA427" s="13"/>
      <c r="BB427" s="13"/>
      <c r="BC427" s="13"/>
      <c r="BD427" s="13"/>
      <c r="BE427" s="13"/>
      <c r="BF427" s="13"/>
      <c r="BG427" s="13"/>
      <c r="BH427" s="13"/>
      <c r="BI427" s="13"/>
      <c r="BJ427" s="13"/>
      <c r="BK427" s="13"/>
      <c r="BL427" s="13"/>
      <c r="BM427" s="13"/>
      <c r="BN427" s="13"/>
      <c r="BO427" s="13"/>
      <c r="BP427" s="13"/>
      <c r="BQ427" s="13"/>
      <c r="BR427" s="13"/>
      <c r="BS427" s="13"/>
      <c r="BT427" s="13"/>
      <c r="BU427" s="13"/>
      <c r="BV427" s="13"/>
      <c r="BW427" s="13"/>
      <c r="BX427" s="13"/>
      <c r="BY427" s="13"/>
      <c r="BZ427" s="13"/>
      <c r="CA427" s="13"/>
      <c r="CB427" s="13"/>
      <c r="CC427" s="13"/>
      <c r="CD427" s="13"/>
      <c r="CE427" s="13"/>
      <c r="CF427" s="13"/>
      <c r="CG427" s="13"/>
      <c r="CH427" s="13"/>
      <c r="CI427" s="13"/>
      <c r="CJ427" s="13"/>
      <c r="CK427" s="13"/>
      <c r="CL427" s="13"/>
      <c r="CM427" s="13"/>
      <c r="CN427" s="13"/>
      <c r="CO427" s="13"/>
      <c r="CP427" s="13"/>
      <c r="CQ427" s="13"/>
      <c r="CR427" s="13"/>
      <c r="CS427" s="13"/>
      <c r="CT427" s="13"/>
      <c r="CU427" s="13"/>
      <c r="CV427" s="13"/>
      <c r="CW427" s="13"/>
      <c r="CX427" s="13"/>
      <c r="CY427" s="13"/>
      <c r="CZ427" s="13"/>
      <c r="DA427" s="13"/>
      <c r="DB427" s="13"/>
      <c r="DC427" s="13"/>
      <c r="DD427" s="13"/>
      <c r="DE427" s="13"/>
      <c r="DF427" s="13"/>
      <c r="DG427" s="13"/>
      <c r="DH427" s="13"/>
      <c r="DI427" s="13"/>
      <c r="DJ427" s="13"/>
      <c r="DK427" s="13"/>
      <c r="DL427" s="13"/>
      <c r="DM427" s="13"/>
      <c r="DN427" s="13"/>
      <c r="DO427" s="13"/>
      <c r="DP427" s="13"/>
      <c r="DQ427" s="13"/>
      <c r="DR427" s="13"/>
      <c r="DS427" s="13"/>
      <c r="DT427" s="13"/>
      <c r="DU427" s="13"/>
      <c r="DV427" s="13"/>
      <c r="DW427" s="13"/>
      <c r="DX427" s="13"/>
      <c r="DY427" s="13"/>
      <c r="DZ427" s="13"/>
      <c r="EA427" s="13"/>
      <c r="EB427" s="13"/>
      <c r="EC427" s="13"/>
      <c r="ED427" s="13"/>
      <c r="EE427" s="13"/>
      <c r="EF427" s="13"/>
      <c r="EG427" s="13"/>
      <c r="EH427" s="13"/>
      <c r="EI427" s="13"/>
      <c r="EJ427" s="13"/>
      <c r="EK427" s="13"/>
      <c r="EL427" s="13"/>
      <c r="EM427" s="13"/>
      <c r="EN427" s="13"/>
      <c r="EO427" s="13"/>
      <c r="EP427" s="13"/>
      <c r="EQ427" s="13"/>
      <c r="ER427" s="13"/>
      <c r="ES427" s="13"/>
      <c r="ET427" s="13"/>
      <c r="EU427" s="13"/>
      <c r="EV427" s="13"/>
      <c r="EW427" s="13"/>
      <c r="EX427" s="13"/>
      <c r="EY427" s="13"/>
      <c r="EZ427" s="13"/>
      <c r="FA427" s="13"/>
      <c r="FB427" s="13"/>
      <c r="FC427" s="13"/>
      <c r="FD427" s="13"/>
      <c r="FE427" s="13"/>
      <c r="FF427" s="13"/>
      <c r="FG427" s="13"/>
      <c r="FH427" s="13"/>
      <c r="FI427" s="13"/>
      <c r="FJ427" s="13"/>
      <c r="FK427" s="13"/>
      <c r="FL427" s="13"/>
      <c r="FM427" s="13"/>
      <c r="FN427" s="13"/>
      <c r="FO427" s="13"/>
      <c r="FP427" s="13"/>
      <c r="FQ427" s="13"/>
      <c r="FR427" s="13"/>
      <c r="FS427" s="13"/>
      <c r="FT427" s="13"/>
      <c r="FU427" s="13"/>
      <c r="FV427" s="13"/>
      <c r="FW427" s="13"/>
      <c r="FX427" s="13"/>
      <c r="FY427" s="13"/>
      <c r="FZ427" s="13"/>
      <c r="GA427" s="13"/>
      <c r="GB427" s="13"/>
      <c r="GC427" s="13"/>
      <c r="GD427" s="13"/>
      <c r="GE427" s="13"/>
      <c r="GF427" s="13"/>
      <c r="GG427" s="13"/>
      <c r="GH427" s="13"/>
      <c r="GI427" s="13"/>
      <c r="GJ427" s="13"/>
      <c r="GK427" s="13"/>
      <c r="GL427" s="13"/>
      <c r="GM427" s="13"/>
      <c r="GN427" s="13"/>
      <c r="GO427" s="13"/>
      <c r="GP427" s="13"/>
      <c r="GQ427" s="13"/>
      <c r="GR427" s="13"/>
      <c r="GS427" s="13"/>
      <c r="GT427" s="13"/>
      <c r="GU427" s="13"/>
      <c r="GV427" s="13"/>
      <c r="GW427" s="13"/>
      <c r="GX427" s="13"/>
      <c r="GY427" s="13"/>
      <c r="GZ427" s="13"/>
      <c r="HA427" s="13"/>
      <c r="HB427" s="13"/>
      <c r="HC427" s="13"/>
      <c r="HD427" s="13"/>
      <c r="HE427" s="13"/>
      <c r="HF427" s="13"/>
      <c r="HG427" s="13"/>
      <c r="HH427" s="13"/>
      <c r="HI427" s="13"/>
      <c r="HJ427" s="13"/>
      <c r="HK427" s="13"/>
      <c r="HL427" s="13"/>
      <c r="HM427" s="13"/>
      <c r="HN427" s="13"/>
      <c r="HO427" s="13"/>
      <c r="HP427" s="13"/>
      <c r="HQ427" s="13"/>
      <c r="HR427" s="13"/>
      <c r="HS427" s="13"/>
      <c r="HT427" s="13"/>
      <c r="HU427" s="13"/>
      <c r="HV427" s="13"/>
      <c r="HW427" s="13"/>
      <c r="HX427" s="13"/>
      <c r="HY427" s="13"/>
      <c r="HZ427" s="13"/>
      <c r="IA427" s="13"/>
      <c r="IB427" s="13"/>
      <c r="IC427" s="5"/>
      <c r="ID427" s="5"/>
      <c r="IE427" s="5"/>
      <c r="IF427" s="5"/>
      <c r="IG427" s="5"/>
      <c r="IH427" s="5"/>
      <c r="II427" s="5"/>
      <c r="IJ427" s="5"/>
      <c r="IK427" s="5"/>
      <c r="IL427" s="5"/>
      <c r="IM427" s="5"/>
      <c r="IN427" s="5"/>
    </row>
    <row r="428" s="2" customFormat="1">
      <c r="A428" s="45"/>
      <c r="B428" s="3"/>
      <c r="C428" s="27"/>
      <c r="D428" s="27"/>
      <c r="E428" s="27"/>
      <c r="F428" s="27"/>
      <c r="G428" s="27"/>
      <c r="H428" s="45"/>
      <c r="I428" s="27"/>
      <c r="J428" s="64"/>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c r="DF428" s="13"/>
      <c r="DG428" s="13"/>
      <c r="DH428" s="13"/>
      <c r="DI428" s="13"/>
      <c r="DJ428" s="13"/>
      <c r="DK428" s="13"/>
      <c r="DL428" s="13"/>
      <c r="DM428" s="13"/>
      <c r="DN428" s="13"/>
      <c r="DO428" s="13"/>
      <c r="DP428" s="13"/>
      <c r="DQ428" s="13"/>
      <c r="DR428" s="13"/>
      <c r="DS428" s="13"/>
      <c r="DT428" s="13"/>
      <c r="DU428" s="13"/>
      <c r="DV428" s="13"/>
      <c r="DW428" s="13"/>
      <c r="DX428" s="13"/>
      <c r="DY428" s="13"/>
      <c r="DZ428" s="13"/>
      <c r="EA428" s="13"/>
      <c r="EB428" s="13"/>
      <c r="EC428" s="13"/>
      <c r="ED428" s="13"/>
      <c r="EE428" s="13"/>
      <c r="EF428" s="13"/>
      <c r="EG428" s="13"/>
      <c r="EH428" s="13"/>
      <c r="EI428" s="13"/>
      <c r="EJ428" s="13"/>
      <c r="EK428" s="13"/>
      <c r="EL428" s="13"/>
      <c r="EM428" s="13"/>
      <c r="EN428" s="13"/>
      <c r="EO428" s="13"/>
      <c r="EP428" s="13"/>
      <c r="EQ428" s="13"/>
      <c r="ER428" s="13"/>
      <c r="ES428" s="13"/>
      <c r="ET428" s="13"/>
      <c r="EU428" s="13"/>
      <c r="EV428" s="13"/>
      <c r="EW428" s="13"/>
      <c r="EX428" s="13"/>
      <c r="EY428" s="13"/>
      <c r="EZ428" s="13"/>
      <c r="FA428" s="13"/>
      <c r="FB428" s="13"/>
      <c r="FC428" s="13"/>
      <c r="FD428" s="13"/>
      <c r="FE428" s="13"/>
      <c r="FF428" s="13"/>
      <c r="FG428" s="13"/>
      <c r="FH428" s="13"/>
      <c r="FI428" s="13"/>
      <c r="FJ428" s="13"/>
      <c r="FK428" s="13"/>
      <c r="FL428" s="13"/>
      <c r="FM428" s="13"/>
      <c r="FN428" s="13"/>
      <c r="FO428" s="13"/>
      <c r="FP428" s="13"/>
      <c r="FQ428" s="13"/>
      <c r="FR428" s="13"/>
      <c r="FS428" s="13"/>
      <c r="FT428" s="13"/>
      <c r="FU428" s="13"/>
      <c r="FV428" s="13"/>
      <c r="FW428" s="13"/>
      <c r="FX428" s="13"/>
      <c r="FY428" s="13"/>
      <c r="FZ428" s="13"/>
      <c r="GA428" s="13"/>
      <c r="GB428" s="13"/>
      <c r="GC428" s="13"/>
      <c r="GD428" s="13"/>
      <c r="GE428" s="13"/>
      <c r="GF428" s="13"/>
      <c r="GG428" s="13"/>
      <c r="GH428" s="13"/>
      <c r="GI428" s="13"/>
      <c r="GJ428" s="13"/>
      <c r="GK428" s="13"/>
      <c r="GL428" s="13"/>
      <c r="GM428" s="13"/>
      <c r="GN428" s="13"/>
      <c r="GO428" s="13"/>
      <c r="GP428" s="13"/>
      <c r="GQ428" s="13"/>
      <c r="GR428" s="13"/>
      <c r="GS428" s="13"/>
      <c r="GT428" s="13"/>
      <c r="GU428" s="13"/>
      <c r="GV428" s="13"/>
      <c r="GW428" s="13"/>
      <c r="GX428" s="13"/>
      <c r="GY428" s="13"/>
      <c r="GZ428" s="13"/>
      <c r="HA428" s="13"/>
      <c r="HB428" s="13"/>
      <c r="HC428" s="13"/>
      <c r="HD428" s="13"/>
      <c r="HE428" s="13"/>
      <c r="HF428" s="13"/>
      <c r="HG428" s="13"/>
      <c r="HH428" s="13"/>
      <c r="HI428" s="13"/>
      <c r="HJ428" s="13"/>
      <c r="HK428" s="13"/>
      <c r="HL428" s="13"/>
      <c r="HM428" s="13"/>
      <c r="HN428" s="13"/>
      <c r="HO428" s="13"/>
      <c r="HP428" s="13"/>
      <c r="HQ428" s="13"/>
      <c r="HR428" s="13"/>
      <c r="HS428" s="13"/>
      <c r="HT428" s="13"/>
      <c r="HU428" s="13"/>
      <c r="HV428" s="13"/>
      <c r="HW428" s="13"/>
      <c r="HX428" s="13"/>
      <c r="HY428" s="13"/>
      <c r="HZ428" s="13"/>
      <c r="IA428" s="13"/>
      <c r="IB428" s="13"/>
      <c r="IC428" s="5"/>
      <c r="ID428" s="5"/>
      <c r="IE428" s="5"/>
      <c r="IF428" s="5"/>
      <c r="IG428" s="5"/>
      <c r="IH428" s="5"/>
      <c r="II428" s="5"/>
      <c r="IJ428" s="5"/>
      <c r="IK428" s="5"/>
      <c r="IL428" s="5"/>
      <c r="IM428" s="5"/>
      <c r="IN428" s="5"/>
    </row>
    <row r="429" s="2" customFormat="1">
      <c r="A429" s="45"/>
      <c r="B429" s="3"/>
      <c r="C429" s="27"/>
      <c r="D429" s="27"/>
      <c r="E429" s="27"/>
      <c r="F429" s="27"/>
      <c r="G429" s="27"/>
      <c r="H429" s="45"/>
      <c r="I429" s="27"/>
      <c r="J429" s="64"/>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c r="DF429" s="13"/>
      <c r="DG429" s="13"/>
      <c r="DH429" s="13"/>
      <c r="DI429" s="13"/>
      <c r="DJ429" s="13"/>
      <c r="DK429" s="13"/>
      <c r="DL429" s="13"/>
      <c r="DM429" s="13"/>
      <c r="DN429" s="13"/>
      <c r="DO429" s="13"/>
      <c r="DP429" s="13"/>
      <c r="DQ429" s="13"/>
      <c r="DR429" s="13"/>
      <c r="DS429" s="13"/>
      <c r="DT429" s="13"/>
      <c r="DU429" s="13"/>
      <c r="DV429" s="13"/>
      <c r="DW429" s="13"/>
      <c r="DX429" s="13"/>
      <c r="DY429" s="13"/>
      <c r="DZ429" s="13"/>
      <c r="EA429" s="13"/>
      <c r="EB429" s="13"/>
      <c r="EC429" s="13"/>
      <c r="ED429" s="13"/>
      <c r="EE429" s="13"/>
      <c r="EF429" s="13"/>
      <c r="EG429" s="13"/>
      <c r="EH429" s="13"/>
      <c r="EI429" s="13"/>
      <c r="EJ429" s="13"/>
      <c r="EK429" s="13"/>
      <c r="EL429" s="13"/>
      <c r="EM429" s="13"/>
      <c r="EN429" s="13"/>
      <c r="EO429" s="13"/>
      <c r="EP429" s="13"/>
      <c r="EQ429" s="13"/>
      <c r="ER429" s="13"/>
      <c r="ES429" s="13"/>
      <c r="ET429" s="13"/>
      <c r="EU429" s="13"/>
      <c r="EV429" s="13"/>
      <c r="EW429" s="13"/>
      <c r="EX429" s="13"/>
      <c r="EY429" s="13"/>
      <c r="EZ429" s="13"/>
      <c r="FA429" s="13"/>
      <c r="FB429" s="13"/>
      <c r="FC429" s="13"/>
      <c r="FD429" s="13"/>
      <c r="FE429" s="13"/>
      <c r="FF429" s="13"/>
      <c r="FG429" s="13"/>
      <c r="FH429" s="13"/>
      <c r="FI429" s="13"/>
      <c r="FJ429" s="13"/>
      <c r="FK429" s="13"/>
      <c r="FL429" s="13"/>
      <c r="FM429" s="13"/>
      <c r="FN429" s="13"/>
      <c r="FO429" s="13"/>
      <c r="FP429" s="13"/>
      <c r="FQ429" s="13"/>
      <c r="FR429" s="13"/>
      <c r="FS429" s="13"/>
      <c r="FT429" s="13"/>
      <c r="FU429" s="13"/>
      <c r="FV429" s="13"/>
      <c r="FW429" s="13"/>
      <c r="FX429" s="13"/>
      <c r="FY429" s="13"/>
      <c r="FZ429" s="13"/>
      <c r="GA429" s="13"/>
      <c r="GB429" s="13"/>
      <c r="GC429" s="13"/>
      <c r="GD429" s="13"/>
      <c r="GE429" s="13"/>
      <c r="GF429" s="13"/>
      <c r="GG429" s="13"/>
      <c r="GH429" s="13"/>
      <c r="GI429" s="13"/>
      <c r="GJ429" s="13"/>
      <c r="GK429" s="13"/>
      <c r="GL429" s="13"/>
      <c r="GM429" s="13"/>
      <c r="GN429" s="13"/>
      <c r="GO429" s="13"/>
      <c r="GP429" s="13"/>
      <c r="GQ429" s="13"/>
      <c r="GR429" s="13"/>
      <c r="GS429" s="13"/>
      <c r="GT429" s="13"/>
      <c r="GU429" s="13"/>
      <c r="GV429" s="13"/>
      <c r="GW429" s="13"/>
      <c r="GX429" s="13"/>
      <c r="GY429" s="13"/>
      <c r="GZ429" s="13"/>
      <c r="HA429" s="13"/>
      <c r="HB429" s="13"/>
      <c r="HC429" s="13"/>
      <c r="HD429" s="13"/>
      <c r="HE429" s="13"/>
      <c r="HF429" s="13"/>
      <c r="HG429" s="13"/>
      <c r="HH429" s="13"/>
      <c r="HI429" s="13"/>
      <c r="HJ429" s="13"/>
      <c r="HK429" s="13"/>
      <c r="HL429" s="13"/>
      <c r="HM429" s="13"/>
      <c r="HN429" s="13"/>
      <c r="HO429" s="13"/>
      <c r="HP429" s="13"/>
      <c r="HQ429" s="13"/>
      <c r="HR429" s="13"/>
      <c r="HS429" s="13"/>
      <c r="HT429" s="13"/>
      <c r="HU429" s="13"/>
      <c r="HV429" s="13"/>
      <c r="HW429" s="13"/>
      <c r="HX429" s="13"/>
      <c r="HY429" s="13"/>
      <c r="HZ429" s="13"/>
      <c r="IA429" s="13"/>
      <c r="IB429" s="13"/>
      <c r="IC429" s="5"/>
      <c r="ID429" s="5"/>
      <c r="IE429" s="5"/>
      <c r="IF429" s="5"/>
      <c r="IG429" s="5"/>
      <c r="IH429" s="5"/>
      <c r="II429" s="5"/>
      <c r="IJ429" s="5"/>
      <c r="IK429" s="5"/>
      <c r="IL429" s="5"/>
      <c r="IM429" s="5"/>
      <c r="IN429" s="5"/>
    </row>
    <row r="430" s="2" customFormat="1">
      <c r="A430" s="45"/>
      <c r="B430" s="63"/>
      <c r="C430" s="27"/>
      <c r="D430" s="27"/>
      <c r="E430" s="27"/>
      <c r="F430" s="45"/>
      <c r="G430" s="45"/>
      <c r="H430" s="45"/>
      <c r="I430" s="27"/>
      <c r="J430" s="64"/>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5"/>
      <c r="CM430" s="5"/>
      <c r="CN430" s="5"/>
      <c r="CO430" s="5"/>
      <c r="CP430" s="5"/>
      <c r="CQ430" s="5"/>
      <c r="CR430" s="5"/>
      <c r="CS430" s="5"/>
      <c r="CT430" s="5"/>
      <c r="CU430" s="5"/>
      <c r="CV430" s="5"/>
      <c r="CW430" s="5"/>
      <c r="CX430" s="5"/>
      <c r="CY430" s="5"/>
      <c r="CZ430" s="5"/>
      <c r="DA430" s="5"/>
      <c r="DB430" s="5"/>
      <c r="DC430" s="5"/>
      <c r="DD430" s="5"/>
      <c r="DE430" s="5"/>
      <c r="DF430" s="5"/>
      <c r="DG430" s="5"/>
      <c r="DH430" s="5"/>
      <c r="DI430" s="5"/>
      <c r="DJ430" s="5"/>
      <c r="DK430" s="5"/>
      <c r="DL430" s="5"/>
      <c r="DM430" s="5"/>
      <c r="DN430" s="5"/>
      <c r="DO430" s="5"/>
      <c r="DP430" s="5"/>
      <c r="DQ430" s="5"/>
      <c r="DR430" s="5"/>
      <c r="DS430" s="5"/>
      <c r="DT430" s="5"/>
      <c r="DU430" s="5"/>
      <c r="DV430" s="5"/>
      <c r="DW430" s="5"/>
      <c r="DX430" s="5"/>
      <c r="DY430" s="5"/>
      <c r="DZ430" s="5"/>
      <c r="EA430" s="5"/>
      <c r="EB430" s="5"/>
      <c r="EC430" s="5"/>
      <c r="ED430" s="5"/>
      <c r="EE430" s="5"/>
      <c r="EF430" s="5"/>
      <c r="EG430" s="5"/>
      <c r="EH430" s="5"/>
      <c r="EI430" s="5"/>
      <c r="EJ430" s="5"/>
      <c r="EK430" s="5"/>
      <c r="EL430" s="5"/>
      <c r="EM430" s="5"/>
      <c r="EN430" s="5"/>
      <c r="EO430" s="5"/>
      <c r="EP430" s="5"/>
      <c r="EQ430" s="5"/>
      <c r="ER430" s="5"/>
      <c r="ES430" s="5"/>
      <c r="ET430" s="5"/>
      <c r="EU430" s="5"/>
      <c r="EV430" s="5"/>
      <c r="EW430" s="5"/>
      <c r="EX430" s="5"/>
      <c r="EY430" s="5"/>
      <c r="EZ430" s="5"/>
      <c r="FA430" s="5"/>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row>
    <row r="431" s="3" customFormat="1">
      <c r="A431" s="45"/>
      <c r="B431" s="63"/>
      <c r="C431" s="45"/>
      <c r="D431" s="27"/>
      <c r="E431" s="84"/>
      <c r="F431" s="45"/>
      <c r="G431" s="45"/>
      <c r="H431" s="45"/>
      <c r="I431" s="142"/>
      <c r="J431" s="50"/>
    </row>
    <row r="432" s="13" customFormat="1">
      <c r="A432" s="45"/>
      <c r="B432" s="63"/>
      <c r="C432" s="27"/>
      <c r="D432" s="27"/>
      <c r="E432" s="27"/>
      <c r="F432" s="45"/>
      <c r="G432" s="45"/>
      <c r="H432" s="45"/>
      <c r="I432" s="142"/>
      <c r="J432" s="64"/>
    </row>
    <row r="433" s="13" customFormat="1">
      <c r="A433" s="45"/>
      <c r="B433" s="63"/>
      <c r="C433" s="27"/>
      <c r="D433" s="27"/>
      <c r="E433" s="27"/>
      <c r="F433" s="27"/>
      <c r="G433" s="27"/>
      <c r="H433" s="27"/>
      <c r="I433" s="27"/>
      <c r="J433" s="64"/>
      <c r="K433" s="139"/>
      <c r="L433" s="139"/>
      <c r="M433" s="139"/>
      <c r="N433" s="139"/>
      <c r="O433" s="139"/>
      <c r="P433" s="139"/>
      <c r="Q433" s="139"/>
      <c r="R433" s="139"/>
      <c r="S433" s="139"/>
      <c r="T433" s="139"/>
      <c r="U433" s="139"/>
      <c r="V433" s="139"/>
      <c r="W433" s="139"/>
      <c r="X433" s="139"/>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c r="EU433" s="5"/>
      <c r="EV433" s="5"/>
      <c r="EW433" s="5"/>
      <c r="EX433" s="5"/>
      <c r="EY433" s="5"/>
      <c r="EZ433" s="5"/>
      <c r="FA433" s="5"/>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row>
    <row r="434" s="13" customFormat="1">
      <c r="A434" s="45"/>
      <c r="B434" s="63"/>
      <c r="C434" s="27"/>
      <c r="D434" s="27"/>
      <c r="E434" s="27"/>
      <c r="F434" s="27"/>
      <c r="G434" s="27"/>
      <c r="H434" s="27"/>
      <c r="I434" s="27"/>
      <c r="J434" s="64"/>
      <c r="K434" s="139"/>
      <c r="L434" s="139"/>
      <c r="M434" s="139"/>
      <c r="N434" s="139"/>
      <c r="O434" s="139"/>
      <c r="P434" s="139"/>
      <c r="Q434" s="139"/>
      <c r="R434" s="139"/>
      <c r="S434" s="139"/>
      <c r="T434" s="139"/>
      <c r="U434" s="139"/>
      <c r="V434" s="139"/>
      <c r="W434" s="139"/>
      <c r="X434" s="139"/>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5"/>
      <c r="CM434" s="5"/>
      <c r="CN434" s="5"/>
      <c r="CO434" s="5"/>
      <c r="CP434" s="5"/>
      <c r="CQ434" s="5"/>
      <c r="CR434" s="5"/>
      <c r="CS434" s="5"/>
      <c r="CT434" s="5"/>
      <c r="CU434" s="5"/>
      <c r="CV434" s="5"/>
      <c r="CW434" s="5"/>
      <c r="CX434" s="5"/>
      <c r="CY434" s="5"/>
      <c r="CZ434" s="5"/>
      <c r="DA434" s="5"/>
      <c r="DB434" s="5"/>
      <c r="DC434" s="5"/>
      <c r="DD434" s="5"/>
      <c r="DE434" s="5"/>
      <c r="DF434" s="5"/>
      <c r="DG434" s="5"/>
      <c r="DH434" s="5"/>
      <c r="DI434" s="5"/>
      <c r="DJ434" s="5"/>
      <c r="DK434" s="5"/>
      <c r="DL434" s="5"/>
      <c r="DM434" s="5"/>
      <c r="DN434" s="5"/>
      <c r="DO434" s="5"/>
      <c r="DP434" s="5"/>
      <c r="DQ434" s="5"/>
      <c r="DR434" s="5"/>
      <c r="DS434" s="5"/>
      <c r="DT434" s="5"/>
      <c r="DU434" s="5"/>
      <c r="DV434" s="5"/>
      <c r="DW434" s="5"/>
      <c r="DX434" s="5"/>
      <c r="DY434" s="5"/>
      <c r="DZ434" s="5"/>
      <c r="EA434" s="5"/>
      <c r="EB434" s="5"/>
      <c r="EC434" s="5"/>
      <c r="ED434" s="5"/>
      <c r="EE434" s="5"/>
      <c r="EF434" s="5"/>
      <c r="EG434" s="5"/>
      <c r="EH434" s="5"/>
      <c r="EI434" s="5"/>
      <c r="EJ434" s="5"/>
      <c r="EK434" s="5"/>
      <c r="EL434" s="5"/>
      <c r="EM434" s="5"/>
      <c r="EN434" s="5"/>
      <c r="EO434" s="5"/>
      <c r="EP434" s="5"/>
      <c r="EQ434" s="5"/>
      <c r="ER434" s="5"/>
      <c r="ES434" s="5"/>
      <c r="ET434" s="5"/>
      <c r="EU434" s="5"/>
      <c r="EV434" s="5"/>
      <c r="EW434" s="5"/>
      <c r="EX434" s="5"/>
      <c r="EY434" s="5"/>
      <c r="EZ434" s="5"/>
      <c r="FA434" s="5"/>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row>
    <row r="435" s="13" customFormat="1">
      <c r="A435" s="45"/>
      <c r="B435" s="63"/>
      <c r="C435" s="27"/>
      <c r="D435" s="27"/>
      <c r="E435" s="27"/>
      <c r="F435" s="27"/>
      <c r="G435" s="27"/>
      <c r="H435" s="27"/>
      <c r="I435" s="27"/>
      <c r="J435" s="64"/>
      <c r="K435" s="139"/>
      <c r="L435" s="139"/>
      <c r="M435" s="139"/>
      <c r="N435" s="139"/>
      <c r="O435" s="139"/>
      <c r="P435" s="139"/>
      <c r="Q435" s="139"/>
      <c r="R435" s="139"/>
      <c r="S435" s="139"/>
      <c r="T435" s="139"/>
      <c r="U435" s="139"/>
      <c r="V435" s="139"/>
      <c r="W435" s="139"/>
      <c r="X435" s="139"/>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5"/>
      <c r="CM435" s="5"/>
      <c r="CN435" s="5"/>
      <c r="CO435" s="5"/>
      <c r="CP435" s="5"/>
      <c r="CQ435" s="5"/>
      <c r="CR435" s="5"/>
      <c r="CS435" s="5"/>
      <c r="CT435" s="5"/>
      <c r="CU435" s="5"/>
      <c r="CV435" s="5"/>
      <c r="CW435" s="5"/>
      <c r="CX435" s="5"/>
      <c r="CY435" s="5"/>
      <c r="CZ435" s="5"/>
      <c r="DA435" s="5"/>
      <c r="DB435" s="5"/>
      <c r="DC435" s="5"/>
      <c r="DD435" s="5"/>
      <c r="DE435" s="5"/>
      <c r="DF435" s="5"/>
      <c r="DG435" s="5"/>
      <c r="DH435" s="5"/>
      <c r="DI435" s="5"/>
      <c r="DJ435" s="5"/>
      <c r="DK435" s="5"/>
      <c r="DL435" s="5"/>
      <c r="DM435" s="5"/>
      <c r="DN435" s="5"/>
      <c r="DO435" s="5"/>
      <c r="DP435" s="5"/>
      <c r="DQ435" s="5"/>
      <c r="DR435" s="5"/>
      <c r="DS435" s="5"/>
      <c r="DT435" s="5"/>
      <c r="DU435" s="5"/>
      <c r="DV435" s="5"/>
      <c r="DW435" s="5"/>
      <c r="DX435" s="5"/>
      <c r="DY435" s="5"/>
      <c r="DZ435" s="5"/>
      <c r="EA435" s="5"/>
      <c r="EB435" s="5"/>
      <c r="EC435" s="5"/>
      <c r="ED435" s="5"/>
      <c r="EE435" s="5"/>
      <c r="EF435" s="5"/>
      <c r="EG435" s="5"/>
      <c r="EH435" s="5"/>
      <c r="EI435" s="5"/>
      <c r="EJ435" s="5"/>
      <c r="EK435" s="5"/>
      <c r="EL435" s="5"/>
      <c r="EM435" s="5"/>
      <c r="EN435" s="5"/>
      <c r="EO435" s="5"/>
      <c r="EP435" s="5"/>
      <c r="EQ435" s="5"/>
      <c r="ER435" s="5"/>
      <c r="ES435" s="5"/>
      <c r="ET435" s="5"/>
      <c r="EU435" s="5"/>
      <c r="EV435" s="5"/>
      <c r="EW435" s="5"/>
      <c r="EX435" s="5"/>
      <c r="EY435" s="5"/>
      <c r="EZ435" s="5"/>
      <c r="FA435" s="5"/>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row>
    <row r="436" s="13" customFormat="1">
      <c r="A436" s="45"/>
      <c r="B436" s="63"/>
      <c r="C436" s="27"/>
      <c r="D436" s="27"/>
      <c r="E436" s="27"/>
      <c r="F436" s="27"/>
      <c r="G436" s="27"/>
      <c r="H436" s="27"/>
      <c r="I436" s="27"/>
      <c r="J436" s="64"/>
      <c r="K436" s="139"/>
      <c r="L436" s="139"/>
      <c r="M436" s="139"/>
      <c r="N436" s="139"/>
      <c r="O436" s="139"/>
      <c r="P436" s="139"/>
      <c r="Q436" s="139"/>
      <c r="R436" s="139"/>
      <c r="S436" s="139"/>
      <c r="T436" s="139"/>
      <c r="U436" s="139"/>
      <c r="V436" s="139"/>
      <c r="W436" s="139"/>
      <c r="X436" s="139"/>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5"/>
      <c r="CM436" s="5"/>
      <c r="CN436" s="5"/>
      <c r="CO436" s="5"/>
      <c r="CP436" s="5"/>
      <c r="CQ436" s="5"/>
      <c r="CR436" s="5"/>
      <c r="CS436" s="5"/>
      <c r="CT436" s="5"/>
      <c r="CU436" s="5"/>
      <c r="CV436" s="5"/>
      <c r="CW436" s="5"/>
      <c r="CX436" s="5"/>
      <c r="CY436" s="5"/>
      <c r="CZ436" s="5"/>
      <c r="DA436" s="5"/>
      <c r="DB436" s="5"/>
      <c r="DC436" s="5"/>
      <c r="DD436" s="5"/>
      <c r="DE436" s="5"/>
      <c r="DF436" s="5"/>
      <c r="DG436" s="5"/>
      <c r="DH436" s="5"/>
      <c r="DI436" s="5"/>
      <c r="DJ436" s="5"/>
      <c r="DK436" s="5"/>
      <c r="DL436" s="5"/>
      <c r="DM436" s="5"/>
      <c r="DN436" s="5"/>
      <c r="DO436" s="5"/>
      <c r="DP436" s="5"/>
      <c r="DQ436" s="5"/>
      <c r="DR436" s="5"/>
      <c r="DS436" s="5"/>
      <c r="DT436" s="5"/>
      <c r="DU436" s="5"/>
      <c r="DV436" s="5"/>
      <c r="DW436" s="5"/>
      <c r="DX436" s="5"/>
      <c r="DY436" s="5"/>
      <c r="DZ436" s="5"/>
      <c r="EA436" s="5"/>
      <c r="EB436" s="5"/>
      <c r="EC436" s="5"/>
      <c r="ED436" s="5"/>
      <c r="EE436" s="5"/>
      <c r="EF436" s="5"/>
      <c r="EG436" s="5"/>
      <c r="EH436" s="5"/>
      <c r="EI436" s="5"/>
      <c r="EJ436" s="5"/>
      <c r="EK436" s="5"/>
      <c r="EL436" s="5"/>
      <c r="EM436" s="5"/>
      <c r="EN436" s="5"/>
      <c r="EO436" s="5"/>
      <c r="EP436" s="5"/>
      <c r="EQ436" s="5"/>
      <c r="ER436" s="5"/>
      <c r="ES436" s="5"/>
      <c r="ET436" s="5"/>
      <c r="EU436" s="5"/>
      <c r="EV436" s="5"/>
      <c r="EW436" s="5"/>
      <c r="EX436" s="5"/>
      <c r="EY436" s="5"/>
      <c r="EZ436" s="5"/>
      <c r="FA436" s="5"/>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row>
    <row r="437" s="13" customFormat="1">
      <c r="A437" s="45"/>
      <c r="B437" s="63"/>
      <c r="C437" s="27"/>
      <c r="D437" s="27"/>
      <c r="E437" s="27"/>
      <c r="F437" s="27"/>
      <c r="G437" s="27"/>
      <c r="H437" s="27"/>
      <c r="I437" s="27"/>
      <c r="J437" s="64"/>
      <c r="K437" s="139"/>
      <c r="L437" s="139"/>
      <c r="M437" s="139"/>
      <c r="N437" s="139"/>
      <c r="O437" s="139"/>
      <c r="P437" s="139"/>
      <c r="Q437" s="139"/>
      <c r="R437" s="139"/>
      <c r="S437" s="139"/>
      <c r="T437" s="139"/>
      <c r="U437" s="139"/>
      <c r="V437" s="139"/>
      <c r="W437" s="139"/>
      <c r="X437" s="139"/>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5"/>
      <c r="CM437" s="5"/>
      <c r="CN437" s="5"/>
      <c r="CO437" s="5"/>
      <c r="CP437" s="5"/>
      <c r="CQ437" s="5"/>
      <c r="CR437" s="5"/>
      <c r="CS437" s="5"/>
      <c r="CT437" s="5"/>
      <c r="CU437" s="5"/>
      <c r="CV437" s="5"/>
      <c r="CW437" s="5"/>
      <c r="CX437" s="5"/>
      <c r="CY437" s="5"/>
      <c r="CZ437" s="5"/>
      <c r="DA437" s="5"/>
      <c r="DB437" s="5"/>
      <c r="DC437" s="5"/>
      <c r="DD437" s="5"/>
      <c r="DE437" s="5"/>
      <c r="DF437" s="5"/>
      <c r="DG437" s="5"/>
      <c r="DH437" s="5"/>
      <c r="DI437" s="5"/>
      <c r="DJ437" s="5"/>
      <c r="DK437" s="5"/>
      <c r="DL437" s="5"/>
      <c r="DM437" s="5"/>
      <c r="DN437" s="5"/>
      <c r="DO437" s="5"/>
      <c r="DP437" s="5"/>
      <c r="DQ437" s="5"/>
      <c r="DR437" s="5"/>
      <c r="DS437" s="5"/>
      <c r="DT437" s="5"/>
      <c r="DU437" s="5"/>
      <c r="DV437" s="5"/>
      <c r="DW437" s="5"/>
      <c r="DX437" s="5"/>
      <c r="DY437" s="5"/>
      <c r="DZ437" s="5"/>
      <c r="EA437" s="5"/>
      <c r="EB437" s="5"/>
      <c r="EC437" s="5"/>
      <c r="ED437" s="5"/>
      <c r="EE437" s="5"/>
      <c r="EF437" s="5"/>
      <c r="EG437" s="5"/>
      <c r="EH437" s="5"/>
      <c r="EI437" s="5"/>
      <c r="EJ437" s="5"/>
      <c r="EK437" s="5"/>
      <c r="EL437" s="5"/>
      <c r="EM437" s="5"/>
      <c r="EN437" s="5"/>
      <c r="EO437" s="5"/>
      <c r="EP437" s="5"/>
      <c r="EQ437" s="5"/>
      <c r="ER437" s="5"/>
      <c r="ES437" s="5"/>
      <c r="ET437" s="5"/>
      <c r="EU437" s="5"/>
      <c r="EV437" s="5"/>
      <c r="EW437" s="5"/>
      <c r="EX437" s="5"/>
      <c r="EY437" s="5"/>
      <c r="EZ437" s="5"/>
      <c r="FA437" s="5"/>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row>
    <row r="438" s="13" customFormat="1">
      <c r="A438" s="45"/>
      <c r="B438" s="63"/>
      <c r="C438" s="27"/>
      <c r="D438" s="27"/>
      <c r="E438" s="27"/>
      <c r="F438" s="27"/>
      <c r="G438" s="27"/>
      <c r="H438" s="27"/>
      <c r="I438" s="27"/>
      <c r="J438" s="64"/>
      <c r="K438" s="139"/>
      <c r="L438" s="139"/>
      <c r="M438" s="139"/>
      <c r="N438" s="139"/>
      <c r="O438" s="139"/>
      <c r="P438" s="139"/>
      <c r="Q438" s="139"/>
      <c r="R438" s="139"/>
      <c r="S438" s="139"/>
      <c r="T438" s="139"/>
      <c r="U438" s="139"/>
      <c r="V438" s="139"/>
      <c r="W438" s="139"/>
      <c r="X438" s="139"/>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5"/>
      <c r="CM438" s="5"/>
      <c r="CN438" s="5"/>
      <c r="CO438" s="5"/>
      <c r="CP438" s="5"/>
      <c r="CQ438" s="5"/>
      <c r="CR438" s="5"/>
      <c r="CS438" s="5"/>
      <c r="CT438" s="5"/>
      <c r="CU438" s="5"/>
      <c r="CV438" s="5"/>
      <c r="CW438" s="5"/>
      <c r="CX438" s="5"/>
      <c r="CY438" s="5"/>
      <c r="CZ438" s="5"/>
      <c r="DA438" s="5"/>
      <c r="DB438" s="5"/>
      <c r="DC438" s="5"/>
      <c r="DD438" s="5"/>
      <c r="DE438" s="5"/>
      <c r="DF438" s="5"/>
      <c r="DG438" s="5"/>
      <c r="DH438" s="5"/>
      <c r="DI438" s="5"/>
      <c r="DJ438" s="5"/>
      <c r="DK438" s="5"/>
      <c r="DL438" s="5"/>
      <c r="DM438" s="5"/>
      <c r="DN438" s="5"/>
      <c r="DO438" s="5"/>
      <c r="DP438" s="5"/>
      <c r="DQ438" s="5"/>
      <c r="DR438" s="5"/>
      <c r="DS438" s="5"/>
      <c r="DT438" s="5"/>
      <c r="DU438" s="5"/>
      <c r="DV438" s="5"/>
      <c r="DW438" s="5"/>
      <c r="DX438" s="5"/>
      <c r="DY438" s="5"/>
      <c r="DZ438" s="5"/>
      <c r="EA438" s="5"/>
      <c r="EB438" s="5"/>
      <c r="EC438" s="5"/>
      <c r="ED438" s="5"/>
      <c r="EE438" s="5"/>
      <c r="EF438" s="5"/>
      <c r="EG438" s="5"/>
      <c r="EH438" s="5"/>
      <c r="EI438" s="5"/>
      <c r="EJ438" s="5"/>
      <c r="EK438" s="5"/>
      <c r="EL438" s="5"/>
      <c r="EM438" s="5"/>
      <c r="EN438" s="5"/>
      <c r="EO438" s="5"/>
      <c r="EP438" s="5"/>
      <c r="EQ438" s="5"/>
      <c r="ER438" s="5"/>
      <c r="ES438" s="5"/>
      <c r="ET438" s="5"/>
      <c r="EU438" s="5"/>
      <c r="EV438" s="5"/>
      <c r="EW438" s="5"/>
      <c r="EX438" s="5"/>
      <c r="EY438" s="5"/>
      <c r="EZ438" s="5"/>
      <c r="FA438" s="5"/>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row>
    <row r="439" s="5" customFormat="1">
      <c r="A439" s="27"/>
      <c r="B439" s="63"/>
      <c r="C439" s="27"/>
      <c r="D439" s="27"/>
      <c r="E439" s="84"/>
      <c r="F439" s="84"/>
      <c r="G439" s="27"/>
      <c r="H439" s="27"/>
      <c r="I439" s="27"/>
      <c r="J439" s="64"/>
    </row>
    <row r="441">
      <c r="A441" s="29"/>
      <c r="B441" s="38"/>
      <c r="C441" s="29"/>
      <c r="D441" s="29"/>
      <c r="E441" s="29"/>
      <c r="F441" s="29"/>
      <c r="G441" s="29"/>
      <c r="H441" s="41"/>
      <c r="I441" s="29"/>
      <c r="J441" s="35"/>
    </row>
    <row r="444">
      <c r="A444" s="29"/>
      <c r="B444" s="40"/>
      <c r="C444" s="29"/>
      <c r="D444" s="29"/>
      <c r="E444" s="29"/>
      <c r="F444" s="29"/>
      <c r="G444" s="29"/>
      <c r="H444" s="41"/>
      <c r="I444" s="29"/>
      <c r="J444" s="35"/>
    </row>
    <row r="445">
      <c r="A445" s="29"/>
      <c r="B445" s="40"/>
      <c r="C445" s="29"/>
      <c r="D445" s="29"/>
      <c r="E445" s="29"/>
      <c r="F445" s="29"/>
      <c r="G445" s="29"/>
      <c r="H445" s="41"/>
      <c r="I445" s="29"/>
      <c r="J445" s="35"/>
    </row>
    <row r="446">
      <c r="A446" s="29"/>
      <c r="B446" s="40"/>
      <c r="C446" s="29"/>
      <c r="D446" s="29"/>
      <c r="E446" s="29"/>
      <c r="F446" s="29"/>
      <c r="G446" s="29"/>
      <c r="H446" s="41"/>
      <c r="I446" s="29"/>
      <c r="J446" s="35"/>
    </row>
    <row r="447" ht="64.5" customHeight="1">
      <c r="A447" s="29"/>
      <c r="B447" s="40"/>
      <c r="C447" s="29"/>
      <c r="D447" s="29"/>
      <c r="E447" s="29"/>
      <c r="F447" s="29"/>
      <c r="G447" s="29"/>
      <c r="H447" s="41"/>
      <c r="I447" s="29"/>
      <c r="J447" s="35"/>
    </row>
    <row r="448">
      <c r="A448" s="29"/>
      <c r="B448" s="40"/>
      <c r="C448" s="29"/>
      <c r="D448" s="29"/>
      <c r="E448" s="29"/>
      <c r="F448" s="29"/>
      <c r="G448" s="29"/>
      <c r="H448" s="41"/>
      <c r="I448" s="29"/>
      <c r="J448" s="35"/>
    </row>
    <row r="449">
      <c r="A449" s="29"/>
      <c r="B449" s="40"/>
      <c r="C449" s="29"/>
      <c r="D449" s="29"/>
      <c r="E449" s="29"/>
      <c r="F449" s="29"/>
      <c r="G449" s="29"/>
      <c r="H449" s="41"/>
      <c r="I449" s="29"/>
      <c r="J449" s="35"/>
    </row>
    <row r="451">
      <c r="A451" s="29"/>
      <c r="B451" s="129"/>
      <c r="C451" s="29"/>
      <c r="D451" s="29"/>
      <c r="E451" s="29"/>
      <c r="F451" s="29"/>
      <c r="G451" s="29"/>
      <c r="H451" s="41"/>
      <c r="I451" s="29"/>
      <c r="J451" s="35"/>
      <c r="K451" s="83"/>
      <c r="L451" s="83"/>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83"/>
      <c r="EO451" s="83"/>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c r="FL451" s="83"/>
      <c r="FM451" s="83"/>
      <c r="FN451" s="83"/>
      <c r="FO451" s="83"/>
      <c r="FP451" s="83"/>
      <c r="FQ451" s="83"/>
      <c r="FR451" s="83"/>
      <c r="FS451" s="83"/>
      <c r="FT451" s="83"/>
      <c r="FU451" s="83"/>
      <c r="FV451" s="83"/>
      <c r="FW451" s="83"/>
      <c r="FX451" s="83"/>
      <c r="FY451" s="83"/>
      <c r="FZ451" s="83"/>
      <c r="GA451" s="83"/>
      <c r="GB451" s="83"/>
      <c r="GC451" s="83"/>
      <c r="GD451" s="83"/>
      <c r="GE451" s="83"/>
      <c r="GF451" s="83"/>
      <c r="GG451" s="83"/>
      <c r="GH451" s="83"/>
      <c r="GI451" s="83"/>
      <c r="GJ451" s="83"/>
      <c r="GK451" s="83"/>
      <c r="GL451" s="83"/>
      <c r="GM451" s="83"/>
      <c r="GN451" s="83"/>
      <c r="GO451" s="83"/>
      <c r="GP451" s="83"/>
      <c r="GQ451" s="83"/>
      <c r="GR451" s="83"/>
      <c r="GS451" s="83"/>
      <c r="GT451" s="83"/>
      <c r="GU451" s="83"/>
      <c r="GV451" s="83"/>
      <c r="GW451" s="83"/>
      <c r="GX451" s="83"/>
      <c r="GY451" s="83"/>
      <c r="GZ451" s="83"/>
      <c r="HA451" s="83"/>
      <c r="HB451" s="83"/>
      <c r="HC451" s="83"/>
      <c r="HD451" s="83"/>
      <c r="HE451" s="83"/>
      <c r="HF451" s="83"/>
      <c r="HG451" s="83"/>
      <c r="HH451" s="83"/>
      <c r="HI451" s="83"/>
      <c r="HJ451" s="83"/>
      <c r="HK451" s="83"/>
    </row>
    <row r="452" s="5" customFormat="1">
      <c r="A452" s="29"/>
      <c r="B452" s="3"/>
      <c r="C452" s="45"/>
      <c r="D452" s="27"/>
      <c r="E452" s="45"/>
      <c r="F452" s="29"/>
      <c r="G452" s="29"/>
      <c r="H452" s="41"/>
      <c r="I452" s="41"/>
      <c r="J452" s="50"/>
    </row>
    <row r="454">
      <c r="A454" s="29"/>
      <c r="B454" s="40"/>
      <c r="C454" s="29"/>
      <c r="D454" s="29"/>
      <c r="E454" s="29"/>
      <c r="F454" s="114"/>
      <c r="G454" s="29"/>
      <c r="H454" s="41"/>
      <c r="I454" s="29"/>
      <c r="J454" s="35"/>
    </row>
    <row r="455">
      <c r="A455" s="29"/>
      <c r="B455" s="40"/>
      <c r="C455" s="29"/>
      <c r="D455" s="29"/>
      <c r="E455" s="29"/>
      <c r="F455" s="114"/>
      <c r="G455" s="29"/>
      <c r="H455" s="41"/>
      <c r="I455" s="29"/>
      <c r="J455" s="35"/>
    </row>
  </sheetData>
  <mergeCells count="23">
    <mergeCell ref="I33:I35"/>
    <mergeCell ref="I88:I90"/>
    <mergeCell ref="B149:I149"/>
    <mergeCell ref="A1:B1"/>
    <mergeCell ref="A2:B2"/>
    <mergeCell ref="A4:I4"/>
    <mergeCell ref="A5:I5"/>
    <mergeCell ref="A6:A7"/>
    <mergeCell ref="B6:B7"/>
    <mergeCell ref="C6:C7"/>
    <mergeCell ref="D6:D7"/>
    <mergeCell ref="E6:E7"/>
    <mergeCell ref="F6:G6"/>
    <mergeCell ref="G3:I3"/>
    <mergeCell ref="A3:C3"/>
    <mergeCell ref="H6:H7"/>
    <mergeCell ref="I6:I7"/>
    <mergeCell ref="J6:J7"/>
    <mergeCell ref="B150:I150"/>
    <mergeCell ref="B151:I151"/>
    <mergeCell ref="I284:I289"/>
    <mergeCell ref="I291:I293"/>
    <mergeCell ref="I294:I296"/>
  </mergeCells>
  <printOptions gridLines="1"/>
  <pageMargins left="0.7083333" right="0.7083333" top="0.4333333" bottom="0.7479166" header="0.3152778" footer="0.3152778"/>
  <pageSetup r:id="rId1" paperSize="9" orientation="portrait"/>
  <headerFooter>
    <oddFooter>&amp;Z&amp;F&amp;RPage &amp;P</oddFooter>
  </headerFooter>
  <rowBreaks count="4" manualBreakCount="4">
    <brk id="31" man="1" max="8"/>
    <brk id="44" man="1" max="8"/>
    <brk id="99" man="1" max="8"/>
    <brk id="114" man="1" max="8"/>
  </rowBreaks>
</worksheet>
</file>

<file path=docProps/app.xml><?xml version="1.0" encoding="utf-8"?>
<Properties xmlns="http://schemas.openxmlformats.org/officeDocument/2006/extended-properties">
  <Application>DevExpress Office File API/25.2.6.0</Application>
  <AppVersion>25.2</AppVersion>
</Properties>
</file>

<file path=docProps/core.xml><?xml version="1.0" encoding="utf-8"?>
<cp:coreProperties xmlns:dc="http://purl.org/dc/elements/1.1/" xmlns:dcterms="http://purl.org/dc/terms/" xmlns:xsi="http://www.w3.org/2001/XMLSchema-instance" xmlns:cp="http://schemas.openxmlformats.org/package/2006/metadata/core-properties">
  <dc:creator>ajay raj</dc:creator>
  <cp:lastModifiedBy>JacobPK\JACOB</cp:lastModifiedBy>
  <dcterms:created xsi:type="dcterms:W3CDTF">2025-11-24T09:55:55Z</dcterms:created>
  <dcterms:modified xsi:type="dcterms:W3CDTF">2026-06-03T10:38:08Z</dcterms:modified>
</cp:coreProperties>
</file>